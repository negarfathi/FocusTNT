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fathi2/Documents/FocusTNT/FocusTNT/results/results_Analysis/"/>
    </mc:Choice>
  </mc:AlternateContent>
  <xr:revisionPtr revIDLastSave="0" documentId="13_ncr:1_{49B17FBC-6E50-1A49-BBDC-23D06B8BE5D1}" xr6:coauthVersionLast="47" xr6:coauthVersionMax="47" xr10:uidLastSave="{00000000-0000-0000-0000-000000000000}"/>
  <bookViews>
    <workbookView xWindow="0" yWindow="760" windowWidth="30240" windowHeight="18880" tabRatio="771" xr2:uid="{2BF95D86-077F-DA49-A802-B4C67009B5C1}"/>
  </bookViews>
  <sheets>
    <sheet name="Athena_BV" sheetId="28" r:id="rId1"/>
    <sheet name="Athena_MA" sheetId="35" r:id="rId2"/>
    <sheet name="Athena_MI" sheetId="34" r:id="rId3"/>
    <sheet name="Athena" sheetId="33" r:id="rId4"/>
    <sheet name="PROTON" sheetId="32" r:id="rId5"/>
    <sheet name="UAutomizer" sheetId="38" r:id="rId6"/>
    <sheet name="AProVE" sheetId="39" r:id="rId7"/>
    <sheet name="CPAchecker" sheetId="37" r:id="rId8"/>
    <sheet name="2LS" sheetId="36" r:id="rId9"/>
    <sheet name="RQ1" sheetId="11" r:id="rId10"/>
    <sheet name="RQ2" sheetId="14" r:id="rId11"/>
    <sheet name="RQ3" sheetId="21" r:id="rId12"/>
    <sheet name="RQ4" sheetId="15" r:id="rId13"/>
    <sheet name="RQ6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7" l="1" a="1"/>
  <c r="N21" i="17" a="1"/>
  <c r="O20" i="17" a="1"/>
  <c r="N20" i="17" a="1"/>
  <c r="O19" i="17" a="1"/>
  <c r="N19" i="17" a="1"/>
  <c r="O18" i="17" a="1"/>
  <c r="N18" i="17" a="1"/>
  <c r="O17" i="17"/>
  <c r="N17" i="17"/>
  <c r="O16" i="17"/>
  <c r="N16" i="17"/>
  <c r="O15" i="17"/>
  <c r="N15" i="17"/>
  <c r="O14" i="17"/>
  <c r="N14" i="17"/>
  <c r="O13" i="17"/>
  <c r="N13" i="17"/>
  <c r="O12" i="17"/>
  <c r="N12" i="17"/>
  <c r="O11" i="17"/>
  <c r="N11" i="17"/>
  <c r="O10" i="17"/>
  <c r="N10" i="17"/>
  <c r="O9" i="17"/>
  <c r="N9" i="17"/>
  <c r="O8" i="17"/>
  <c r="N8" i="17"/>
  <c r="O7" i="17"/>
  <c r="N7" i="17"/>
  <c r="O6" i="17"/>
  <c r="N6" i="17"/>
  <c r="W62" i="15"/>
  <c r="V62" i="15"/>
  <c r="U62" i="15"/>
  <c r="W61" i="15"/>
  <c r="V61" i="15"/>
  <c r="U61" i="15"/>
  <c r="W60" i="15"/>
  <c r="V60" i="15"/>
  <c r="U60" i="15"/>
  <c r="W59" i="15"/>
  <c r="V59" i="15"/>
  <c r="U59" i="15"/>
  <c r="W58" i="15"/>
  <c r="V58" i="15"/>
  <c r="U58" i="15"/>
  <c r="W57" i="15"/>
  <c r="V57" i="15"/>
  <c r="U57" i="15"/>
  <c r="W56" i="15"/>
  <c r="V56" i="15"/>
  <c r="U56" i="15"/>
  <c r="W55" i="15"/>
  <c r="V55" i="15"/>
  <c r="U55" i="15"/>
  <c r="W54" i="15"/>
  <c r="V54" i="15"/>
  <c r="U54" i="15"/>
  <c r="W53" i="15"/>
  <c r="V53" i="15"/>
  <c r="U53" i="15"/>
  <c r="W52" i="15"/>
  <c r="V52" i="15"/>
  <c r="U52" i="15"/>
  <c r="W51" i="15"/>
  <c r="V51" i="15"/>
  <c r="U51" i="15"/>
  <c r="W50" i="15"/>
  <c r="V50" i="15"/>
  <c r="U50" i="15"/>
  <c r="W49" i="15"/>
  <c r="V49" i="15"/>
  <c r="U49" i="15"/>
  <c r="W48" i="15"/>
  <c r="V48" i="15"/>
  <c r="U48" i="15"/>
  <c r="W47" i="15"/>
  <c r="V47" i="15"/>
  <c r="U47" i="15"/>
  <c r="W46" i="15"/>
  <c r="V46" i="15"/>
  <c r="U46" i="15"/>
  <c r="W45" i="15"/>
  <c r="V45" i="15"/>
  <c r="U45" i="15"/>
  <c r="W44" i="15"/>
  <c r="V44" i="15"/>
  <c r="U44" i="15"/>
  <c r="W43" i="15"/>
  <c r="V43" i="15"/>
  <c r="U43" i="15"/>
  <c r="W42" i="15"/>
  <c r="V42" i="15"/>
  <c r="U42" i="15"/>
  <c r="W41" i="15"/>
  <c r="V41" i="15"/>
  <c r="U41" i="15"/>
  <c r="W40" i="15"/>
  <c r="V40" i="15"/>
  <c r="U40" i="15"/>
  <c r="W39" i="15"/>
  <c r="V39" i="15"/>
  <c r="U39" i="15"/>
  <c r="W29" i="15"/>
  <c r="V29" i="15"/>
  <c r="U29" i="15"/>
  <c r="W28" i="15"/>
  <c r="V28" i="15"/>
  <c r="U28" i="15"/>
  <c r="W27" i="15"/>
  <c r="V27" i="15"/>
  <c r="U27" i="15"/>
  <c r="W26" i="15"/>
  <c r="V26" i="15"/>
  <c r="U26" i="15"/>
  <c r="W25" i="15"/>
  <c r="V25" i="15"/>
  <c r="U25" i="15"/>
  <c r="W24" i="15"/>
  <c r="V24" i="15"/>
  <c r="U24" i="15"/>
  <c r="W23" i="15"/>
  <c r="V23" i="15"/>
  <c r="U23" i="15"/>
  <c r="W22" i="15"/>
  <c r="V22" i="15"/>
  <c r="U22" i="15"/>
  <c r="W21" i="15"/>
  <c r="V21" i="15"/>
  <c r="U21" i="15"/>
  <c r="W20" i="15"/>
  <c r="V20" i="15"/>
  <c r="U20" i="15"/>
  <c r="W19" i="15"/>
  <c r="V19" i="15"/>
  <c r="U19" i="15"/>
  <c r="W18" i="15"/>
  <c r="V18" i="15"/>
  <c r="U18" i="15"/>
  <c r="W17" i="15"/>
  <c r="V17" i="15"/>
  <c r="U17" i="15"/>
  <c r="W16" i="15"/>
  <c r="V16" i="15"/>
  <c r="U16" i="15"/>
  <c r="W15" i="15"/>
  <c r="V15" i="15"/>
  <c r="U15" i="15"/>
  <c r="W14" i="15"/>
  <c r="V14" i="15"/>
  <c r="U14" i="15"/>
  <c r="W13" i="15"/>
  <c r="V13" i="15"/>
  <c r="U13" i="15"/>
  <c r="W12" i="15"/>
  <c r="V12" i="15"/>
  <c r="U12" i="15"/>
  <c r="W11" i="15"/>
  <c r="V11" i="15"/>
  <c r="U11" i="15"/>
  <c r="W10" i="15"/>
  <c r="V10" i="15"/>
  <c r="U10" i="15"/>
  <c r="W9" i="15"/>
  <c r="V9" i="15"/>
  <c r="U9" i="15"/>
  <c r="W8" i="15"/>
  <c r="V8" i="15"/>
  <c r="U8" i="15"/>
  <c r="W7" i="15"/>
  <c r="V7" i="15"/>
  <c r="U7" i="15"/>
  <c r="W6" i="15"/>
  <c r="V6" i="15"/>
  <c r="U6" i="15"/>
  <c r="AG18" i="21" a="1"/>
  <c r="AF18" i="21" a="1"/>
  <c r="AE18" i="21" a="1"/>
  <c r="AD18" i="21" a="1"/>
  <c r="AC18" i="21" a="1"/>
  <c r="AF17" i="21" a="1"/>
  <c r="AE17" i="21" a="1"/>
  <c r="AD17" i="21" a="1"/>
  <c r="AC17" i="21" a="1"/>
  <c r="AE16" i="21" a="1"/>
  <c r="AD16" i="21" a="1"/>
  <c r="AC16" i="21" a="1"/>
  <c r="AD15" i="21" a="1"/>
  <c r="AC15" i="21" a="1"/>
  <c r="AG9" i="21" a="1"/>
  <c r="AF9" i="21" a="1"/>
  <c r="AE9" i="21" a="1"/>
  <c r="AD9" i="21" a="1"/>
  <c r="AC9" i="21" a="1"/>
  <c r="AF8" i="21" a="1"/>
  <c r="AE8" i="21" a="1"/>
  <c r="AD8" i="21" a="1"/>
  <c r="AC8" i="21" a="1"/>
  <c r="AE7" i="21" a="1"/>
  <c r="AD7" i="21" a="1"/>
  <c r="AC7" i="21" a="1"/>
  <c r="AD6" i="21" a="1"/>
  <c r="AC6" i="21" a="1"/>
  <c r="U28" i="14"/>
  <c r="T28" i="14"/>
  <c r="S28" i="14"/>
  <c r="U27" i="14"/>
  <c r="T27" i="14"/>
  <c r="S27" i="14"/>
  <c r="U26" i="14"/>
  <c r="T26" i="14"/>
  <c r="S26" i="14"/>
  <c r="U25" i="14"/>
  <c r="T25" i="14"/>
  <c r="S25" i="14"/>
  <c r="U24" i="14"/>
  <c r="T24" i="14"/>
  <c r="S24" i="14"/>
  <c r="U23" i="14"/>
  <c r="T23" i="14"/>
  <c r="S23" i="14"/>
  <c r="U22" i="14"/>
  <c r="T22" i="14"/>
  <c r="S22" i="14"/>
  <c r="U21" i="14"/>
  <c r="T21" i="14"/>
  <c r="S21" i="14"/>
  <c r="U20" i="14"/>
  <c r="T20" i="14"/>
  <c r="S20" i="14"/>
  <c r="U14" i="14"/>
  <c r="T14" i="14"/>
  <c r="S14" i="14"/>
  <c r="U13" i="14"/>
  <c r="T13" i="14"/>
  <c r="S13" i="14"/>
  <c r="U12" i="14"/>
  <c r="T12" i="14"/>
  <c r="S12" i="14"/>
  <c r="U11" i="14"/>
  <c r="T11" i="14"/>
  <c r="S11" i="14"/>
  <c r="U10" i="14"/>
  <c r="T10" i="14"/>
  <c r="S10" i="14"/>
  <c r="U9" i="14"/>
  <c r="T9" i="14"/>
  <c r="S9" i="14"/>
  <c r="U8" i="14"/>
  <c r="T8" i="14"/>
  <c r="S8" i="14"/>
  <c r="U7" i="14"/>
  <c r="T7" i="14"/>
  <c r="S7" i="14"/>
  <c r="U6" i="14"/>
  <c r="T6" i="14"/>
  <c r="S6" i="14"/>
  <c r="G56" i="11"/>
  <c r="F56" i="11"/>
  <c r="E56" i="11"/>
  <c r="D56" i="11"/>
  <c r="G55" i="11"/>
  <c r="F55" i="11"/>
  <c r="E55" i="11"/>
  <c r="D55" i="11"/>
  <c r="G54" i="11"/>
  <c r="F54" i="11"/>
  <c r="E54" i="11"/>
  <c r="D54" i="11"/>
  <c r="G53" i="11"/>
  <c r="F53" i="11"/>
  <c r="E53" i="11"/>
  <c r="D53" i="11"/>
  <c r="G28" i="11"/>
  <c r="F28" i="11"/>
  <c r="E28" i="11"/>
  <c r="D28" i="11"/>
  <c r="G27" i="11"/>
  <c r="F27" i="11"/>
  <c r="E27" i="11"/>
  <c r="D27" i="11"/>
  <c r="G26" i="11"/>
  <c r="F26" i="11"/>
  <c r="E26" i="11"/>
  <c r="D26" i="11"/>
  <c r="G25" i="11"/>
  <c r="F25" i="11"/>
  <c r="E25" i="11"/>
  <c r="D25" i="11"/>
  <c r="M21" i="17" a="1"/>
  <c r="L21" i="17" a="1"/>
  <c r="M20" i="17" a="1"/>
  <c r="L20" i="17" a="1"/>
  <c r="M19" i="17" a="1"/>
  <c r="L19" i="17" a="1"/>
  <c r="M18" i="17" a="1"/>
  <c r="L18" i="17" a="1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T62" i="15"/>
  <c r="S62" i="15"/>
  <c r="R62" i="15"/>
  <c r="T61" i="15"/>
  <c r="S61" i="15"/>
  <c r="R61" i="15"/>
  <c r="T60" i="15"/>
  <c r="S60" i="15"/>
  <c r="R60" i="15"/>
  <c r="T59" i="15"/>
  <c r="S59" i="15"/>
  <c r="R59" i="15"/>
  <c r="T58" i="15"/>
  <c r="S58" i="15"/>
  <c r="R58" i="15"/>
  <c r="T57" i="15"/>
  <c r="S57" i="15"/>
  <c r="R57" i="15"/>
  <c r="T56" i="15"/>
  <c r="S56" i="15"/>
  <c r="R56" i="15"/>
  <c r="T55" i="15"/>
  <c r="S55" i="15"/>
  <c r="R55" i="15"/>
  <c r="T54" i="15"/>
  <c r="S54" i="15"/>
  <c r="R54" i="15"/>
  <c r="T53" i="15"/>
  <c r="S53" i="15"/>
  <c r="R53" i="15"/>
  <c r="T52" i="15"/>
  <c r="S52" i="15"/>
  <c r="R52" i="15"/>
  <c r="T51" i="15"/>
  <c r="S51" i="15"/>
  <c r="R51" i="15"/>
  <c r="T50" i="15"/>
  <c r="S50" i="15"/>
  <c r="R50" i="15"/>
  <c r="T49" i="15"/>
  <c r="S49" i="15"/>
  <c r="R49" i="15"/>
  <c r="T48" i="15"/>
  <c r="S48" i="15"/>
  <c r="R48" i="15"/>
  <c r="T47" i="15"/>
  <c r="S47" i="15"/>
  <c r="R47" i="15"/>
  <c r="T46" i="15"/>
  <c r="S46" i="15"/>
  <c r="R46" i="15"/>
  <c r="T45" i="15"/>
  <c r="S45" i="15"/>
  <c r="R45" i="15"/>
  <c r="T44" i="15"/>
  <c r="S44" i="15"/>
  <c r="R44" i="15"/>
  <c r="T43" i="15"/>
  <c r="S43" i="15"/>
  <c r="R43" i="15"/>
  <c r="T42" i="15"/>
  <c r="S42" i="15"/>
  <c r="R42" i="15"/>
  <c r="T41" i="15"/>
  <c r="S41" i="15"/>
  <c r="R41" i="15"/>
  <c r="T40" i="15"/>
  <c r="S40" i="15"/>
  <c r="R40" i="15"/>
  <c r="T39" i="15"/>
  <c r="S39" i="15"/>
  <c r="R39" i="15"/>
  <c r="T29" i="15"/>
  <c r="S29" i="15"/>
  <c r="R29" i="15"/>
  <c r="T28" i="15"/>
  <c r="S28" i="15"/>
  <c r="R28" i="15"/>
  <c r="T27" i="15"/>
  <c r="S27" i="15"/>
  <c r="R27" i="15"/>
  <c r="T26" i="15"/>
  <c r="S26" i="15"/>
  <c r="R26" i="15"/>
  <c r="T25" i="15"/>
  <c r="S25" i="15"/>
  <c r="R25" i="15"/>
  <c r="T24" i="15"/>
  <c r="S24" i="15"/>
  <c r="R24" i="15"/>
  <c r="T23" i="15"/>
  <c r="S23" i="15"/>
  <c r="R23" i="15"/>
  <c r="T22" i="15"/>
  <c r="S22" i="15"/>
  <c r="R22" i="15"/>
  <c r="T21" i="15"/>
  <c r="S21" i="15"/>
  <c r="R21" i="15"/>
  <c r="T20" i="15"/>
  <c r="S20" i="15"/>
  <c r="R20" i="15"/>
  <c r="T19" i="15"/>
  <c r="S19" i="15"/>
  <c r="R19" i="15"/>
  <c r="T18" i="15"/>
  <c r="S18" i="15"/>
  <c r="R18" i="15"/>
  <c r="T17" i="15"/>
  <c r="S17" i="15"/>
  <c r="R17" i="15"/>
  <c r="T16" i="15"/>
  <c r="S16" i="15"/>
  <c r="R16" i="15"/>
  <c r="T15" i="15"/>
  <c r="S15" i="15"/>
  <c r="R15" i="15"/>
  <c r="T14" i="15"/>
  <c r="S14" i="15"/>
  <c r="R14" i="15"/>
  <c r="T13" i="15"/>
  <c r="S13" i="15"/>
  <c r="R13" i="15"/>
  <c r="T12" i="15"/>
  <c r="S12" i="15"/>
  <c r="R12" i="15"/>
  <c r="T11" i="15"/>
  <c r="S11" i="15"/>
  <c r="R11" i="15"/>
  <c r="T10" i="15"/>
  <c r="S10" i="15"/>
  <c r="R10" i="15"/>
  <c r="T9" i="15"/>
  <c r="S9" i="15"/>
  <c r="R9" i="15"/>
  <c r="T8" i="15"/>
  <c r="S8" i="15"/>
  <c r="R8" i="15"/>
  <c r="T7" i="15"/>
  <c r="S7" i="15"/>
  <c r="R7" i="15"/>
  <c r="T6" i="15"/>
  <c r="S6" i="15"/>
  <c r="R6" i="15"/>
  <c r="AB18" i="21" a="1"/>
  <c r="AA18" i="21" a="1"/>
  <c r="Z18" i="21" a="1"/>
  <c r="Y18" i="21" a="1"/>
  <c r="X18" i="21" a="1"/>
  <c r="AA17" i="21" a="1"/>
  <c r="Z17" i="21" a="1"/>
  <c r="Y17" i="21" a="1"/>
  <c r="X17" i="21" a="1"/>
  <c r="Z16" i="21" a="1"/>
  <c r="Y16" i="21" a="1"/>
  <c r="X16" i="21" a="1"/>
  <c r="Y15" i="21" a="1"/>
  <c r="X15" i="21" a="1"/>
  <c r="AB9" i="21" a="1"/>
  <c r="AA9" i="21" a="1"/>
  <c r="Z9" i="21" a="1"/>
  <c r="Y9" i="21" a="1"/>
  <c r="X9" i="21" a="1"/>
  <c r="AA8" i="21" a="1"/>
  <c r="Z8" i="21" a="1"/>
  <c r="Y8" i="21" a="1"/>
  <c r="X8" i="21" a="1"/>
  <c r="Z7" i="21" a="1"/>
  <c r="Y7" i="21" a="1"/>
  <c r="X7" i="21" a="1"/>
  <c r="Y6" i="21" a="1"/>
  <c r="X6" i="21" a="1"/>
  <c r="R28" i="14"/>
  <c r="Q28" i="14"/>
  <c r="P28" i="14"/>
  <c r="R27" i="14"/>
  <c r="Q27" i="14"/>
  <c r="P27" i="14"/>
  <c r="R26" i="14"/>
  <c r="Q26" i="14"/>
  <c r="P26" i="14"/>
  <c r="R25" i="14"/>
  <c r="Q25" i="14"/>
  <c r="P25" i="14"/>
  <c r="R24" i="14"/>
  <c r="Q24" i="14"/>
  <c r="P24" i="14"/>
  <c r="R23" i="14"/>
  <c r="Q23" i="14"/>
  <c r="P23" i="14"/>
  <c r="R22" i="14"/>
  <c r="Q22" i="14"/>
  <c r="P22" i="14"/>
  <c r="R21" i="14"/>
  <c r="Q21" i="14"/>
  <c r="P21" i="14"/>
  <c r="R20" i="14"/>
  <c r="Q20" i="14"/>
  <c r="P20" i="14"/>
  <c r="R14" i="14"/>
  <c r="Q14" i="14"/>
  <c r="P14" i="14"/>
  <c r="R13" i="14"/>
  <c r="Q13" i="14"/>
  <c r="P13" i="14"/>
  <c r="R12" i="14"/>
  <c r="Q12" i="14"/>
  <c r="P12" i="14"/>
  <c r="R11" i="14"/>
  <c r="Q11" i="14"/>
  <c r="P11" i="14"/>
  <c r="R10" i="14"/>
  <c r="Q10" i="14"/>
  <c r="P10" i="14"/>
  <c r="R9" i="14"/>
  <c r="Q9" i="14"/>
  <c r="P9" i="14"/>
  <c r="R8" i="14"/>
  <c r="Q8" i="14"/>
  <c r="P8" i="14"/>
  <c r="R7" i="14"/>
  <c r="Q7" i="14"/>
  <c r="P7" i="14"/>
  <c r="R6" i="14"/>
  <c r="Q6" i="14"/>
  <c r="P6" i="14"/>
  <c r="G52" i="11"/>
  <c r="F52" i="11"/>
  <c r="E52" i="11"/>
  <c r="D52" i="11"/>
  <c r="G51" i="11"/>
  <c r="F51" i="11"/>
  <c r="E51" i="11"/>
  <c r="D51" i="11"/>
  <c r="G50" i="11"/>
  <c r="F50" i="11"/>
  <c r="E50" i="11"/>
  <c r="D50" i="11"/>
  <c r="G49" i="11"/>
  <c r="F49" i="11"/>
  <c r="E49" i="11"/>
  <c r="D49" i="11"/>
  <c r="G24" i="11"/>
  <c r="F24" i="11"/>
  <c r="E24" i="11"/>
  <c r="D24" i="11"/>
  <c r="G23" i="11"/>
  <c r="F23" i="11"/>
  <c r="E23" i="11"/>
  <c r="D23" i="11"/>
  <c r="G22" i="11"/>
  <c r="F22" i="11"/>
  <c r="E22" i="11"/>
  <c r="D22" i="11"/>
  <c r="G21" i="11"/>
  <c r="F21" i="11"/>
  <c r="E21" i="11"/>
  <c r="D21" i="11"/>
  <c r="K21" i="17" a="1"/>
  <c r="J21" i="17" a="1"/>
  <c r="K20" i="17" a="1"/>
  <c r="J20" i="17" a="1"/>
  <c r="K19" i="17" a="1"/>
  <c r="J19" i="17" a="1"/>
  <c r="K18" i="17" a="1"/>
  <c r="J18" i="17" a="1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Q62" i="15"/>
  <c r="P62" i="15"/>
  <c r="O62" i="15"/>
  <c r="Q61" i="15"/>
  <c r="P61" i="15"/>
  <c r="O61" i="15"/>
  <c r="Q60" i="15"/>
  <c r="P60" i="15"/>
  <c r="O60" i="15"/>
  <c r="Q59" i="15"/>
  <c r="P59" i="15"/>
  <c r="O59" i="15"/>
  <c r="Q58" i="15"/>
  <c r="P58" i="15"/>
  <c r="O58" i="15"/>
  <c r="Q57" i="15"/>
  <c r="P57" i="15"/>
  <c r="O57" i="15"/>
  <c r="Q56" i="15"/>
  <c r="P56" i="15"/>
  <c r="O56" i="15"/>
  <c r="Q55" i="15"/>
  <c r="P55" i="15"/>
  <c r="O55" i="15"/>
  <c r="Q54" i="15"/>
  <c r="P54" i="15"/>
  <c r="O54" i="15"/>
  <c r="Q53" i="15"/>
  <c r="P53" i="15"/>
  <c r="O53" i="15"/>
  <c r="Q52" i="15"/>
  <c r="P52" i="15"/>
  <c r="O52" i="15"/>
  <c r="Q51" i="15"/>
  <c r="P51" i="15"/>
  <c r="O51" i="15"/>
  <c r="Q50" i="15"/>
  <c r="P50" i="15"/>
  <c r="O50" i="15"/>
  <c r="Q49" i="15"/>
  <c r="P49" i="15"/>
  <c r="O49" i="15"/>
  <c r="Q48" i="15"/>
  <c r="P48" i="15"/>
  <c r="O48" i="15"/>
  <c r="Q47" i="15"/>
  <c r="P47" i="15"/>
  <c r="O47" i="15"/>
  <c r="Q46" i="15"/>
  <c r="P46" i="15"/>
  <c r="O46" i="15"/>
  <c r="Q45" i="15"/>
  <c r="P45" i="15"/>
  <c r="O45" i="15"/>
  <c r="Q44" i="15"/>
  <c r="P44" i="15"/>
  <c r="O44" i="15"/>
  <c r="Q43" i="15"/>
  <c r="P43" i="15"/>
  <c r="O43" i="15"/>
  <c r="Q42" i="15"/>
  <c r="P42" i="15"/>
  <c r="O42" i="15"/>
  <c r="Q41" i="15"/>
  <c r="P41" i="15"/>
  <c r="O41" i="15"/>
  <c r="Q40" i="15"/>
  <c r="P40" i="15"/>
  <c r="O40" i="15"/>
  <c r="Q39" i="15"/>
  <c r="P39" i="15"/>
  <c r="O39" i="15"/>
  <c r="Q29" i="15"/>
  <c r="P29" i="15"/>
  <c r="O29" i="15"/>
  <c r="Q28" i="15"/>
  <c r="P28" i="15"/>
  <c r="O28" i="15"/>
  <c r="Q27" i="15"/>
  <c r="P27" i="15"/>
  <c r="O27" i="15"/>
  <c r="Q26" i="15"/>
  <c r="P26" i="15"/>
  <c r="O26" i="15"/>
  <c r="Q25" i="15"/>
  <c r="P25" i="15"/>
  <c r="O25" i="15"/>
  <c r="Q24" i="15"/>
  <c r="P24" i="15"/>
  <c r="O24" i="15"/>
  <c r="Q23" i="15"/>
  <c r="P23" i="15"/>
  <c r="O23" i="15"/>
  <c r="Q22" i="15"/>
  <c r="P22" i="15"/>
  <c r="O22" i="15"/>
  <c r="Q21" i="15"/>
  <c r="P21" i="15"/>
  <c r="O21" i="15"/>
  <c r="Q20" i="15"/>
  <c r="P20" i="15"/>
  <c r="O20" i="15"/>
  <c r="Q19" i="15"/>
  <c r="P19" i="15"/>
  <c r="O19" i="15"/>
  <c r="Q18" i="15"/>
  <c r="P18" i="15"/>
  <c r="O18" i="15"/>
  <c r="Q17" i="15"/>
  <c r="P17" i="15"/>
  <c r="O17" i="15"/>
  <c r="Q16" i="15"/>
  <c r="P16" i="15"/>
  <c r="O16" i="15"/>
  <c r="Q15" i="15"/>
  <c r="P15" i="15"/>
  <c r="O15" i="15"/>
  <c r="Q14" i="15"/>
  <c r="P14" i="15"/>
  <c r="O14" i="15"/>
  <c r="Q13" i="15"/>
  <c r="P13" i="15"/>
  <c r="O13" i="15"/>
  <c r="Q12" i="15"/>
  <c r="P12" i="15"/>
  <c r="O12" i="15"/>
  <c r="Q11" i="15"/>
  <c r="P11" i="15"/>
  <c r="O11" i="15"/>
  <c r="Q10" i="15"/>
  <c r="P10" i="15"/>
  <c r="O10" i="15"/>
  <c r="Q9" i="15"/>
  <c r="P9" i="15"/>
  <c r="O9" i="15"/>
  <c r="Q8" i="15"/>
  <c r="P8" i="15"/>
  <c r="O8" i="15"/>
  <c r="Q7" i="15"/>
  <c r="P7" i="15"/>
  <c r="O7" i="15"/>
  <c r="Q6" i="15"/>
  <c r="P6" i="15"/>
  <c r="O6" i="15"/>
  <c r="W18" i="21" a="1"/>
  <c r="V18" i="21" a="1"/>
  <c r="U18" i="21" a="1"/>
  <c r="T18" i="21" a="1"/>
  <c r="S18" i="21" a="1"/>
  <c r="V17" i="21" a="1"/>
  <c r="U17" i="21" a="1"/>
  <c r="T17" i="21" a="1"/>
  <c r="S17" i="21" a="1"/>
  <c r="U16" i="21" a="1"/>
  <c r="T16" i="21" a="1"/>
  <c r="S16" i="21" a="1"/>
  <c r="T15" i="21" a="1"/>
  <c r="S15" i="21" a="1"/>
  <c r="W9" i="21" a="1"/>
  <c r="V9" i="21" a="1"/>
  <c r="U9" i="21" a="1"/>
  <c r="T9" i="21" a="1"/>
  <c r="S9" i="21" a="1"/>
  <c r="V8" i="21" a="1"/>
  <c r="U8" i="21" a="1"/>
  <c r="T8" i="21" a="1"/>
  <c r="S8" i="21" a="1"/>
  <c r="U7" i="21" a="1"/>
  <c r="T7" i="21" a="1"/>
  <c r="S7" i="21" a="1"/>
  <c r="T6" i="21" a="1"/>
  <c r="S6" i="21" a="1"/>
  <c r="O28" i="14"/>
  <c r="N28" i="14"/>
  <c r="M28" i="14"/>
  <c r="O27" i="14"/>
  <c r="N27" i="14"/>
  <c r="M27" i="14"/>
  <c r="O26" i="14"/>
  <c r="N26" i="14"/>
  <c r="M26" i="14"/>
  <c r="O25" i="14"/>
  <c r="N25" i="14"/>
  <c r="M25" i="14"/>
  <c r="O24" i="14"/>
  <c r="N24" i="14"/>
  <c r="M24" i="14"/>
  <c r="O23" i="14"/>
  <c r="N23" i="14"/>
  <c r="M23" i="14"/>
  <c r="O22" i="14"/>
  <c r="N22" i="14"/>
  <c r="M22" i="14"/>
  <c r="O21" i="14"/>
  <c r="N21" i="14"/>
  <c r="M21" i="14"/>
  <c r="O20" i="14"/>
  <c r="N20" i="14"/>
  <c r="M20" i="14"/>
  <c r="O14" i="14"/>
  <c r="N14" i="14"/>
  <c r="M14" i="14"/>
  <c r="O13" i="14"/>
  <c r="N13" i="14"/>
  <c r="M13" i="14"/>
  <c r="O12" i="14"/>
  <c r="N12" i="14"/>
  <c r="M12" i="14"/>
  <c r="O11" i="14"/>
  <c r="N11" i="14"/>
  <c r="M11" i="14"/>
  <c r="O10" i="14"/>
  <c r="N10" i="14"/>
  <c r="M10" i="14"/>
  <c r="O9" i="14"/>
  <c r="N9" i="14"/>
  <c r="M9" i="14"/>
  <c r="O8" i="14"/>
  <c r="N8" i="14"/>
  <c r="M8" i="14"/>
  <c r="O7" i="14"/>
  <c r="N7" i="14"/>
  <c r="M7" i="14"/>
  <c r="O6" i="14"/>
  <c r="N6" i="14"/>
  <c r="M6" i="14"/>
  <c r="G48" i="11"/>
  <c r="F48" i="11"/>
  <c r="E48" i="11"/>
  <c r="D48" i="11"/>
  <c r="G47" i="11"/>
  <c r="F47" i="11"/>
  <c r="E47" i="11"/>
  <c r="D47" i="11"/>
  <c r="G46" i="11"/>
  <c r="F46" i="11"/>
  <c r="E46" i="11"/>
  <c r="D46" i="11"/>
  <c r="G45" i="11"/>
  <c r="F45" i="11"/>
  <c r="E45" i="11"/>
  <c r="D45" i="11"/>
  <c r="G20" i="11"/>
  <c r="F20" i="11"/>
  <c r="E20" i="11"/>
  <c r="D20" i="11"/>
  <c r="G19" i="11"/>
  <c r="F19" i="11"/>
  <c r="E19" i="11"/>
  <c r="D19" i="11"/>
  <c r="G18" i="11"/>
  <c r="F18" i="11"/>
  <c r="E18" i="11"/>
  <c r="D18" i="11"/>
  <c r="G17" i="11"/>
  <c r="F17" i="11"/>
  <c r="E17" i="11"/>
  <c r="D17" i="11"/>
  <c r="I21" i="17" a="1"/>
  <c r="H21" i="17" a="1"/>
  <c r="I20" i="17" a="1"/>
  <c r="H20" i="17" a="1"/>
  <c r="I19" i="17" a="1"/>
  <c r="H19" i="17" a="1"/>
  <c r="I18" i="17" a="1"/>
  <c r="H18" i="17" a="1"/>
  <c r="I17" i="17"/>
  <c r="H17" i="17"/>
  <c r="I16" i="17"/>
  <c r="H16" i="17"/>
  <c r="I15" i="17"/>
  <c r="H15" i="17"/>
  <c r="I14" i="17"/>
  <c r="H14" i="17"/>
  <c r="I13" i="17"/>
  <c r="H13" i="17"/>
  <c r="I12" i="17"/>
  <c r="H12" i="17"/>
  <c r="I11" i="17"/>
  <c r="H11" i="17"/>
  <c r="I10" i="17"/>
  <c r="H10" i="17"/>
  <c r="I9" i="17"/>
  <c r="H9" i="17"/>
  <c r="I8" i="17"/>
  <c r="H8" i="17"/>
  <c r="I7" i="17"/>
  <c r="H7" i="17"/>
  <c r="I6" i="17"/>
  <c r="H6" i="17"/>
  <c r="N62" i="15"/>
  <c r="M62" i="15"/>
  <c r="L62" i="15"/>
  <c r="N61" i="15"/>
  <c r="M61" i="15"/>
  <c r="L61" i="15"/>
  <c r="N60" i="15"/>
  <c r="M60" i="15"/>
  <c r="L60" i="15"/>
  <c r="N59" i="15"/>
  <c r="M59" i="15"/>
  <c r="L59" i="15"/>
  <c r="N58" i="15"/>
  <c r="M58" i="15"/>
  <c r="L58" i="15"/>
  <c r="N57" i="15"/>
  <c r="M57" i="15"/>
  <c r="L57" i="15"/>
  <c r="N56" i="15"/>
  <c r="M56" i="15"/>
  <c r="L56" i="15"/>
  <c r="N55" i="15"/>
  <c r="M55" i="15"/>
  <c r="L55" i="15"/>
  <c r="N54" i="15"/>
  <c r="M54" i="15"/>
  <c r="L54" i="15"/>
  <c r="N53" i="15"/>
  <c r="M53" i="15"/>
  <c r="L53" i="15"/>
  <c r="N52" i="15"/>
  <c r="M52" i="15"/>
  <c r="L52" i="15"/>
  <c r="N51" i="15"/>
  <c r="M51" i="15"/>
  <c r="L51" i="15"/>
  <c r="N50" i="15"/>
  <c r="M50" i="15"/>
  <c r="L50" i="15"/>
  <c r="N49" i="15"/>
  <c r="M49" i="15"/>
  <c r="L49" i="15"/>
  <c r="N48" i="15"/>
  <c r="M48" i="15"/>
  <c r="L48" i="15"/>
  <c r="N47" i="15"/>
  <c r="M47" i="15"/>
  <c r="L47" i="15"/>
  <c r="N46" i="15"/>
  <c r="M46" i="15"/>
  <c r="L46" i="15"/>
  <c r="N45" i="15"/>
  <c r="M45" i="15"/>
  <c r="L45" i="15"/>
  <c r="N44" i="15"/>
  <c r="M44" i="15"/>
  <c r="L44" i="15"/>
  <c r="N43" i="15"/>
  <c r="M43" i="15"/>
  <c r="L43" i="15"/>
  <c r="N42" i="15"/>
  <c r="M42" i="15"/>
  <c r="L42" i="15"/>
  <c r="N41" i="15"/>
  <c r="M41" i="15"/>
  <c r="L41" i="15"/>
  <c r="N40" i="15"/>
  <c r="M40" i="15"/>
  <c r="L40" i="15"/>
  <c r="N39" i="15"/>
  <c r="M39" i="15"/>
  <c r="L39" i="15"/>
  <c r="N29" i="15"/>
  <c r="M29" i="15"/>
  <c r="L29" i="15"/>
  <c r="N28" i="15"/>
  <c r="M28" i="15"/>
  <c r="L28" i="15"/>
  <c r="N27" i="15"/>
  <c r="M27" i="15"/>
  <c r="L27" i="15"/>
  <c r="N26" i="15"/>
  <c r="M26" i="15"/>
  <c r="L26" i="15"/>
  <c r="N25" i="15"/>
  <c r="M25" i="15"/>
  <c r="L25" i="15"/>
  <c r="N24" i="15"/>
  <c r="M24" i="15"/>
  <c r="L24" i="15"/>
  <c r="N23" i="15"/>
  <c r="M23" i="15"/>
  <c r="L23" i="15"/>
  <c r="N22" i="15"/>
  <c r="M22" i="15"/>
  <c r="L22" i="15"/>
  <c r="N21" i="15"/>
  <c r="M21" i="15"/>
  <c r="L21" i="15"/>
  <c r="N20" i="15"/>
  <c r="M20" i="15"/>
  <c r="L20" i="15"/>
  <c r="N19" i="15"/>
  <c r="M19" i="15"/>
  <c r="L19" i="15"/>
  <c r="N18" i="15"/>
  <c r="M18" i="15"/>
  <c r="L18" i="15"/>
  <c r="N17" i="15"/>
  <c r="M17" i="15"/>
  <c r="L17" i="15"/>
  <c r="N16" i="15"/>
  <c r="M16" i="15"/>
  <c r="L16" i="15"/>
  <c r="N15" i="15"/>
  <c r="M15" i="15"/>
  <c r="L15" i="15"/>
  <c r="N14" i="15"/>
  <c r="M14" i="15"/>
  <c r="L14" i="15"/>
  <c r="N13" i="15"/>
  <c r="M13" i="15"/>
  <c r="L13" i="15"/>
  <c r="N12" i="15"/>
  <c r="M12" i="15"/>
  <c r="L12" i="15"/>
  <c r="N11" i="15"/>
  <c r="M11" i="15"/>
  <c r="L11" i="15"/>
  <c r="N10" i="15"/>
  <c r="M10" i="15"/>
  <c r="L10" i="15"/>
  <c r="N9" i="15"/>
  <c r="M9" i="15"/>
  <c r="L9" i="15"/>
  <c r="N8" i="15"/>
  <c r="M8" i="15"/>
  <c r="L8" i="15"/>
  <c r="N7" i="15"/>
  <c r="M7" i="15"/>
  <c r="L7" i="15"/>
  <c r="N6" i="15"/>
  <c r="M6" i="15"/>
  <c r="L6" i="15"/>
  <c r="R18" i="21" a="1"/>
  <c r="Q18" i="21" a="1"/>
  <c r="P18" i="21" a="1"/>
  <c r="O18" i="21" a="1"/>
  <c r="N18" i="21" a="1"/>
  <c r="Q17" i="21" a="1"/>
  <c r="P17" i="21" a="1"/>
  <c r="O17" i="21" a="1"/>
  <c r="N17" i="21" a="1"/>
  <c r="P16" i="21" a="1"/>
  <c r="O16" i="21" a="1"/>
  <c r="N16" i="21" a="1"/>
  <c r="O15" i="21" a="1"/>
  <c r="N15" i="21" a="1"/>
  <c r="R9" i="21" a="1"/>
  <c r="Q9" i="21" a="1"/>
  <c r="P9" i="21" a="1"/>
  <c r="O9" i="21" a="1"/>
  <c r="N9" i="21" a="1"/>
  <c r="Q8" i="21" a="1"/>
  <c r="P8" i="21" a="1"/>
  <c r="O8" i="21" a="1"/>
  <c r="N8" i="21" a="1"/>
  <c r="P7" i="21" a="1"/>
  <c r="O7" i="21" a="1"/>
  <c r="N7" i="21" a="1"/>
  <c r="O6" i="21" a="1"/>
  <c r="N6" i="21" a="1"/>
  <c r="L28" i="14"/>
  <c r="K28" i="14"/>
  <c r="J28" i="14"/>
  <c r="L27" i="14"/>
  <c r="K27" i="14"/>
  <c r="J27" i="14"/>
  <c r="L26" i="14"/>
  <c r="K26" i="14"/>
  <c r="J26" i="14"/>
  <c r="L25" i="14"/>
  <c r="K25" i="14"/>
  <c r="J25" i="14"/>
  <c r="L24" i="14"/>
  <c r="K24" i="14"/>
  <c r="J24" i="14"/>
  <c r="L23" i="14"/>
  <c r="K23" i="14"/>
  <c r="J23" i="14"/>
  <c r="L22" i="14"/>
  <c r="K22" i="14"/>
  <c r="J22" i="14"/>
  <c r="L21" i="14"/>
  <c r="K21" i="14"/>
  <c r="J21" i="14"/>
  <c r="L20" i="14"/>
  <c r="K20" i="14"/>
  <c r="J20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G44" i="11"/>
  <c r="F44" i="11"/>
  <c r="E44" i="11"/>
  <c r="D44" i="11"/>
  <c r="G43" i="11"/>
  <c r="F43" i="11"/>
  <c r="E43" i="11"/>
  <c r="D43" i="11"/>
  <c r="G42" i="11"/>
  <c r="F42" i="11"/>
  <c r="E42" i="11"/>
  <c r="D42" i="11"/>
  <c r="G41" i="11"/>
  <c r="F41" i="11"/>
  <c r="E41" i="11"/>
  <c r="D41" i="11"/>
  <c r="G16" i="11"/>
  <c r="F16" i="11"/>
  <c r="E16" i="11"/>
  <c r="D16" i="11"/>
  <c r="G15" i="11"/>
  <c r="F15" i="11"/>
  <c r="E15" i="11"/>
  <c r="D15" i="11"/>
  <c r="G14" i="11"/>
  <c r="F14" i="11"/>
  <c r="E14" i="11"/>
  <c r="D14" i="11"/>
  <c r="G13" i="11"/>
  <c r="F13" i="11"/>
  <c r="E13" i="11"/>
  <c r="D13" i="11"/>
  <c r="G21" i="17" a="1"/>
  <c r="F21" i="17" a="1"/>
  <c r="G20" i="17" a="1"/>
  <c r="F20" i="17" a="1"/>
  <c r="G19" i="17" a="1"/>
  <c r="F19" i="17" a="1"/>
  <c r="G18" i="17" a="1"/>
  <c r="F18" i="17" a="1"/>
  <c r="G17" i="17"/>
  <c r="F17" i="17"/>
  <c r="G16" i="17"/>
  <c r="F16" i="17"/>
  <c r="G15" i="17"/>
  <c r="F15" i="17"/>
  <c r="G14" i="17"/>
  <c r="F14" i="17"/>
  <c r="G13" i="17"/>
  <c r="F13" i="17"/>
  <c r="G12" i="17"/>
  <c r="F12" i="17"/>
  <c r="G11" i="17"/>
  <c r="F11" i="17"/>
  <c r="G10" i="17"/>
  <c r="F10" i="17"/>
  <c r="G9" i="17"/>
  <c r="F9" i="17"/>
  <c r="G8" i="17"/>
  <c r="F8" i="17"/>
  <c r="G7" i="17"/>
  <c r="F7" i="17"/>
  <c r="G6" i="17"/>
  <c r="F6" i="17"/>
  <c r="K62" i="15"/>
  <c r="J62" i="15"/>
  <c r="I62" i="15"/>
  <c r="K61" i="15"/>
  <c r="J61" i="15"/>
  <c r="I61" i="15"/>
  <c r="K60" i="15"/>
  <c r="J60" i="15"/>
  <c r="I60" i="15"/>
  <c r="K59" i="15"/>
  <c r="J59" i="15"/>
  <c r="I59" i="15"/>
  <c r="K58" i="15"/>
  <c r="J58" i="15"/>
  <c r="I58" i="15"/>
  <c r="K57" i="15"/>
  <c r="J57" i="15"/>
  <c r="I57" i="15"/>
  <c r="K56" i="15"/>
  <c r="J56" i="15"/>
  <c r="I56" i="15"/>
  <c r="K55" i="15"/>
  <c r="J55" i="15"/>
  <c r="I55" i="15"/>
  <c r="K54" i="15"/>
  <c r="J54" i="15"/>
  <c r="I54" i="15"/>
  <c r="K53" i="15"/>
  <c r="J53" i="15"/>
  <c r="I53" i="15"/>
  <c r="K52" i="15"/>
  <c r="J52" i="15"/>
  <c r="I52" i="15"/>
  <c r="K51" i="15"/>
  <c r="J51" i="15"/>
  <c r="I51" i="15"/>
  <c r="K50" i="15"/>
  <c r="J50" i="15"/>
  <c r="I50" i="15"/>
  <c r="K49" i="15"/>
  <c r="J49" i="15"/>
  <c r="I49" i="15"/>
  <c r="K48" i="15"/>
  <c r="J48" i="15"/>
  <c r="I48" i="15"/>
  <c r="K47" i="15"/>
  <c r="J47" i="15"/>
  <c r="I47" i="15"/>
  <c r="K46" i="15"/>
  <c r="J46" i="15"/>
  <c r="I46" i="15"/>
  <c r="K45" i="15"/>
  <c r="J45" i="15"/>
  <c r="I45" i="15"/>
  <c r="K44" i="15"/>
  <c r="J44" i="15"/>
  <c r="I44" i="15"/>
  <c r="K43" i="15"/>
  <c r="J43" i="15"/>
  <c r="I43" i="15"/>
  <c r="K42" i="15"/>
  <c r="J42" i="15"/>
  <c r="I42" i="15"/>
  <c r="K41" i="15"/>
  <c r="J41" i="15"/>
  <c r="I41" i="15"/>
  <c r="K40" i="15"/>
  <c r="J40" i="15"/>
  <c r="I40" i="15"/>
  <c r="K39" i="15"/>
  <c r="J39" i="15"/>
  <c r="I39" i="15"/>
  <c r="K29" i="15"/>
  <c r="J29" i="15"/>
  <c r="I29" i="15"/>
  <c r="K28" i="15"/>
  <c r="J28" i="15"/>
  <c r="I28" i="15"/>
  <c r="K27" i="15"/>
  <c r="J27" i="15"/>
  <c r="I27" i="15"/>
  <c r="K26" i="15"/>
  <c r="J26" i="15"/>
  <c r="I26" i="15"/>
  <c r="K25" i="15"/>
  <c r="J25" i="15"/>
  <c r="I25" i="15"/>
  <c r="K24" i="15"/>
  <c r="J24" i="15"/>
  <c r="I24" i="15"/>
  <c r="K23" i="15"/>
  <c r="J23" i="15"/>
  <c r="I23" i="15"/>
  <c r="K22" i="15"/>
  <c r="J22" i="15"/>
  <c r="I22" i="15"/>
  <c r="K21" i="15"/>
  <c r="J21" i="15"/>
  <c r="I21" i="15"/>
  <c r="K20" i="15"/>
  <c r="J20" i="15"/>
  <c r="I20" i="15"/>
  <c r="K19" i="15"/>
  <c r="J19" i="15"/>
  <c r="I19" i="15"/>
  <c r="K18" i="15"/>
  <c r="J18" i="15"/>
  <c r="I18" i="15"/>
  <c r="K17" i="15"/>
  <c r="J17" i="15"/>
  <c r="I17" i="15"/>
  <c r="K16" i="15"/>
  <c r="J16" i="15"/>
  <c r="I16" i="15"/>
  <c r="K15" i="15"/>
  <c r="J15" i="15"/>
  <c r="I15" i="15"/>
  <c r="K14" i="15"/>
  <c r="J14" i="15"/>
  <c r="I14" i="15"/>
  <c r="K13" i="15"/>
  <c r="J13" i="15"/>
  <c r="I13" i="15"/>
  <c r="K12" i="15"/>
  <c r="J12" i="15"/>
  <c r="I12" i="15"/>
  <c r="K11" i="15"/>
  <c r="J11" i="15"/>
  <c r="I11" i="15"/>
  <c r="K10" i="15"/>
  <c r="J10" i="15"/>
  <c r="I10" i="15"/>
  <c r="K9" i="15"/>
  <c r="J9" i="15"/>
  <c r="I9" i="15"/>
  <c r="K8" i="15"/>
  <c r="J8" i="15"/>
  <c r="I8" i="15"/>
  <c r="K7" i="15"/>
  <c r="J7" i="15"/>
  <c r="I7" i="15"/>
  <c r="K6" i="15"/>
  <c r="J6" i="15"/>
  <c r="I6" i="15"/>
  <c r="M18" i="21" a="1"/>
  <c r="L18" i="21" a="1"/>
  <c r="K18" i="21" a="1"/>
  <c r="J18" i="21" a="1"/>
  <c r="I18" i="21" a="1"/>
  <c r="L17" i="21" a="1"/>
  <c r="K17" i="21" a="1"/>
  <c r="J17" i="21" a="1"/>
  <c r="I17" i="21" a="1"/>
  <c r="K16" i="21" a="1"/>
  <c r="J16" i="21" a="1"/>
  <c r="I16" i="21" a="1"/>
  <c r="J15" i="21" a="1"/>
  <c r="I15" i="21" a="1"/>
  <c r="M9" i="21" a="1"/>
  <c r="L9" i="21" a="1"/>
  <c r="K9" i="21" a="1"/>
  <c r="J9" i="21" a="1"/>
  <c r="I9" i="21" a="1"/>
  <c r="L8" i="21" a="1"/>
  <c r="K8" i="21" a="1"/>
  <c r="J8" i="21" a="1"/>
  <c r="I8" i="21" a="1"/>
  <c r="K7" i="21" a="1"/>
  <c r="J7" i="21" a="1"/>
  <c r="I7" i="21" a="1"/>
  <c r="J6" i="21" a="1"/>
  <c r="I6" i="21" a="1"/>
  <c r="I28" i="14"/>
  <c r="H28" i="14"/>
  <c r="G28" i="14"/>
  <c r="I27" i="14"/>
  <c r="H27" i="14"/>
  <c r="G27" i="14"/>
  <c r="I26" i="14"/>
  <c r="H26" i="14"/>
  <c r="G26" i="14"/>
  <c r="I25" i="14"/>
  <c r="H25" i="14"/>
  <c r="G25" i="14"/>
  <c r="I24" i="14"/>
  <c r="H24" i="14"/>
  <c r="G24" i="14"/>
  <c r="I23" i="14"/>
  <c r="H23" i="14"/>
  <c r="G23" i="14"/>
  <c r="I22" i="14"/>
  <c r="H22" i="14"/>
  <c r="G22" i="14"/>
  <c r="I21" i="14"/>
  <c r="H21" i="14"/>
  <c r="G21" i="14"/>
  <c r="I20" i="14"/>
  <c r="H20" i="14"/>
  <c r="G20" i="14"/>
  <c r="I14" i="14"/>
  <c r="H14" i="14"/>
  <c r="G14" i="14"/>
  <c r="I13" i="14"/>
  <c r="H13" i="14"/>
  <c r="G13" i="14"/>
  <c r="I12" i="14"/>
  <c r="H12" i="14"/>
  <c r="G12" i="14"/>
  <c r="I11" i="14"/>
  <c r="H11" i="14"/>
  <c r="G11" i="14"/>
  <c r="I10" i="14"/>
  <c r="H10" i="14"/>
  <c r="G10" i="14"/>
  <c r="I9" i="14"/>
  <c r="H9" i="14"/>
  <c r="G9" i="14"/>
  <c r="I8" i="14"/>
  <c r="H8" i="14"/>
  <c r="G8" i="14"/>
  <c r="I7" i="14"/>
  <c r="H7" i="14"/>
  <c r="G7" i="14"/>
  <c r="I6" i="14"/>
  <c r="H6" i="14"/>
  <c r="G6" i="14"/>
  <c r="G40" i="11"/>
  <c r="F40" i="11"/>
  <c r="E40" i="11"/>
  <c r="D40" i="11"/>
  <c r="G39" i="11"/>
  <c r="F39" i="11"/>
  <c r="E39" i="11"/>
  <c r="D39" i="11"/>
  <c r="G38" i="11"/>
  <c r="F38" i="11"/>
  <c r="E38" i="11"/>
  <c r="D38" i="11"/>
  <c r="G37" i="11"/>
  <c r="F37" i="11"/>
  <c r="E37" i="11"/>
  <c r="D37" i="11"/>
  <c r="G12" i="11"/>
  <c r="F12" i="11"/>
  <c r="E12" i="11"/>
  <c r="D12" i="11"/>
  <c r="G11" i="11"/>
  <c r="F11" i="11"/>
  <c r="E11" i="11"/>
  <c r="D11" i="11"/>
  <c r="G10" i="11"/>
  <c r="F10" i="11"/>
  <c r="E10" i="11"/>
  <c r="D10" i="11"/>
  <c r="G9" i="11"/>
  <c r="F9" i="11"/>
  <c r="E9" i="11"/>
  <c r="D9" i="11"/>
  <c r="D59" i="15"/>
  <c r="D55" i="15"/>
  <c r="D51" i="15"/>
  <c r="D47" i="15"/>
  <c r="D43" i="15"/>
  <c r="D39" i="15"/>
  <c r="D26" i="15"/>
  <c r="D22" i="15"/>
  <c r="D18" i="15"/>
  <c r="D14" i="15"/>
  <c r="D10" i="15"/>
  <c r="D6" i="15"/>
  <c r="D8" i="11"/>
  <c r="D7" i="11"/>
  <c r="D6" i="11"/>
  <c r="E21" i="17" a="1"/>
  <c r="D21" i="17" a="1"/>
  <c r="E20" i="17" a="1"/>
  <c r="D20" i="17" a="1"/>
  <c r="E19" i="17" a="1"/>
  <c r="D19" i="17" a="1"/>
  <c r="E18" i="17" a="1"/>
  <c r="D18" i="17" a="1"/>
  <c r="E17" i="17"/>
  <c r="D17" i="17"/>
  <c r="E16" i="17"/>
  <c r="D16" i="17"/>
  <c r="E15" i="17"/>
  <c r="D15" i="17"/>
  <c r="E14" i="17"/>
  <c r="D14" i="17"/>
  <c r="E13" i="17"/>
  <c r="D13" i="17"/>
  <c r="E12" i="17"/>
  <c r="D12" i="17"/>
  <c r="E11" i="17"/>
  <c r="D11" i="17"/>
  <c r="E10" i="17"/>
  <c r="D10" i="17"/>
  <c r="E9" i="17"/>
  <c r="D9" i="17"/>
  <c r="E8" i="17"/>
  <c r="D8" i="17"/>
  <c r="E7" i="17"/>
  <c r="D7" i="17"/>
  <c r="E6" i="17"/>
  <c r="D6" i="17"/>
  <c r="H62" i="15"/>
  <c r="G62" i="15"/>
  <c r="F62" i="15"/>
  <c r="H61" i="15"/>
  <c r="G61" i="15"/>
  <c r="F61" i="15"/>
  <c r="H60" i="15"/>
  <c r="G60" i="15"/>
  <c r="F60" i="15"/>
  <c r="H59" i="15"/>
  <c r="G59" i="15"/>
  <c r="F59" i="15"/>
  <c r="H58" i="15"/>
  <c r="G58" i="15"/>
  <c r="F58" i="15"/>
  <c r="H57" i="15"/>
  <c r="G57" i="15"/>
  <c r="F57" i="15"/>
  <c r="H56" i="15"/>
  <c r="G56" i="15"/>
  <c r="F56" i="15"/>
  <c r="H55" i="15"/>
  <c r="G55" i="15"/>
  <c r="F55" i="15"/>
  <c r="H54" i="15"/>
  <c r="G54" i="15"/>
  <c r="F54" i="15"/>
  <c r="H53" i="15"/>
  <c r="G53" i="15"/>
  <c r="F53" i="15"/>
  <c r="H52" i="15"/>
  <c r="G52" i="15"/>
  <c r="F52" i="15"/>
  <c r="H51" i="15"/>
  <c r="G51" i="15"/>
  <c r="F51" i="15"/>
  <c r="H50" i="15"/>
  <c r="G50" i="15"/>
  <c r="F50" i="15"/>
  <c r="H49" i="15"/>
  <c r="G49" i="15"/>
  <c r="F49" i="15"/>
  <c r="H48" i="15"/>
  <c r="G48" i="15"/>
  <c r="F48" i="15"/>
  <c r="H47" i="15"/>
  <c r="G47" i="15"/>
  <c r="F47" i="15"/>
  <c r="H46" i="15"/>
  <c r="G46" i="15"/>
  <c r="F46" i="15"/>
  <c r="H45" i="15"/>
  <c r="G45" i="15"/>
  <c r="F45" i="15"/>
  <c r="H44" i="15"/>
  <c r="G44" i="15"/>
  <c r="F44" i="15"/>
  <c r="H43" i="15"/>
  <c r="G43" i="15"/>
  <c r="F43" i="15"/>
  <c r="H42" i="15"/>
  <c r="G42" i="15"/>
  <c r="F42" i="15"/>
  <c r="H41" i="15"/>
  <c r="G41" i="15"/>
  <c r="F41" i="15"/>
  <c r="H40" i="15"/>
  <c r="G40" i="15"/>
  <c r="F40" i="15"/>
  <c r="H39" i="15"/>
  <c r="G39" i="15"/>
  <c r="F39" i="15"/>
  <c r="H29" i="15"/>
  <c r="G29" i="15"/>
  <c r="F29" i="15"/>
  <c r="H28" i="15"/>
  <c r="G28" i="15"/>
  <c r="F28" i="15"/>
  <c r="H27" i="15"/>
  <c r="G27" i="15"/>
  <c r="F27" i="15"/>
  <c r="H26" i="15"/>
  <c r="G26" i="15"/>
  <c r="F26" i="15"/>
  <c r="H25" i="15"/>
  <c r="G25" i="15"/>
  <c r="F25" i="15"/>
  <c r="H24" i="15"/>
  <c r="G24" i="15"/>
  <c r="F24" i="15"/>
  <c r="H23" i="15"/>
  <c r="G23" i="15"/>
  <c r="F23" i="15"/>
  <c r="H22" i="15"/>
  <c r="G22" i="15"/>
  <c r="F22" i="15"/>
  <c r="H21" i="15"/>
  <c r="G21" i="15"/>
  <c r="F21" i="15"/>
  <c r="H20" i="15"/>
  <c r="G20" i="15"/>
  <c r="F20" i="15"/>
  <c r="H19" i="15"/>
  <c r="G19" i="15"/>
  <c r="F19" i="15"/>
  <c r="H18" i="15"/>
  <c r="G18" i="15"/>
  <c r="F18" i="15"/>
  <c r="H17" i="15"/>
  <c r="G17" i="15"/>
  <c r="F17" i="15"/>
  <c r="H16" i="15"/>
  <c r="G16" i="15"/>
  <c r="F16" i="15"/>
  <c r="H15" i="15"/>
  <c r="G15" i="15"/>
  <c r="F15" i="15"/>
  <c r="H14" i="15"/>
  <c r="G14" i="15"/>
  <c r="F14" i="15"/>
  <c r="H13" i="15"/>
  <c r="G13" i="15"/>
  <c r="F13" i="15"/>
  <c r="H12" i="15"/>
  <c r="G12" i="15"/>
  <c r="F12" i="15"/>
  <c r="H11" i="15"/>
  <c r="G11" i="15"/>
  <c r="F11" i="15"/>
  <c r="H10" i="15"/>
  <c r="G10" i="15"/>
  <c r="F10" i="15"/>
  <c r="H9" i="15"/>
  <c r="G9" i="15"/>
  <c r="F9" i="15"/>
  <c r="H8" i="15"/>
  <c r="G8" i="15"/>
  <c r="F8" i="15"/>
  <c r="H7" i="15"/>
  <c r="G7" i="15"/>
  <c r="F7" i="15"/>
  <c r="H6" i="15"/>
  <c r="G6" i="15"/>
  <c r="F6" i="15"/>
  <c r="H18" i="21" a="1"/>
  <c r="G18" i="21" a="1"/>
  <c r="F18" i="21" a="1"/>
  <c r="E18" i="21" a="1"/>
  <c r="D18" i="21" a="1"/>
  <c r="C18" i="21" a="1"/>
  <c r="G17" i="21" a="1"/>
  <c r="F17" i="21" a="1"/>
  <c r="E17" i="21" a="1"/>
  <c r="D17" i="21" a="1"/>
  <c r="C17" i="21" a="1"/>
  <c r="F16" i="21" a="1"/>
  <c r="E16" i="21" a="1"/>
  <c r="D16" i="21" a="1"/>
  <c r="C16" i="21" a="1"/>
  <c r="E15" i="21" a="1"/>
  <c r="D15" i="21" a="1"/>
  <c r="C15" i="21" a="1"/>
  <c r="H9" i="21" a="1"/>
  <c r="G9" i="21" a="1"/>
  <c r="F9" i="21" a="1"/>
  <c r="E9" i="21" a="1"/>
  <c r="D9" i="21" a="1"/>
  <c r="C9" i="21" a="1"/>
  <c r="G8" i="21" a="1"/>
  <c r="F8" i="21" a="1"/>
  <c r="E8" i="21" a="1"/>
  <c r="D8" i="21" a="1"/>
  <c r="C8" i="21" a="1"/>
  <c r="F7" i="21" a="1"/>
  <c r="E7" i="21" a="1"/>
  <c r="D7" i="21" a="1"/>
  <c r="C7" i="21" a="1"/>
  <c r="E6" i="21" a="1"/>
  <c r="D6" i="21" a="1"/>
  <c r="C6" i="21" a="1"/>
  <c r="F28" i="14"/>
  <c r="E28" i="14"/>
  <c r="D28" i="14"/>
  <c r="F27" i="14"/>
  <c r="E27" i="14"/>
  <c r="D27" i="14"/>
  <c r="F26" i="14"/>
  <c r="E26" i="14"/>
  <c r="D26" i="14"/>
  <c r="F25" i="14"/>
  <c r="E25" i="14"/>
  <c r="D25" i="14"/>
  <c r="F24" i="14"/>
  <c r="E24" i="14"/>
  <c r="D24" i="14"/>
  <c r="F23" i="14"/>
  <c r="E23" i="14"/>
  <c r="D23" i="14"/>
  <c r="F22" i="14"/>
  <c r="E22" i="14"/>
  <c r="D22" i="14"/>
  <c r="F21" i="14"/>
  <c r="E21" i="14"/>
  <c r="D21" i="14"/>
  <c r="F20" i="14"/>
  <c r="E20" i="14"/>
  <c r="D20" i="14"/>
  <c r="F14" i="14"/>
  <c r="E14" i="14"/>
  <c r="D14" i="14"/>
  <c r="F13" i="14"/>
  <c r="E13" i="14"/>
  <c r="D13" i="14"/>
  <c r="F12" i="14"/>
  <c r="E12" i="14"/>
  <c r="D12" i="14"/>
  <c r="F11" i="14"/>
  <c r="E11" i="14"/>
  <c r="D11" i="14"/>
  <c r="F10" i="14"/>
  <c r="E10" i="14"/>
  <c r="D10" i="14"/>
  <c r="F9" i="14"/>
  <c r="E9" i="14"/>
  <c r="D9" i="14"/>
  <c r="F8" i="14"/>
  <c r="E8" i="14"/>
  <c r="D8" i="14"/>
  <c r="F7" i="14"/>
  <c r="E7" i="14"/>
  <c r="D7" i="14"/>
  <c r="F6" i="14"/>
  <c r="E6" i="14"/>
  <c r="D6" i="14"/>
  <c r="G36" i="11"/>
  <c r="F36" i="11"/>
  <c r="E36" i="11"/>
  <c r="D36" i="11"/>
  <c r="G35" i="11"/>
  <c r="F35" i="11"/>
  <c r="E35" i="11"/>
  <c r="D35" i="11"/>
  <c r="G34" i="11"/>
  <c r="F34" i="11"/>
  <c r="E34" i="11"/>
  <c r="D34" i="11"/>
  <c r="G33" i="11"/>
  <c r="F33" i="11"/>
  <c r="E33" i="11"/>
  <c r="D33" i="11"/>
  <c r="G8" i="11"/>
  <c r="F8" i="11"/>
  <c r="E8" i="11"/>
  <c r="G7" i="11"/>
  <c r="F7" i="11"/>
  <c r="E7" i="11"/>
  <c r="G6" i="11"/>
  <c r="F6" i="11"/>
  <c r="E6" i="11"/>
  <c r="G5" i="11"/>
  <c r="F5" i="11"/>
  <c r="E5" i="11"/>
  <c r="D5" i="11"/>
  <c r="AJ119" i="33" a="1"/>
  <c r="Y119" i="33" a="1"/>
  <c r="N119" i="33" a="1"/>
  <c r="C119" i="33" a="1"/>
  <c r="AJ118" i="33" a="1"/>
  <c r="Y118" i="33" a="1"/>
  <c r="N118" i="33" a="1"/>
  <c r="C118" i="33" a="1"/>
  <c r="AJ117" i="33" a="1"/>
  <c r="Y117" i="33" a="1"/>
  <c r="N117" i="33" a="1"/>
  <c r="C117" i="33" a="1"/>
  <c r="AJ116" i="33" a="1"/>
  <c r="Y116" i="33" a="1"/>
  <c r="N116" i="33" a="1"/>
  <c r="C116" i="33" a="1"/>
  <c r="AJ115" i="33" a="1"/>
  <c r="Y115" i="33" a="1"/>
  <c r="N115" i="33" a="1"/>
  <c r="C115" i="33" a="1"/>
  <c r="AJ114" i="33" a="1"/>
  <c r="Y114" i="33" a="1"/>
  <c r="N114" i="33" a="1"/>
  <c r="C114" i="33" a="1"/>
  <c r="AJ113" i="33" a="1"/>
  <c r="Y113" i="33" a="1"/>
  <c r="N113" i="33" a="1"/>
  <c r="C113" i="33" a="1"/>
  <c r="AJ112" i="33" a="1"/>
  <c r="Y112" i="33" a="1"/>
  <c r="N112" i="33" a="1"/>
  <c r="C112" i="33" a="1"/>
  <c r="AJ111" i="33" a="1"/>
  <c r="Y111" i="33" a="1"/>
  <c r="N111" i="33" a="1"/>
  <c r="C111" i="33" a="1"/>
  <c r="AJ110" i="33" a="1"/>
  <c r="Y110" i="33" a="1"/>
  <c r="N110" i="33" a="1"/>
  <c r="C110" i="33" a="1"/>
  <c r="AJ109" i="33" a="1"/>
  <c r="Y109" i="33" a="1"/>
  <c r="N109" i="33" a="1"/>
  <c r="C109" i="33" a="1"/>
  <c r="AJ108" i="33" a="1"/>
  <c r="Y108" i="33" a="1"/>
  <c r="N108" i="33" a="1"/>
  <c r="C108" i="33" a="1"/>
  <c r="AJ107" i="33" a="1"/>
  <c r="Y107" i="33" a="1"/>
  <c r="N107" i="33" a="1"/>
  <c r="C107" i="33" a="1"/>
  <c r="AJ106" i="33" a="1"/>
  <c r="Y106" i="33" a="1"/>
  <c r="N106" i="33" a="1"/>
  <c r="C106" i="33" a="1"/>
  <c r="AJ105" i="33" a="1"/>
  <c r="Y105" i="33" a="1"/>
  <c r="N105" i="33" a="1"/>
  <c r="C105" i="33" a="1"/>
  <c r="AJ104" i="33" a="1"/>
  <c r="Y104" i="33" a="1"/>
  <c r="N104" i="33" a="1"/>
  <c r="C104" i="33" a="1"/>
  <c r="AJ103" i="33" a="1"/>
  <c r="Y103" i="33" a="1"/>
  <c r="N103" i="33" a="1"/>
  <c r="C103" i="33" a="1"/>
  <c r="AJ102" i="33" a="1"/>
  <c r="Y102" i="33" a="1"/>
  <c r="N102" i="33" a="1"/>
  <c r="C102" i="33" a="1"/>
  <c r="AJ101" i="33" a="1"/>
  <c r="Y101" i="33" a="1"/>
  <c r="N101" i="33" a="1"/>
  <c r="C101" i="33" a="1"/>
  <c r="AJ100" i="33" a="1"/>
  <c r="Y100" i="33" a="1"/>
  <c r="N100" i="33" a="1"/>
  <c r="C100" i="33" a="1"/>
  <c r="AJ99" i="33" a="1"/>
  <c r="Y99" i="33" a="1"/>
  <c r="N99" i="33" a="1"/>
  <c r="C99" i="33" a="1"/>
  <c r="AJ98" i="33" a="1"/>
  <c r="Y98" i="33" a="1"/>
  <c r="N98" i="33" a="1"/>
  <c r="C98" i="33" a="1"/>
  <c r="AJ97" i="33" a="1"/>
  <c r="Y97" i="33" a="1"/>
  <c r="N97" i="33" a="1"/>
  <c r="C97" i="33" a="1"/>
  <c r="AJ96" i="33" a="1"/>
  <c r="Y96" i="33" a="1"/>
  <c r="N96" i="33" a="1"/>
  <c r="C96" i="33" a="1"/>
  <c r="AJ95" i="33" a="1"/>
  <c r="Y95" i="33" a="1"/>
  <c r="N95" i="33" a="1"/>
  <c r="C95" i="33" a="1"/>
  <c r="AJ94" i="33" a="1"/>
  <c r="Y94" i="33" a="1"/>
  <c r="N94" i="33" a="1"/>
  <c r="C94" i="33" a="1"/>
  <c r="AJ93" i="33" a="1"/>
  <c r="Y93" i="33" a="1"/>
  <c r="N93" i="33" a="1"/>
  <c r="C93" i="33" a="1"/>
  <c r="AJ92" i="33" a="1"/>
  <c r="Y92" i="33" a="1"/>
  <c r="N92" i="33" a="1"/>
  <c r="C92" i="33" a="1"/>
  <c r="AJ91" i="33" a="1"/>
  <c r="Y91" i="33" a="1"/>
  <c r="N91" i="33" a="1"/>
  <c r="C91" i="33" a="1"/>
  <c r="AJ90" i="33" a="1"/>
  <c r="Y90" i="33" a="1"/>
  <c r="N90" i="33" a="1"/>
  <c r="C90" i="33" a="1"/>
  <c r="AJ89" i="33" a="1"/>
  <c r="Y89" i="33" a="1"/>
  <c r="N89" i="33" a="1"/>
  <c r="C89" i="33" a="1"/>
  <c r="AJ88" i="33" a="1"/>
  <c r="Y88" i="33" a="1"/>
  <c r="N88" i="33" a="1"/>
  <c r="C88" i="33" a="1"/>
  <c r="AJ87" i="33" a="1"/>
  <c r="Y87" i="33" a="1"/>
  <c r="N87" i="33" a="1"/>
  <c r="C87" i="33" a="1"/>
  <c r="AJ86" i="33" a="1"/>
  <c r="Y86" i="33" a="1"/>
  <c r="N86" i="33" a="1"/>
  <c r="C86" i="33" a="1"/>
  <c r="AJ85" i="33" a="1"/>
  <c r="Y85" i="33" a="1"/>
  <c r="N85" i="33" a="1"/>
  <c r="C85" i="33" a="1"/>
  <c r="AJ84" i="33" a="1"/>
  <c r="Y84" i="33" a="1"/>
  <c r="N84" i="33" a="1"/>
  <c r="C84" i="33" a="1"/>
  <c r="AJ83" i="33" a="1"/>
  <c r="Y83" i="33" a="1"/>
  <c r="N83" i="33" a="1"/>
  <c r="C83" i="33" a="1"/>
  <c r="AJ82" i="33" a="1"/>
  <c r="Y82" i="33" a="1"/>
  <c r="N82" i="33" a="1"/>
  <c r="C82" i="33" a="1"/>
  <c r="AJ81" i="33" a="1"/>
  <c r="Y81" i="33" a="1"/>
  <c r="N81" i="33" a="1"/>
  <c r="C81" i="33" a="1"/>
  <c r="AJ80" i="33" a="1"/>
  <c r="Y80" i="33" a="1"/>
  <c r="N80" i="33" a="1"/>
  <c r="C80" i="33" a="1"/>
  <c r="AJ79" i="33" a="1"/>
  <c r="Y79" i="33" a="1"/>
  <c r="N79" i="33" a="1"/>
  <c r="C79" i="33" a="1"/>
  <c r="AJ78" i="33" a="1"/>
  <c r="Y78" i="33" a="1"/>
  <c r="N78" i="33" a="1"/>
  <c r="C78" i="33" a="1"/>
  <c r="AJ77" i="33" a="1"/>
  <c r="Y77" i="33" a="1"/>
  <c r="N77" i="33" a="1"/>
  <c r="C77" i="33" a="1"/>
  <c r="AJ76" i="33" a="1"/>
  <c r="Y76" i="33" a="1"/>
  <c r="N76" i="33" a="1"/>
  <c r="C76" i="33" a="1"/>
  <c r="AJ75" i="33" a="1"/>
  <c r="Y75" i="33" a="1"/>
  <c r="N75" i="33" a="1"/>
  <c r="C75" i="33" a="1"/>
  <c r="AJ74" i="33" a="1"/>
  <c r="Y74" i="33" a="1"/>
  <c r="N74" i="33" a="1"/>
  <c r="C74" i="33" a="1"/>
  <c r="AJ73" i="33" a="1"/>
  <c r="Y73" i="33" a="1"/>
  <c r="N73" i="33" a="1"/>
  <c r="C73" i="33" a="1"/>
  <c r="AJ72" i="33" a="1"/>
  <c r="Y72" i="33" a="1"/>
  <c r="N72" i="33" a="1"/>
  <c r="C72" i="33" a="1"/>
  <c r="AJ71" i="33" a="1"/>
  <c r="Y71" i="33" a="1"/>
  <c r="N71" i="33" a="1"/>
  <c r="C71" i="33" a="1"/>
  <c r="AJ70" i="33" a="1"/>
  <c r="Y70" i="33" a="1"/>
  <c r="N70" i="33" a="1"/>
  <c r="C70" i="33" a="1"/>
  <c r="AJ69" i="33" a="1"/>
  <c r="Y69" i="33" a="1"/>
  <c r="N69" i="33" a="1"/>
  <c r="C69" i="33" a="1"/>
  <c r="AJ68" i="33" a="1"/>
  <c r="Y68" i="33" a="1"/>
  <c r="N68" i="33" a="1"/>
  <c r="C68" i="33" a="1"/>
  <c r="AJ67" i="33" a="1"/>
  <c r="Y67" i="33" a="1"/>
  <c r="N67" i="33" a="1"/>
  <c r="C67" i="33" a="1"/>
  <c r="AJ66" i="33" a="1"/>
  <c r="Y66" i="33" a="1"/>
  <c r="N66" i="33" a="1"/>
  <c r="C66" i="33" a="1"/>
  <c r="AJ65" i="33" a="1"/>
  <c r="Y65" i="33" a="1"/>
  <c r="N65" i="33" a="1"/>
  <c r="C65" i="33" a="1"/>
  <c r="AJ64" i="33" a="1"/>
  <c r="Y64" i="33" a="1"/>
  <c r="N64" i="33" a="1"/>
  <c r="C64" i="33" a="1"/>
  <c r="AJ63" i="33" a="1"/>
  <c r="Y63" i="33" a="1"/>
  <c r="N63" i="33" a="1"/>
  <c r="C63" i="33" a="1"/>
  <c r="AJ62" i="33" a="1"/>
  <c r="Y62" i="33" a="1"/>
  <c r="N62" i="33" a="1"/>
  <c r="C62" i="33" a="1"/>
  <c r="AJ61" i="33" a="1"/>
  <c r="Y61" i="33" a="1"/>
  <c r="N61" i="33" a="1"/>
  <c r="C61" i="33" a="1"/>
  <c r="AJ60" i="33" a="1"/>
  <c r="Y60" i="33" a="1"/>
  <c r="N60" i="33" a="1"/>
  <c r="C60" i="33" a="1"/>
  <c r="AJ59" i="33" a="1"/>
  <c r="Y59" i="33" a="1"/>
  <c r="N59" i="33" a="1"/>
  <c r="C59" i="33" a="1"/>
  <c r="AJ58" i="33" a="1"/>
  <c r="Y58" i="33" a="1"/>
  <c r="N58" i="33" a="1"/>
  <c r="C58" i="33" a="1"/>
  <c r="AJ57" i="33" a="1"/>
  <c r="Y57" i="33" a="1"/>
  <c r="N57" i="33" a="1"/>
  <c r="C57" i="33" a="1"/>
  <c r="AJ56" i="33" a="1"/>
  <c r="Y56" i="33" a="1"/>
  <c r="N56" i="33" a="1"/>
  <c r="C56" i="33" a="1"/>
  <c r="AJ55" i="33" a="1"/>
  <c r="Y55" i="33" a="1"/>
  <c r="N55" i="33" a="1"/>
  <c r="C55" i="33" a="1"/>
  <c r="AJ54" i="33" a="1"/>
  <c r="Y54" i="33" a="1"/>
  <c r="N54" i="33" a="1"/>
  <c r="C54" i="33" a="1"/>
  <c r="AJ53" i="33" a="1"/>
  <c r="Y53" i="33" a="1"/>
  <c r="N53" i="33" a="1"/>
  <c r="C53" i="33" a="1"/>
  <c r="AJ52" i="33" a="1"/>
  <c r="Y52" i="33" a="1"/>
  <c r="N52" i="33" a="1"/>
  <c r="C52" i="33" a="1"/>
  <c r="AJ51" i="33" a="1"/>
  <c r="Y51" i="33" a="1"/>
  <c r="N51" i="33" a="1"/>
  <c r="C51" i="33" a="1"/>
  <c r="AJ50" i="33" a="1"/>
  <c r="Y50" i="33" a="1"/>
  <c r="N50" i="33" a="1"/>
  <c r="C50" i="33" a="1"/>
  <c r="AJ49" i="33" a="1"/>
  <c r="Y49" i="33" a="1"/>
  <c r="N49" i="33" a="1"/>
  <c r="C49" i="33" a="1"/>
  <c r="AJ48" i="33" a="1"/>
  <c r="Y48" i="33" a="1"/>
  <c r="N48" i="33" a="1"/>
  <c r="C48" i="33" a="1"/>
  <c r="AJ47" i="33" a="1"/>
  <c r="Y47" i="33" a="1"/>
  <c r="N47" i="33" a="1"/>
  <c r="C47" i="33" a="1"/>
  <c r="AJ46" i="33" a="1"/>
  <c r="Y46" i="33" a="1"/>
  <c r="N46" i="33" a="1"/>
  <c r="C46" i="33" a="1"/>
  <c r="AJ45" i="33" a="1"/>
  <c r="Y45" i="33" a="1"/>
  <c r="N45" i="33" a="1"/>
  <c r="C45" i="33" a="1"/>
  <c r="AJ44" i="33" a="1"/>
  <c r="Y44" i="33" a="1"/>
  <c r="N44" i="33" a="1"/>
  <c r="C44" i="33" a="1"/>
  <c r="AJ43" i="33" a="1"/>
  <c r="Y43" i="33" a="1"/>
  <c r="N43" i="33" a="1"/>
  <c r="C43" i="33" a="1"/>
  <c r="AJ42" i="33" a="1"/>
  <c r="Y42" i="33" a="1"/>
  <c r="N42" i="33" a="1"/>
  <c r="C42" i="33" a="1"/>
  <c r="AJ41" i="33" a="1"/>
  <c r="Y41" i="33" a="1"/>
  <c r="N41" i="33" a="1"/>
  <c r="C41" i="33" a="1"/>
  <c r="AJ40" i="33" a="1"/>
  <c r="Y40" i="33" a="1"/>
  <c r="N40" i="33" a="1"/>
  <c r="C40" i="33" a="1"/>
  <c r="AJ39" i="33" a="1"/>
  <c r="Y39" i="33" a="1"/>
  <c r="N39" i="33" a="1"/>
  <c r="C39" i="33" a="1"/>
  <c r="AJ38" i="33" a="1"/>
  <c r="Y38" i="33" a="1"/>
  <c r="N38" i="33" a="1"/>
  <c r="C38" i="33" a="1"/>
  <c r="AJ37" i="33" a="1"/>
  <c r="Y37" i="33" a="1"/>
  <c r="N37" i="33" a="1"/>
  <c r="C37" i="33" a="1"/>
  <c r="AJ36" i="33" a="1"/>
  <c r="Y36" i="33" a="1"/>
  <c r="N36" i="33" a="1"/>
  <c r="C36" i="33" a="1"/>
  <c r="AJ35" i="33" a="1"/>
  <c r="Y35" i="33" a="1"/>
  <c r="N35" i="33" a="1"/>
  <c r="C35" i="33" a="1"/>
  <c r="AJ34" i="33" a="1"/>
  <c r="Y34" i="33" a="1"/>
  <c r="N34" i="33" a="1"/>
  <c r="C34" i="33" a="1"/>
  <c r="AJ33" i="33" a="1"/>
  <c r="Y33" i="33" a="1"/>
  <c r="N33" i="33" a="1"/>
  <c r="C33" i="33" a="1"/>
  <c r="AJ32" i="33" a="1"/>
  <c r="Y32" i="33" a="1"/>
  <c r="N32" i="33" a="1"/>
  <c r="C32" i="33" a="1"/>
  <c r="AJ31" i="33" a="1"/>
  <c r="Y31" i="33" a="1"/>
  <c r="N31" i="33" a="1"/>
  <c r="C31" i="33" a="1"/>
  <c r="AJ30" i="33" a="1"/>
  <c r="Y30" i="33" a="1"/>
  <c r="N30" i="33" a="1"/>
  <c r="C30" i="33" a="1"/>
  <c r="AJ29" i="33" a="1"/>
  <c r="Y29" i="33" a="1"/>
  <c r="N29" i="33" a="1"/>
  <c r="C29" i="33" a="1"/>
  <c r="AJ28" i="33" a="1"/>
  <c r="Y28" i="33" a="1"/>
  <c r="N28" i="33" a="1"/>
  <c r="C28" i="33" a="1"/>
  <c r="AJ27" i="33" a="1"/>
  <c r="Y27" i="33" a="1"/>
  <c r="N27" i="33" a="1"/>
  <c r="C27" i="33" a="1"/>
  <c r="AJ26" i="33" a="1"/>
  <c r="Y26" i="33" a="1"/>
  <c r="N26" i="33" a="1"/>
  <c r="C26" i="33" a="1"/>
  <c r="AJ25" i="33" a="1"/>
  <c r="Y25" i="33" a="1"/>
  <c r="N25" i="33" a="1"/>
  <c r="C25" i="33" a="1"/>
  <c r="AJ24" i="33" a="1"/>
  <c r="Y24" i="33" a="1"/>
  <c r="N24" i="33" a="1"/>
  <c r="C24" i="33" a="1"/>
  <c r="AJ23" i="33" a="1"/>
  <c r="Y23" i="33" a="1"/>
  <c r="N23" i="33" a="1"/>
  <c r="C23" i="33" a="1"/>
  <c r="AJ22" i="33" a="1"/>
  <c r="Y22" i="33" a="1"/>
  <c r="N22" i="33" a="1"/>
  <c r="C22" i="33" a="1"/>
  <c r="AJ21" i="33" a="1"/>
  <c r="Y21" i="33" a="1"/>
  <c r="N21" i="33" a="1"/>
  <c r="C21" i="33" a="1"/>
  <c r="AJ20" i="33" a="1"/>
  <c r="Y20" i="33" a="1"/>
  <c r="N20" i="33" a="1"/>
  <c r="C20" i="33" a="1"/>
  <c r="AJ19" i="33" a="1"/>
  <c r="Y19" i="33" a="1"/>
  <c r="N19" i="33" a="1"/>
  <c r="C19" i="33" a="1"/>
  <c r="AJ18" i="33" a="1"/>
  <c r="Y18" i="33" a="1"/>
  <c r="N18" i="33" a="1"/>
  <c r="C18" i="33" a="1"/>
  <c r="AJ17" i="33" a="1"/>
  <c r="Y17" i="33" a="1"/>
  <c r="N17" i="33" a="1"/>
  <c r="C17" i="33" a="1"/>
  <c r="AJ16" i="33" a="1"/>
  <c r="Y16" i="33" a="1"/>
  <c r="N16" i="33" a="1"/>
  <c r="C16" i="33" a="1"/>
  <c r="AJ15" i="33" a="1"/>
  <c r="Y15" i="33" a="1"/>
  <c r="N15" i="33" a="1"/>
  <c r="C15" i="33" a="1"/>
  <c r="AJ14" i="33" a="1"/>
  <c r="Y14" i="33" a="1"/>
  <c r="N14" i="33" a="1"/>
  <c r="C14" i="33" a="1"/>
  <c r="AJ13" i="33" a="1"/>
  <c r="Y13" i="33" a="1"/>
  <c r="N13" i="33" a="1"/>
  <c r="C13" i="33" a="1"/>
  <c r="AJ12" i="33" a="1"/>
  <c r="Y12" i="33" a="1"/>
  <c r="N12" i="33" a="1"/>
  <c r="C12" i="33" a="1"/>
  <c r="AJ11" i="33" a="1"/>
  <c r="Y11" i="33" a="1"/>
  <c r="N11" i="33" a="1"/>
  <c r="C11" i="33" a="1"/>
  <c r="AJ10" i="33" a="1"/>
  <c r="Y10" i="33" a="1"/>
  <c r="N10" i="33" a="1"/>
  <c r="C10" i="33" a="1"/>
  <c r="AJ9" i="33" a="1"/>
  <c r="Y9" i="33" a="1"/>
  <c r="N9" i="33" a="1"/>
  <c r="C9" i="33" a="1"/>
  <c r="AJ8" i="33" a="1"/>
  <c r="Y8" i="33" a="1"/>
  <c r="N8" i="33" a="1"/>
  <c r="C8" i="33" a="1"/>
  <c r="AJ7" i="33" a="1"/>
  <c r="Y7" i="33" a="1"/>
  <c r="N7" i="33" a="1"/>
  <c r="C7" i="33" a="1"/>
  <c r="AJ6" i="33" a="1"/>
  <c r="Y6" i="33" a="1"/>
  <c r="N6" i="33" a="1"/>
  <c r="C6" i="33" a="1"/>
  <c r="AJ5" i="33" a="1"/>
  <c r="Y5" i="33" a="1"/>
  <c r="N5" i="33" a="1"/>
  <c r="C5" i="33" a="1"/>
  <c r="AJ4" i="33" a="1"/>
  <c r="Y4" i="33" a="1"/>
  <c r="N4" i="33" a="1"/>
  <c r="C4" i="33" a="1"/>
  <c r="AJ3" i="33" a="1"/>
  <c r="Y3" i="33" a="1"/>
  <c r="N3" i="33" a="1"/>
  <c r="C3" i="33" a="1"/>
  <c r="I30" i="15" l="1"/>
  <c r="S30" i="15"/>
  <c r="K31" i="15"/>
  <c r="U31" i="15"/>
  <c r="M32" i="15"/>
  <c r="W32" i="15"/>
  <c r="O33" i="15"/>
  <c r="P30" i="15"/>
  <c r="R31" i="15"/>
  <c r="J32" i="15"/>
  <c r="T32" i="15"/>
  <c r="L33" i="15"/>
  <c r="V33" i="15"/>
  <c r="K30" i="15"/>
  <c r="M30" i="15"/>
  <c r="U30" i="15"/>
  <c r="W30" i="15"/>
  <c r="O31" i="15"/>
  <c r="O32" i="15"/>
  <c r="Q32" i="15"/>
  <c r="I33" i="15"/>
  <c r="Q33" i="15"/>
  <c r="S33" i="15"/>
  <c r="J30" i="15"/>
  <c r="L30" i="15"/>
  <c r="T30" i="15"/>
  <c r="L31" i="15"/>
  <c r="N31" i="15"/>
  <c r="V31" i="15"/>
  <c r="N32" i="15"/>
  <c r="P33" i="15"/>
  <c r="Q30" i="15"/>
  <c r="I31" i="15"/>
  <c r="S31" i="15"/>
  <c r="N30" i="15"/>
  <c r="V30" i="15"/>
  <c r="P32" i="15"/>
  <c r="R33" i="15"/>
  <c r="M31" i="15"/>
  <c r="W31" i="15"/>
  <c r="L63" i="15"/>
  <c r="R66" i="15"/>
  <c r="V63" i="15"/>
  <c r="N64" i="15"/>
  <c r="P65" i="15"/>
  <c r="F33" i="15" l="1"/>
  <c r="G33" i="15"/>
  <c r="H66" i="15"/>
  <c r="H33" i="15"/>
  <c r="G32" i="15"/>
  <c r="F65" i="15"/>
  <c r="F32" i="15"/>
  <c r="F31" i="15"/>
  <c r="H31" i="15"/>
  <c r="G30" i="15"/>
  <c r="F30" i="15"/>
  <c r="F66" i="15"/>
  <c r="N65" i="15"/>
  <c r="V64" i="15"/>
  <c r="L64" i="15"/>
  <c r="T63" i="15"/>
  <c r="J63" i="15"/>
  <c r="S66" i="15"/>
  <c r="I66" i="15"/>
  <c r="Q65" i="15"/>
  <c r="G65" i="15"/>
  <c r="O64" i="15"/>
  <c r="W63" i="15"/>
  <c r="M63" i="15"/>
  <c r="V66" i="15"/>
  <c r="L66" i="15"/>
  <c r="T65" i="15"/>
  <c r="J65" i="15"/>
  <c r="R64" i="15"/>
  <c r="H64" i="15"/>
  <c r="P63" i="15"/>
  <c r="F63" i="15"/>
  <c r="O66" i="15"/>
  <c r="W65" i="15"/>
  <c r="M65" i="15"/>
  <c r="U64" i="15"/>
  <c r="K64" i="15"/>
  <c r="S63" i="15"/>
  <c r="I63" i="15"/>
  <c r="U33" i="15"/>
  <c r="K33" i="15"/>
  <c r="S32" i="15"/>
  <c r="I32" i="15"/>
  <c r="Q31" i="15"/>
  <c r="G31" i="15"/>
  <c r="O30" i="15"/>
  <c r="D30" i="15"/>
  <c r="N33" i="15"/>
  <c r="V32" i="15"/>
  <c r="N66" i="15"/>
  <c r="V65" i="15"/>
  <c r="L65" i="15"/>
  <c r="T64" i="15"/>
  <c r="J64" i="15"/>
  <c r="R63" i="15"/>
  <c r="H63" i="15"/>
  <c r="T33" i="15"/>
  <c r="J33" i="15"/>
  <c r="R32" i="15"/>
  <c r="H32" i="15"/>
  <c r="P31" i="15"/>
  <c r="W33" i="15"/>
  <c r="M33" i="15"/>
  <c r="U32" i="15"/>
  <c r="K32" i="15"/>
  <c r="L32" i="15"/>
  <c r="T31" i="15"/>
  <c r="J31" i="15"/>
  <c r="R30" i="15"/>
  <c r="H30" i="15"/>
  <c r="U66" i="15"/>
  <c r="K66" i="15"/>
  <c r="S65" i="15"/>
  <c r="I65" i="15"/>
  <c r="Q64" i="15"/>
  <c r="G64" i="15"/>
  <c r="O63" i="15"/>
  <c r="D63" i="15"/>
  <c r="Q66" i="15"/>
  <c r="G66" i="15"/>
  <c r="O65" i="15"/>
  <c r="W64" i="15"/>
  <c r="M64" i="15"/>
  <c r="U63" i="15"/>
  <c r="K63" i="15"/>
  <c r="T66" i="15"/>
  <c r="J66" i="15"/>
  <c r="R65" i="15"/>
  <c r="H65" i="15"/>
  <c r="P64" i="15"/>
  <c r="F64" i="15"/>
  <c r="N63" i="15"/>
  <c r="W66" i="15"/>
  <c r="M66" i="15"/>
  <c r="U65" i="15"/>
  <c r="K65" i="15"/>
  <c r="S64" i="15"/>
  <c r="I64" i="15"/>
  <c r="Q63" i="15"/>
  <c r="G63" i="15"/>
  <c r="P66" i="15"/>
  <c r="C2" i="11" l="1"/>
  <c r="C30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<sst xmlns="http://schemas.openxmlformats.org/spreadsheetml/2006/main" count="23499" uniqueCount="4023">
  <si>
    <t>Adding_Subtracting_Zero_1_NT.c</t>
  </si>
  <si>
    <t>Adding_Subtracting_Zero_1_T.c</t>
  </si>
  <si>
    <t>Adding_Subtracting_Zero_2_NT.c</t>
  </si>
  <si>
    <t>Adding_Subtracting_Zero_2_T.c</t>
  </si>
  <si>
    <t>Adding_Subtracting_Zero_3_NT.c</t>
  </si>
  <si>
    <t>Adding_Subtracting_Zero_3_T.c</t>
  </si>
  <si>
    <t>Adding_Subtracting_Zero_4_NT.c</t>
  </si>
  <si>
    <t>Adding_Subtracting_Zero_4_T.c</t>
  </si>
  <si>
    <t>Adding_Subtracting_Zero_5_NT.c</t>
  </si>
  <si>
    <t>Adding_Subtracting_Zero_5_T.c</t>
  </si>
  <si>
    <t>Incorrect_Arguments_1_NT.c</t>
  </si>
  <si>
    <t>Incorrect_Arguments_1_T.c</t>
  </si>
  <si>
    <t>Incorrect_Bit_Calculation_1_NT.c</t>
  </si>
  <si>
    <t>Incorrect_Bit_Calculation_1_T.c</t>
  </si>
  <si>
    <t>Incorrect_Bit_Calculation_2_NT.c</t>
  </si>
  <si>
    <t>Incorrect_Bit_Calculation_2_T.c</t>
  </si>
  <si>
    <t>Incorrect_Bit_Calculation_3_NT.c</t>
  </si>
  <si>
    <t>Incorrect_Bit_Calculation_3_T.c</t>
  </si>
  <si>
    <t>Incorrect_Control_Statement_1_NT.c</t>
  </si>
  <si>
    <t>Incorrect_Control_Statement_1_T.c</t>
  </si>
  <si>
    <t>Incorrect_Control_Statement_2_NT.c</t>
  </si>
  <si>
    <t>Incorrect_Control_Statement_2_T.c</t>
  </si>
  <si>
    <t>Incorrect_Cyclic_Invoking_1_NT.c</t>
  </si>
  <si>
    <t>Incorrect_Cyclic_Invoking_1_T.c</t>
  </si>
  <si>
    <t>Incorrect_Cyclic_Invoking_2_NT.c</t>
  </si>
  <si>
    <t>Incorrect_Cyclic_Invoking_2_T.c</t>
  </si>
  <si>
    <t>Incorrect_Initialization_1_NT.c</t>
  </si>
  <si>
    <t>Incorrect_Initialization_1_T.c</t>
  </si>
  <si>
    <t>Incorrect_Initialization_2_NT.c</t>
  </si>
  <si>
    <t>Incorrect_Initialization_3_NT.c</t>
  </si>
  <si>
    <t>Incorrect_Initialization_3_T.c</t>
  </si>
  <si>
    <t>Incorrect_Initialization_4_NT.c</t>
  </si>
  <si>
    <t>Incorrect_Initialization_4_T.c</t>
  </si>
  <si>
    <t>Incorrect_Return_1_NT.c</t>
  </si>
  <si>
    <t>Incorrect_Return_1_T.c</t>
  </si>
  <si>
    <t>Incorrect_Update_for_Loop_Iterator_1_NT.c</t>
  </si>
  <si>
    <t>Incorrect_Update_for_Loop_Iterator_1_T.c</t>
  </si>
  <si>
    <t>Incorrect_Update_for_Loop_Iterator_2_NT.c</t>
  </si>
  <si>
    <t>Incorrect_Update_for_Loop_Iterator_2_T.c</t>
  </si>
  <si>
    <t>Incorrect_Update_for_Loop_Iterator_3_NT.c</t>
  </si>
  <si>
    <t>Missing_Corner-case_Handling_1_NT.c</t>
  </si>
  <si>
    <t>Missing_Corner-case_Handling_1_T.c</t>
  </si>
  <si>
    <t>Missing_Corner-case_Handling_2_NT.c</t>
  </si>
  <si>
    <t>Missing_Corner-case_Handling_2_T.c</t>
  </si>
  <si>
    <t>Missing_Corner-case_Handling_3_NT.c</t>
  </si>
  <si>
    <t>Missing_Corner-case_Handling_3_T.c</t>
  </si>
  <si>
    <t>Missing_Corner-case_Handling_4_NT.c</t>
  </si>
  <si>
    <t>Missing_Corner-case_Handling_4_T.c</t>
  </si>
  <si>
    <t>Missing_Initialization_1_NT.c</t>
  </si>
  <si>
    <t>Missing_Initialization_1_T.c</t>
  </si>
  <si>
    <t>Missing_Iterator_Update_1_NT.c</t>
  </si>
  <si>
    <t>Missing_Iterator_Update_1_T.c</t>
  </si>
  <si>
    <t>Missing_Iterator_Update_2_NT.c</t>
  </si>
  <si>
    <t>Missing_Iterator_Update_2_T.c</t>
  </si>
  <si>
    <t>Missing_Iterator_Update_3_NT.c</t>
  </si>
  <si>
    <t>Missing_Iterator_Update_3_T.c</t>
  </si>
  <si>
    <t>Missing_Iterator_Update_4_NT.c</t>
  </si>
  <si>
    <t>Missing_Iterator_Update_4_T.c</t>
  </si>
  <si>
    <t>Missing_Iterator_Update_5_NT.c</t>
  </si>
  <si>
    <t>Missing_Iterator_Update_5_T.c</t>
  </si>
  <si>
    <t>Missing_undef_Instruction_1_NT.c</t>
  </si>
  <si>
    <t>Missing_undef_Instruction_1_T.c</t>
  </si>
  <si>
    <t>Misusing_Variable_Type_1_NT.c</t>
  </si>
  <si>
    <t>Misusing_Variable_Type_1_T.c</t>
  </si>
  <si>
    <t>Misusing_Variable_Type_2_NT.c</t>
  </si>
  <si>
    <t>Misusing_Variable_Type_2_T.c</t>
  </si>
  <si>
    <t>Reusing_Same_Loop_Iterator_1_NT.c</t>
  </si>
  <si>
    <t>Reusing_Same_Loop_Iterator_1_T.c</t>
  </si>
  <si>
    <t>Reusing_Same_Loop_Iterator_2_NT.c</t>
  </si>
  <si>
    <t>Reusing_Same_Loop_Iterator_2_T.c</t>
  </si>
  <si>
    <t>Type_Conversion_in_Assignment_1_NT.c</t>
  </si>
  <si>
    <t>Type_Conversion_in_Assignment_1_T.c</t>
  </si>
  <si>
    <t>Type_Conversion_in_Comparison_1_NT.c</t>
  </si>
  <si>
    <t>Type_Conversion_in_Comparison_1_T.c</t>
  </si>
  <si>
    <t>Type_Conversion_in_Comparison_2_NT.c</t>
  </si>
  <si>
    <t>Type_Conversion_in_Comparison_2_T.c</t>
  </si>
  <si>
    <t>Undefined_Behavior_1_T.c</t>
  </si>
  <si>
    <t>Undefined_Behavior_2_T.c</t>
  </si>
  <si>
    <t>Undefined_Behavior_3_T.c</t>
  </si>
  <si>
    <t>Unsigned_Wraparound_Error_1_NT.c</t>
  </si>
  <si>
    <t>Unsigned_Wraparound_Error_1_T.c</t>
  </si>
  <si>
    <t>Unsigned_Wraparound_Error_2_NT.c</t>
  </si>
  <si>
    <t>Unsigned_Wraparound_Error_2_T.c</t>
  </si>
  <si>
    <t>Unsigned_Wraparound_Error_3_NT.c</t>
  </si>
  <si>
    <t>Unsigned_Wraparound_Error_3_T.c</t>
  </si>
  <si>
    <t>Unsigned_Wraparound_Error_4_NT.c</t>
  </si>
  <si>
    <t>Unsigned_Wraparound_Error_4_T.c</t>
  </si>
  <si>
    <t>Using_Erroneous_Condition_1_NT.c</t>
  </si>
  <si>
    <t>Using_Erroneous_Condition_1_T.c</t>
  </si>
  <si>
    <t>Using_Erroneous_Condition_2_NT.c</t>
  </si>
  <si>
    <t>Using_Erroneous_Condition_2_T.c</t>
  </si>
  <si>
    <t>Using_Erroneous_Condition_3_NT.c</t>
  </si>
  <si>
    <t>Using_Erroneous_Condition_3_T.c</t>
  </si>
  <si>
    <t>Array</t>
  </si>
  <si>
    <t>Two-Dimentional Array</t>
  </si>
  <si>
    <t>Benchmarks</t>
  </si>
  <si>
    <t>Recursion</t>
  </si>
  <si>
    <t>Bit Calculation</t>
  </si>
  <si>
    <t>Pointer + Structure</t>
  </si>
  <si>
    <t>Pointer + Array</t>
  </si>
  <si>
    <t>loop</t>
  </si>
  <si>
    <t>recursion</t>
  </si>
  <si>
    <t>Overflow/Underflow</t>
  </si>
  <si>
    <t>Bit Calculation + Overflow/Underflow</t>
  </si>
  <si>
    <t>Tool</t>
  </si>
  <si>
    <t>Category</t>
  </si>
  <si>
    <t>correct</t>
  </si>
  <si>
    <t>wrong</t>
  </si>
  <si>
    <t>AProVE</t>
  </si>
  <si>
    <t>UAutomizer</t>
  </si>
  <si>
    <t>CPAchecker</t>
  </si>
  <si>
    <t>2LS</t>
  </si>
  <si>
    <r>
      <t>Incorrect_Initialization_2_</t>
    </r>
    <r>
      <rPr>
        <b/>
        <sz val="15"/>
        <color rgb="FFC00000"/>
        <rFont val="Calibri"/>
        <family val="2"/>
        <scheme val="minor"/>
      </rPr>
      <t>NT</t>
    </r>
    <r>
      <rPr>
        <b/>
        <sz val="15"/>
        <rFont val="Calibri"/>
        <family val="2"/>
        <scheme val="minor"/>
      </rPr>
      <t>.c</t>
    </r>
  </si>
  <si>
    <t>PROTON</t>
  </si>
  <si>
    <t>Base</t>
  </si>
  <si>
    <t>Slice</t>
  </si>
  <si>
    <t>Proton</t>
  </si>
  <si>
    <t>W</t>
  </si>
  <si>
    <t>U</t>
  </si>
  <si>
    <t>Applied Configuration</t>
  </si>
  <si>
    <t>Pointer Manipulation</t>
  </si>
  <si>
    <t>Data Structure</t>
  </si>
  <si>
    <t>Total</t>
  </si>
  <si>
    <t>Integer Underflow/Overflow</t>
  </si>
  <si>
    <t>Configuration</t>
  </si>
  <si>
    <t>Metric</t>
  </si>
  <si>
    <t>Features (#instances)</t>
  </si>
  <si>
    <t>Base Classification</t>
  </si>
  <si>
    <t>T</t>
  </si>
  <si>
    <t>NT</t>
  </si>
  <si>
    <r>
      <t>Incorrect_Cyclic_Invoking_3_NT.</t>
    </r>
    <r>
      <rPr>
        <b/>
        <sz val="15"/>
        <color rgb="FFC00000"/>
        <rFont val="Calibri"/>
        <family val="2"/>
        <scheme val="minor"/>
      </rPr>
      <t>c</t>
    </r>
  </si>
  <si>
    <r>
      <t>Incorrect_Cyclic_Invoking_3_T.</t>
    </r>
    <r>
      <rPr>
        <b/>
        <sz val="15"/>
        <color rgb="FFC00000"/>
        <rFont val="Calibri"/>
        <family val="2"/>
        <scheme val="minor"/>
      </rPr>
      <t>c</t>
    </r>
  </si>
  <si>
    <r>
      <t>Incorrect_Return_2_NT.</t>
    </r>
    <r>
      <rPr>
        <b/>
        <sz val="15"/>
        <color rgb="FFC00000"/>
        <rFont val="Calibri"/>
        <family val="2"/>
        <scheme val="minor"/>
      </rPr>
      <t>c</t>
    </r>
  </si>
  <si>
    <r>
      <t>Incorrect_Return_2_T.</t>
    </r>
    <r>
      <rPr>
        <b/>
        <sz val="15"/>
        <color rgb="FFC00000"/>
        <rFont val="Calibri"/>
        <family val="2"/>
        <scheme val="minor"/>
      </rPr>
      <t>c</t>
    </r>
  </si>
  <si>
    <r>
      <t>Miscalling_Inherited_Method_1_NT.</t>
    </r>
    <r>
      <rPr>
        <b/>
        <sz val="15"/>
        <color rgb="FFC00000"/>
        <rFont val="Calibri"/>
        <family val="2"/>
        <scheme val="minor"/>
      </rPr>
      <t>c</t>
    </r>
  </si>
  <si>
    <r>
      <t>Miscalling_Inherited_Method_1_T.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</si>
  <si>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Misusing_Method_Overloading_1_NT.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</si>
  <si>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Misusing_Method_Overloading_1_T.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</si>
  <si>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Misusing_Method_Overloading_2_NT.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</si>
  <si>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Misusing_Method_Overloading_2_T.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</si>
  <si>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Misusing_Method_Overloading_3_NT.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</si>
  <si>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Misusing_Method_Overloading_3_T.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</si>
  <si>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Misusing_Method_Overloading_4_NT.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</si>
  <si>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Misusing_Method_Overloading_4_T.</t>
    </r>
    <r>
      <rPr>
        <b/>
        <sz val="15"/>
        <color rgb="FFC00000"/>
        <rFont val="Calibri"/>
        <family val="2"/>
        <scheme val="minor"/>
      </rPr>
      <t>c</t>
    </r>
  </si>
  <si>
    <t>Athena</t>
  </si>
  <si>
    <t>#Loops</t>
  </si>
  <si>
    <t>#Programs</t>
  </si>
  <si>
    <t>#Programs with 0 Resolved Loop</t>
  </si>
  <si>
    <t>#Programs with 1 Resolved Loop</t>
  </si>
  <si>
    <t>#Programs with 2 Resolved Loops</t>
  </si>
  <si>
    <t>#Programs with 3 Resolved Loops</t>
  </si>
  <si>
    <t>#Programs with 4 Resolved Loops</t>
  </si>
  <si>
    <t>Cncrt</t>
  </si>
  <si>
    <t>Slice+Cncrt</t>
  </si>
  <si>
    <t>Variant Results</t>
  </si>
  <si>
    <t>MVT</t>
  </si>
  <si>
    <t>AVT</t>
  </si>
  <si>
    <t>TVT</t>
  </si>
  <si>
    <t>Tool Decision</t>
  </si>
  <si>
    <t>SR</t>
  </si>
  <si>
    <r>
      <t>Undefined_Behavior_1_</t>
    </r>
    <r>
      <rPr>
        <b/>
        <sz val="15"/>
        <color rgb="FFC00000"/>
        <rFont val="Calibri"/>
        <family val="2"/>
        <scheme val="minor"/>
      </rPr>
      <t>T</t>
    </r>
    <r>
      <rPr>
        <b/>
        <sz val="15"/>
        <rFont val="Calibri"/>
        <family val="2"/>
        <scheme val="minor"/>
      </rPr>
      <t>.c</t>
    </r>
  </si>
  <si>
    <r>
      <t>Undefined_Behavior_2_</t>
    </r>
    <r>
      <rPr>
        <b/>
        <sz val="15"/>
        <color rgb="FFC00000"/>
        <rFont val="Calibri"/>
        <family val="2"/>
        <scheme val="minor"/>
      </rPr>
      <t>T</t>
    </r>
    <r>
      <rPr>
        <b/>
        <sz val="15"/>
        <rFont val="Calibri"/>
        <family val="2"/>
        <scheme val="minor"/>
      </rPr>
      <t>.c</t>
    </r>
  </si>
  <si>
    <r>
      <t>Undefined_Behavior_3_</t>
    </r>
    <r>
      <rPr>
        <b/>
        <sz val="15"/>
        <color rgb="FFC00000"/>
        <rFont val="Calibri"/>
        <family val="2"/>
        <scheme val="minor"/>
      </rPr>
      <t>T</t>
    </r>
    <r>
      <rPr>
        <b/>
        <sz val="15"/>
        <rFont val="Calibri"/>
        <family val="2"/>
        <scheme val="minor"/>
      </rPr>
      <t>.c</t>
    </r>
  </si>
  <si>
    <t>0/1</t>
  </si>
  <si>
    <t/>
  </si>
  <si>
    <t>(FSE_Bitvector_Mode_Misusing_Method_Overloading_4_T_Loop0_TestCase0, MAYBE, 458)</t>
  </si>
  <si>
    <t>(FSE_Bitvector_Mode_Misusing_Method_Overloading_4_T_Loop0_TestCase0, MAYBE, 466)</t>
  </si>
  <si>
    <t>(FSE_Bitvector_Mode_Misusing_Method_Overloading_4_T_Loop0_TestCase0, MAYBE, 475)</t>
  </si>
  <si>
    <t>(FSE_Bitvector_Mode_Misusing_Method_Overloading_4_T_Loop0_TestCase0, MAYBE, 479)</t>
  </si>
  <si>
    <t>0/0</t>
  </si>
  <si>
    <t>(FSE_Bitvector_Mode_Misusing_Method_Overloading_4_NT_Loop0_TestCase0, MAYBE, 461)</t>
  </si>
  <si>
    <t>(FSE_Bitvector_Mode_Misusing_Method_Overloading_4_NT_Loop0_TestCase0, MAYBE, 485)</t>
  </si>
  <si>
    <t>(FSE_Bitvector_Mode_Misusing_Method_Overloading_4_NT_Loop0_TestCase0, MAYBE, 472)</t>
  </si>
  <si>
    <t>(FSE_Bitvector_Mode_Misusing_Method_Overloading_4_NT_Loop0_TestCase0, MAYBE, 471)</t>
  </si>
  <si>
    <t>(FSE_Bitvector_Mode_Misusing_Method_Overloading_3_T_Loop0_TestCase0, MAYBE, 490)</t>
  </si>
  <si>
    <t>(FSE_Bitvector_Mode_Misusing_Method_Overloading_3_T_Loop0_TestCase0, MAYBE, 467)</t>
  </si>
  <si>
    <t>(FSE_Bitvector_Mode_Misusing_Method_Overloading_3_T_Loop0_TestCase0, MAYBE, 465)</t>
  </si>
  <si>
    <t>(FSE_Bitvector_Mode_Misusing_Method_Overloading_3_T_Loop0_TestCase0, MAYBE, 468)</t>
  </si>
  <si>
    <t>(FSE_Bitvector_Mode_Misusing_Method_Overloading_3_NT_Loop0_TestCase0, MAYBE, 461)</t>
  </si>
  <si>
    <t>(FSE_Bitvector_Mode_Misusing_Method_Overloading_3_NT_Loop0_TestCase0, MAYBE, 465)</t>
  </si>
  <si>
    <t>(FSE_Bitvector_Mode_Misusing_Method_Overloading_3_NT_Loop0_TestCase0, MAYBE, 458)</t>
  </si>
  <si>
    <t>(FSE_Bitvector_Mode_Misusing_Method_Overloading_3_NT_Loop0_TestCase0, MAYBE, 484)</t>
  </si>
  <si>
    <t>(FSE_Bitvector_Mode_Misusing_Method_Overloading_2_T_Loop0_TestCase0, MAYBE, 484)</t>
  </si>
  <si>
    <t>(FSE_Bitvector_Mode_Misusing_Method_Overloading_2_T_Loop0_TestCase0, MAYBE, 499)</t>
  </si>
  <si>
    <t>(FSE_Bitvector_Mode_Misusing_Method_Overloading_2_T_Loop0_TestCase0, MAYBE, 464)</t>
  </si>
  <si>
    <t>(FSE_Bitvector_Mode_Misusing_Method_Overloading_2_T_Loop0_TestCase0, MAYBE, 480)</t>
  </si>
  <si>
    <t>(FSE_Bitvector_Mode_Misusing_Method_Overloading_2_NT_Loop0_TestCase0, MAYBE, 463)</t>
  </si>
  <si>
    <t>(FSE_Bitvector_Mode_Misusing_Method_Overloading_2_NT_Loop0_TestCase0, MAYBE, 470)</t>
  </si>
  <si>
    <t>(FSE_Bitvector_Mode_Misusing_Method_Overloading_2_NT_Loop0_TestCase0, MAYBE, 474)</t>
  </si>
  <si>
    <t>(FSE_Bitvector_Mode_Misusing_Method_Overloading_2_NT_Loop0_TestCase0, MAYBE, 468)</t>
  </si>
  <si>
    <t>(FSE_Bitvector_Mode_Misusing_Method_Overloading_1_T_Loop0_TestCase0, MAYBE, 469)</t>
  </si>
  <si>
    <t>(FSE_Bitvector_Mode_Misusing_Method_Overloading_1_T_Loop0_TestCase0, MAYBE, 482)</t>
  </si>
  <si>
    <t>(FSE_Bitvector_Mode_Misusing_Method_Overloading_1_T_Loop0_TestCase0, MAYBE, 473)</t>
  </si>
  <si>
    <t>(FSE_Bitvector_Mode_Misusing_Method_Overloading_1_T_Loop0_TestCase0, MAYBE, 465)</t>
  </si>
  <si>
    <t>(FSE_Bitvector_Mode_Misusing_Method_Overloading_1_NT_Loop0_TestCase0, MAYBE, 478)</t>
  </si>
  <si>
    <t>(FSE_Bitvector_Mode_Misusing_Method_Overloading_1_NT_Loop0_TestCase0, MAYBE, 487)</t>
  </si>
  <si>
    <t>(FSE_Bitvector_Mode_Misusing_Method_Overloading_1_NT_Loop0_TestCase0, MAYBE, 475)</t>
  </si>
  <si>
    <t>(FSE_Bitvector_Mode_Missing_undef_Instruction_1_T_Loop0_TestCase0, MAYBE, 1294)</t>
  </si>
  <si>
    <t>(FSE_Bitvector_Mode_Missing_undef_Instruction_1_T_Loop0_TestCase0, MAYBE, 1263)</t>
  </si>
  <si>
    <t>(FSE_Bitvector_Mode_Missing_undef_Instruction_1_T_Loop0_TestCase0, MAYBE, 1335)</t>
  </si>
  <si>
    <t>(FSE_Bitvector_Mode_Missing_undef_Instruction_1_T_Loop0_TestCase0, MAYBE, 1337)</t>
  </si>
  <si>
    <t>(FSE_Bitvector_Mode_Missing_undef_Instruction_1_NT_Loop0_TestCase0, MAYBE, 1480)</t>
  </si>
  <si>
    <t>(FSE_Bitvector_Mode_Missing_undef_Instruction_1_NT_Loop0_TestCase0, MAYBE, 1299)</t>
  </si>
  <si>
    <t>(FSE_Bitvector_Mode_Missing_undef_Instruction_1_NT_Loop0_TestCase0, MAYBE, 1350)</t>
  </si>
  <si>
    <t>(FSE_Bitvector_Mode_Missing_undef_Instruction_1_NT_Loop0_TestCase0, MAYBE, 1281)</t>
  </si>
  <si>
    <t>(FSE_Bitvector_Mode_Miscalling_Inherited_Method_1_T_Loop0_TestCase0, MAYBE, 472)</t>
  </si>
  <si>
    <t>(FSE_Bitvector_Mode_Miscalling_Inherited_Method_1_T_Loop0_TestCase0, MAYBE, 704)</t>
  </si>
  <si>
    <t>(FSE_Bitvector_Mode_Miscalling_Inherited_Method_1_T_Loop0_TestCase0, MAYBE, 477)</t>
  </si>
  <si>
    <t>(FSE_Bitvector_Mode_Miscalling_Inherited_Method_1_T_Loop0_TestCase0, MAYBE, 462)</t>
  </si>
  <si>
    <t>(FSE_Bitvector_Mode_Miscalling_Inherited_Method_1_NT_Loop0_TestCase0, MAYBE, 490)</t>
  </si>
  <si>
    <t>(FSE_Bitvector_Mode_Miscalling_Inherited_Method_1_NT_Loop0_TestCase0, MAYBE, 473)</t>
  </si>
  <si>
    <t>(FSE_Bitvector_Mode_Miscalling_Inherited_Method_1_NT_Loop0_TestCase0, MAYBE, 461)</t>
  </si>
  <si>
    <t>(FSE_Bitvector_Mode_Miscalling_Inherited_Method_1_NT_Loop0_TestCase0, MAYBE, 482)</t>
  </si>
  <si>
    <t>0/10</t>
  </si>
  <si>
    <t>(FSE_Bitvector_Mode_Incorrect_Return_2_T_Loop0_TestCase8, MAYBE, 461)
(FSE_Bitvector_Mode_Incorrect_Return_2_T_Loop0_TestCase10, MAYBE, 501)
(FSE_Bitvector_Mode_Incorrect_Return_2_T_Loop0_TestCase9, MAYBE, 483)
(FSE_Bitvector_Mode_Incorrect_Return_2_T_Loop0_TestCase7, MAYBE, 463)
(FSE_Bitvector_Mode_Incorrect_Return_2_T_Loop0_TestCase6, MAYBE, 469)
(FSE_Bitvector_Mode_Incorrect_Return_2_T_Loop0_TestCase4, MAYBE, 504)
(FSE_Bitvector_Mode_Incorrect_Return_2_T_Loop0_TestCase5, MAYBE, 477)
(FSE_Bitvector_Mode_Incorrect_Return_2_T_Loop0_TestCase1, MAYBE, 460)
(FSE_Bitvector_Mode_Incorrect_Return_2_T_Loop0_TestCase2, MAYBE, 468)
(FSE_Bitvector_Mode_Incorrect_Return_2_T_Loop0_TestCase3, MAYBE, 480)</t>
  </si>
  <si>
    <t>(FSE_Bitvector_Mode_Incorrect_Return_2_T_Loop0_TestCase8, MAYBE, 472)
(FSE_Bitvector_Mode_Incorrect_Return_2_T_Loop0_TestCase10, MAYBE, 460)
(FSE_Bitvector_Mode_Incorrect_Return_2_T_Loop0_TestCase9, MAYBE, 473)
(FSE_Bitvector_Mode_Incorrect_Return_2_T_Loop0_TestCase7, MAYBE, 457)
(FSE_Bitvector_Mode_Incorrect_Return_2_T_Loop0_TestCase6, MAYBE, 494)
(FSE_Bitvector_Mode_Incorrect_Return_2_T_Loop0_TestCase4, MAYBE, 487)
(FSE_Bitvector_Mode_Incorrect_Return_2_T_Loop0_TestCase5, MAYBE, 683)
(FSE_Bitvector_Mode_Incorrect_Return_2_T_Loop0_TestCase1, MAYBE, 492)
(FSE_Bitvector_Mode_Incorrect_Return_2_T_Loop0_TestCase2, MAYBE, 510)
(FSE_Bitvector_Mode_Incorrect_Return_2_T_Loop0_TestCase3, MAYBE, 481)</t>
  </si>
  <si>
    <t>(FSE_Bitvector_Mode_Incorrect_Return_2_T_Loop0_TestCase0, MAYBE, 462)</t>
  </si>
  <si>
    <t>(FSE_Bitvector_Mode_Incorrect_Return_2_T_Loop0_TestCase0, MAYBE, 494)</t>
  </si>
  <si>
    <t>0/5</t>
  </si>
  <si>
    <t>(FSE_Bitvector_Mode_Incorrect_Return_2_NT_Loop0_TestCase8, MAYBE, 467)
(FSE_Bitvector_Mode_Incorrect_Return_2_NT_Loop0_TestCase9, MAYBE, 484)
(FSE_Bitvector_Mode_Incorrect_Return_2_NT_Loop0_TestCase10, MAYBE, 512)
(FSE_Bitvector_Mode_Incorrect_Return_2_NT_Loop0_TestCase1, MAYBE, 498)
(FSE_Bitvector_Mode_Incorrect_Return_2_NT_Loop0_TestCase2, MAYBE, 478)
(FSE_Bitvector_Mode_Incorrect_Return_2_NT_Loop0_TestCase3, MAYBE, 476)
(FSE_Bitvector_Mode_Incorrect_Return_2_NT_Loop0_TestCase7, MAYBE, 512)
(FSE_Bitvector_Mode_Incorrect_Return_2_NT_Loop0_TestCase6, MAYBE, 496)
(FSE_Bitvector_Mode_Incorrect_Return_2_NT_Loop0_TestCase4, MAYBE, 468)
(FSE_Bitvector_Mode_Incorrect_Return_2_NT_Loop0_TestCase5, MAYBE, 484)</t>
  </si>
  <si>
    <t>(FSE_Bitvector_Mode_Incorrect_Return_2_NT_Loop0_TestCase8, MAYBE, 459)
(FSE_Bitvector_Mode_Incorrect_Return_2_NT_Loop0_TestCase9, MAYBE, 472)
(FSE_Bitvector_Mode_Incorrect_Return_2_NT_Loop0_TestCase10, MAYBE, 479)
(FSE_Bitvector_Mode_Incorrect_Return_2_NT_Loop0_TestCase1, MAYBE, 466)
(FSE_Bitvector_Mode_Incorrect_Return_2_NT_Loop0_TestCase2, MAYBE, 628)
(FSE_Bitvector_Mode_Incorrect_Return_2_NT_Loop0_TestCase3, MAYBE, 468)
(FSE_Bitvector_Mode_Incorrect_Return_2_NT_Loop0_TestCase7, MAYBE, 482)
(FSE_Bitvector_Mode_Incorrect_Return_2_NT_Loop0_TestCase6, MAYBE, 485)
(FSE_Bitvector_Mode_Incorrect_Return_2_NT_Loop0_TestCase4, MAYBE, 462)
(FSE_Bitvector_Mode_Incorrect_Return_2_NT_Loop0_TestCase5, MAYBE, 459)</t>
  </si>
  <si>
    <t>(FSE_Bitvector_Mode_Incorrect_Return_2_NT_Loop0_TestCase0, MAYBE, 476)</t>
  </si>
  <si>
    <t>(FSE_Bitvector_Mode_Incorrect_Return_2_NT_Loop0_TestCase0, MAYBE, 482)</t>
  </si>
  <si>
    <t>(FSE_Bitvector_Mode_Incorrect_Return_1_T_Loop0_TestCase10, MAYBE, 1477)
(FSE_Bitvector_Mode_Incorrect_Return_1_T_Loop0_TestCase3, MAYBE, 1464)
(FSE_Bitvector_Mode_Incorrect_Return_1_T_Loop0_TestCase2, MAYBE, 1454)
(FSE_Bitvector_Mode_Incorrect_Return_1_T_Loop0_TestCase1, MAYBE, 1473)
(FSE_Bitvector_Mode_Incorrect_Return_1_T_Loop0_TestCase5, MAYBE, 1427)
(FSE_Bitvector_Mode_Incorrect_Return_1_T_Loop0_TestCase4, MAYBE, 1421)
(FSE_Bitvector_Mode_Incorrect_Return_1_T_Loop0_TestCase6, MAYBE, 1452)
(FSE_Bitvector_Mode_Incorrect_Return_1_T_Loop0_TestCase7, MAYBE, 1468)
(FSE_Bitvector_Mode_Incorrect_Return_1_T_Loop0_TestCase9, MAYBE, 1470)
(FSE_Bitvector_Mode_Incorrect_Return_1_T_Loop0_TestCase8, MAYBE, 1450)</t>
  </si>
  <si>
    <t>(FSE_Bitvector_Mode_Incorrect_Return_1_T_Loop0_TestCase10, MAYBE, 1441)
(FSE_Bitvector_Mode_Incorrect_Return_1_T_Loop0_TestCase3, MAYBE, 1403)
(FSE_Bitvector_Mode_Incorrect_Return_1_T_Loop0_TestCase2, MAYBE, 1395)
(FSE_Bitvector_Mode_Incorrect_Return_1_T_Loop0_TestCase1, MAYBE, 1417)
(FSE_Bitvector_Mode_Incorrect_Return_1_T_Loop0_TestCase5, MAYBE, 1418)
(FSE_Bitvector_Mode_Incorrect_Return_1_T_Loop0_TestCase4, MAYBE, 1418)
(FSE_Bitvector_Mode_Incorrect_Return_1_T_Loop0_TestCase6, MAYBE, 1421)
(FSE_Bitvector_Mode_Incorrect_Return_1_T_Loop0_TestCase7, MAYBE, 1383)
(FSE_Bitvector_Mode_Incorrect_Return_1_T_Loop0_TestCase9, MAYBE, 1410)
(FSE_Bitvector_Mode_Incorrect_Return_1_T_Loop0_TestCase8, MAYBE, 1436)</t>
  </si>
  <si>
    <t>(FSE_Bitvector_Mode_Incorrect_Return_1_T_Loop0_TestCase0, MAYBE, 1428)</t>
  </si>
  <si>
    <t>(FSE_Bitvector_Mode_Incorrect_Return_1_T_Loop0_TestCase0, MAYBE, 1421)</t>
  </si>
  <si>
    <t>(FSE_Bitvector_Mode_Incorrect_Return_1_NT_Loop0_TestCase10, MAYBE, 1458)
(FSE_Bitvector_Mode_Incorrect_Return_1_NT_Loop0_TestCase8, MAYBE, 1442)
(FSE_Bitvector_Mode_Incorrect_Return_1_NT_Loop0_TestCase9, MAYBE, 1457)
(FSE_Bitvector_Mode_Incorrect_Return_1_NT_Loop0_TestCase4, MAYBE, 1545)
(FSE_Bitvector_Mode_Incorrect_Return_1_NT_Loop0_TestCase5, MAYBE, 1453)
(FSE_Bitvector_Mode_Incorrect_Return_1_NT_Loop0_TestCase7, MAYBE, 1432)
(FSE_Bitvector_Mode_Incorrect_Return_1_NT_Loop0_TestCase6, MAYBE, 1446)
(FSE_Bitvector_Mode_Incorrect_Return_1_NT_Loop0_TestCase2, MAYBE, 1446)
(FSE_Bitvector_Mode_Incorrect_Return_1_NT_Loop0_TestCase3, MAYBE, 1470)
(FSE_Bitvector_Mode_Incorrect_Return_1_NT_Loop0_TestCase1, MAYBE, 1451)</t>
  </si>
  <si>
    <t>(FSE_Bitvector_Mode_Incorrect_Return_1_NT_Loop0_TestCase10, MAYBE, 1377)
(FSE_Bitvector_Mode_Incorrect_Return_1_NT_Loop0_TestCase8, MAYBE, 1451)
(FSE_Bitvector_Mode_Incorrect_Return_1_NT_Loop0_TestCase9, MAYBE, 1430)
(FSE_Bitvector_Mode_Incorrect_Return_1_NT_Loop0_TestCase4, MAYBE, 1484)
(FSE_Bitvector_Mode_Incorrect_Return_1_NT_Loop0_TestCase5, MAYBE, 1490)
(FSE_Bitvector_Mode_Incorrect_Return_1_NT_Loop0_TestCase7, MAYBE, 1437)
(FSE_Bitvector_Mode_Incorrect_Return_1_NT_Loop0_TestCase6, MAYBE, 1436)
(FSE_Bitvector_Mode_Incorrect_Return_1_NT_Loop0_TestCase2, MAYBE, 1421)
(FSE_Bitvector_Mode_Incorrect_Return_1_NT_Loop0_TestCase3, MAYBE, 1422)
(FSE_Bitvector_Mode_Incorrect_Return_1_NT_Loop0_TestCase1, MAYBE, 1810)</t>
  </si>
  <si>
    <t>(FSE_Bitvector_Mode_Incorrect_Return_1_NT_Loop0_TestCase0, MAYBE, 1429)</t>
  </si>
  <si>
    <t>(FSE_Bitvector_Mode_Incorrect_Return_1_NT_Loop0_TestCase0, MAYBE, 1441)</t>
  </si>
  <si>
    <t>(FSE_Bitvector_Mode_Incorrect_Cyclic_Invoking_3_T_Loop0_TestCase0, MAYBE, 468)</t>
  </si>
  <si>
    <t>(FSE_Bitvector_Mode_Incorrect_Cyclic_Invoking_3_T_Loop0_TestCase0, MAYBE, 450)</t>
  </si>
  <si>
    <t>(FSE_Bitvector_Mode_Incorrect_Cyclic_Invoking_3_T_Loop0_TestCase0, MAYBE, 467)</t>
  </si>
  <si>
    <t>(FSE_Bitvector_Mode_Incorrect_Cyclic_Invoking_3_NT_Loop0_TestCase0, MAYBE, 473)</t>
  </si>
  <si>
    <t>(FSE_Bitvector_Mode_Incorrect_Cyclic_Invoking_3_NT_Loop0_TestCase0, MAYBE, 468)</t>
  </si>
  <si>
    <t>(FSE_Bitvector_Mode_Incorrect_Cyclic_Invoking_3_NT_Loop0_TestCase0, MAYBE, 519)</t>
  </si>
  <si>
    <t>(FSE_Bitvector_Mode_Incorrect_Cyclic_Invoking_3_NT_Loop0_TestCase0, MAYBE, 471)</t>
  </si>
  <si>
    <t>(FSE_Bitvector_Mode_Incorrect_Cyclic_Invoking_2_T_Loop0_TestCase6, MAYBE, 1512)
(FSE_Bitvector_Mode_Incorrect_Cyclic_Invoking_2_T_Loop0_TestCase7, MAYBE, 1523)
(FSE_Bitvector_Mode_Incorrect_Cyclic_Invoking_2_T_Loop0_TestCase5, MAYBE, 1507)
(FSE_Bitvector_Mode_Incorrect_Cyclic_Invoking_2_T_Loop0_TestCase10, MAYBE, 1537)
(FSE_Bitvector_Mode_Incorrect_Cyclic_Invoking_2_T_Loop0_TestCase4, MAYBE, 1507)
(FSE_Bitvector_Mode_Incorrect_Cyclic_Invoking_2_T_Loop0_TestCase1, MAYBE, 1492)
(FSE_Bitvector_Mode_Incorrect_Cyclic_Invoking_2_T_Loop0_TestCase3, MAYBE, 1483)
(FSE_Bitvector_Mode_Incorrect_Cyclic_Invoking_2_T_Loop0_TestCase2, MAYBE, 1486)
(FSE_Bitvector_Mode_Incorrect_Cyclic_Invoking_2_T_Loop0_TestCase9, MAYBE, 1534)
(FSE_Bitvector_Mode_Incorrect_Cyclic_Invoking_2_T_Loop0_TestCase8, MAYBE, 1498)</t>
  </si>
  <si>
    <t>(FSE_Bitvector_Mode_Incorrect_Cyclic_Invoking_2_T_Loop0_TestCase6, MAYBE, 1463)
(FSE_Bitvector_Mode_Incorrect_Cyclic_Invoking_2_T_Loop0_TestCase7, MAYBE, 1428)
(FSE_Bitvector_Mode_Incorrect_Cyclic_Invoking_2_T_Loop0_TestCase5, MAYBE, 1507)
(FSE_Bitvector_Mode_Incorrect_Cyclic_Invoking_2_T_Loop0_TestCase10, MAYBE, 1486)
(FSE_Bitvector_Mode_Incorrect_Cyclic_Invoking_2_T_Loop0_TestCase4, MAYBE, 1524)
(FSE_Bitvector_Mode_Incorrect_Cyclic_Invoking_2_T_Loop0_TestCase1, MAYBE, 1552)
(FSE_Bitvector_Mode_Incorrect_Cyclic_Invoking_2_T_Loop0_TestCase3, MAYBE, 1472)
(FSE_Bitvector_Mode_Incorrect_Cyclic_Invoking_2_T_Loop0_TestCase2, MAYBE, 1472)
(FSE_Bitvector_Mode_Incorrect_Cyclic_Invoking_2_T_Loop0_TestCase9, MAYBE, 1457)
(FSE_Bitvector_Mode_Incorrect_Cyclic_Invoking_2_T_Loop0_TestCase8, MAYBE, 1466)</t>
  </si>
  <si>
    <t>(FSE_Bitvector_Mode_Incorrect_Cyclic_Invoking_2_T_Loop0_TestCase0, MAYBE, 1506)</t>
  </si>
  <si>
    <t>(FSE_Bitvector_Mode_Incorrect_Cyclic_Invoking_2_T_Loop0_TestCase0, MAYBE, 1465)</t>
  </si>
  <si>
    <t>(FSE_Bitvector_Mode_Incorrect_Cyclic_Invoking_2_NT_Loop0_TestCase8, MAYBE, 1364)
(FSE_Bitvector_Mode_Incorrect_Cyclic_Invoking_2_NT_Loop0_TestCase9, MAYBE, 1392)
(FSE_Bitvector_Mode_Incorrect_Cyclic_Invoking_2_NT_Loop0_TestCase10, MAYBE, 1381)
(FSE_Bitvector_Mode_Incorrect_Cyclic_Invoking_2_NT_Loop0_TestCase4, MAYBE, 1357)
(FSE_Bitvector_Mode_Incorrect_Cyclic_Invoking_2_NT_Loop0_TestCase5, MAYBE, 1380)
(FSE_Bitvector_Mode_Incorrect_Cyclic_Invoking_2_NT_Loop0_TestCase7, MAYBE, 1324)
(FSE_Bitvector_Mode_Incorrect_Cyclic_Invoking_2_NT_Loop0_TestCase6, MAYBE, 1430)
(FSE_Bitvector_Mode_Incorrect_Cyclic_Invoking_2_NT_Loop0_TestCase2, MAYBE, 1368)
(FSE_Bitvector_Mode_Incorrect_Cyclic_Invoking_2_NT_Loop0_TestCase3, MAYBE, 1353)
(FSE_Bitvector_Mode_Incorrect_Cyclic_Invoking_2_NT_Loop0_TestCase1, MAYBE, 1783)</t>
  </si>
  <si>
    <t>(FSE_Bitvector_Mode_Incorrect_Cyclic_Invoking_2_NT_Loop0_TestCase8, MAYBE, 1342)
(FSE_Bitvector_Mode_Incorrect_Cyclic_Invoking_2_NT_Loop0_TestCase9, MAYBE, 1359)
(FSE_Bitvector_Mode_Incorrect_Cyclic_Invoking_2_NT_Loop0_TestCase10, MAYBE, 1335)
(FSE_Bitvector_Mode_Incorrect_Cyclic_Invoking_2_NT_Loop0_TestCase4, MAYBE, 1342)
(FSE_Bitvector_Mode_Incorrect_Cyclic_Invoking_2_NT_Loop0_TestCase5, MAYBE, 1408)
(FSE_Bitvector_Mode_Incorrect_Cyclic_Invoking_2_NT_Loop0_TestCase7, MAYBE, 1323)
(FSE_Bitvector_Mode_Incorrect_Cyclic_Invoking_2_NT_Loop0_TestCase6, MAYBE, 1357)
(FSE_Bitvector_Mode_Incorrect_Cyclic_Invoking_2_NT_Loop0_TestCase2, MAYBE, 1339)
(FSE_Bitvector_Mode_Incorrect_Cyclic_Invoking_2_NT_Loop0_TestCase3, MAYBE, 1364)
(FSE_Bitvector_Mode_Incorrect_Cyclic_Invoking_2_NT_Loop0_TestCase1, MAYBE, 1314)</t>
  </si>
  <si>
    <t>(FSE_Bitvector_Mode_Incorrect_Cyclic_Invoking_2_NT_Loop0_TestCase0, MAYBE, 1352)</t>
  </si>
  <si>
    <t>(FSE_Bitvector_Mode_Incorrect_Cyclic_Invoking_2_NT_Loop0_TestCase0, MAYBE, 1347)</t>
  </si>
  <si>
    <t>(FSE_Bitvector_Mode_Incorrect_Cyclic_Invoking_1_T_Loop0_TestCase8, MAYBE, 1650)
(FSE_Bitvector_Mode_Incorrect_Cyclic_Invoking_1_T_Loop0_TestCase9, MAYBE, 1615)
(FSE_Bitvector_Mode_Incorrect_Cyclic_Invoking_1_T_Loop0_TestCase10, MAYBE, 1644)
(FSE_Bitvector_Mode_Incorrect_Cyclic_Invoking_1_T_Loop0_TestCase2, MAYBE, 1651)
(FSE_Bitvector_Mode_Incorrect_Cyclic_Invoking_1_T_Loop0_TestCase3, MAYBE, 1664)
(FSE_Bitvector_Mode_Incorrect_Cyclic_Invoking_1_T_Loop0_TestCase1, MAYBE, 1661)
(FSE_Bitvector_Mode_Incorrect_Cyclic_Invoking_1_T_Loop0_TestCase4, MAYBE, 1657)
(FSE_Bitvector_Mode_Incorrect_Cyclic_Invoking_1_T_Loop0_TestCase5, MAYBE, 1650)
(FSE_Bitvector_Mode_Incorrect_Cyclic_Invoking_1_T_Loop0_TestCase7, MAYBE, 1680)
(FSE_Bitvector_Mode_Incorrect_Cyclic_Invoking_1_T_Loop0_TestCase6, MAYBE, 1640)</t>
  </si>
  <si>
    <t>(FSE_Bitvector_Mode_Incorrect_Cyclic_Invoking_1_T_Loop0_TestCase8, MAYBE, 1739)
(FSE_Bitvector_Mode_Incorrect_Cyclic_Invoking_1_T_Loop0_TestCase9, MAYBE, 1651)
(FSE_Bitvector_Mode_Incorrect_Cyclic_Invoking_1_T_Loop0_TestCase10, MAYBE, 1839)
(FSE_Bitvector_Mode_Incorrect_Cyclic_Invoking_1_T_Loop0_TestCase2, MAYBE, 1646)
(FSE_Bitvector_Mode_Incorrect_Cyclic_Invoking_1_T_Loop0_TestCase3, MAYBE, 2113)
(FSE_Bitvector_Mode_Incorrect_Cyclic_Invoking_1_T_Loop0_TestCase1, MAYBE, 1617)
(FSE_Bitvector_Mode_Incorrect_Cyclic_Invoking_1_T_Loop0_TestCase4, MAYBE, 1603)
(FSE_Bitvector_Mode_Incorrect_Cyclic_Invoking_1_T_Loop0_TestCase5, MAYBE, 1604)
(FSE_Bitvector_Mode_Incorrect_Cyclic_Invoking_1_T_Loop0_TestCase7, MAYBE, 1627)
(FSE_Bitvector_Mode_Incorrect_Cyclic_Invoking_1_T_Loop0_TestCase6, MAYBE, 1634)</t>
  </si>
  <si>
    <t>(FSE_Bitvector_Mode_Incorrect_Cyclic_Invoking_1_T_Loop0_TestCase0, MAYBE, 1631)</t>
  </si>
  <si>
    <t>(FSE_Bitvector_Mode_Incorrect_Cyclic_Invoking_1_T_Loop0_TestCase0, MAYBE, 1623)</t>
  </si>
  <si>
    <t>(FSE_Bitvector_Mode_Incorrect_Cyclic_Invoking_1_NT_Loop0_TestCase8, MAYBE, 1492)
(FSE_Bitvector_Mode_Incorrect_Cyclic_Invoking_1_NT_Loop0_TestCase9, MAYBE, 1513)
(FSE_Bitvector_Mode_Incorrect_Cyclic_Invoking_1_NT_Loop0_TestCase10, MAYBE, 1533)
(FSE_Bitvector_Mode_Incorrect_Cyclic_Invoking_1_NT_Loop0_TestCase1, MAYBE, 1534)
(FSE_Bitvector_Mode_Incorrect_Cyclic_Invoking_1_NT_Loop0_TestCase2, MAYBE, 1532)
(FSE_Bitvector_Mode_Incorrect_Cyclic_Invoking_1_NT_Loop0_TestCase3, MAYBE, 1609)
(FSE_Bitvector_Mode_Incorrect_Cyclic_Invoking_1_NT_Loop0_TestCase7, MAYBE, 1496)
(FSE_Bitvector_Mode_Incorrect_Cyclic_Invoking_1_NT_Loop0_TestCase6, MAYBE, 1497)
(FSE_Bitvector_Mode_Incorrect_Cyclic_Invoking_1_NT_Loop0_TestCase4, MAYBE, 1520)
(FSE_Bitvector_Mode_Incorrect_Cyclic_Invoking_1_NT_Loop0_TestCase5, MAYBE, 1529)</t>
  </si>
  <si>
    <t>(FSE_Bitvector_Mode_Incorrect_Cyclic_Invoking_1_NT_Loop0_TestCase8, MAYBE, 1455)
(FSE_Bitvector_Mode_Incorrect_Cyclic_Invoking_1_NT_Loop0_TestCase9, MAYBE, 1465)
(FSE_Bitvector_Mode_Incorrect_Cyclic_Invoking_1_NT_Loop0_TestCase10, MAYBE, 1467)
(FSE_Bitvector_Mode_Incorrect_Cyclic_Invoking_1_NT_Loop0_TestCase1, MAYBE, 1524)
(FSE_Bitvector_Mode_Incorrect_Cyclic_Invoking_1_NT_Loop0_TestCase2, MAYBE, 1503)
(FSE_Bitvector_Mode_Incorrect_Cyclic_Invoking_1_NT_Loop0_TestCase3, MAYBE, 1495)
(FSE_Bitvector_Mode_Incorrect_Cyclic_Invoking_1_NT_Loop0_TestCase7, MAYBE, 1510)
(FSE_Bitvector_Mode_Incorrect_Cyclic_Invoking_1_NT_Loop0_TestCase6, MAYBE, 1494)
(FSE_Bitvector_Mode_Incorrect_Cyclic_Invoking_1_NT_Loop0_TestCase4, MAYBE, 1482)
(FSE_Bitvector_Mode_Incorrect_Cyclic_Invoking_1_NT_Loop0_TestCase5, MAYBE, 1454)</t>
  </si>
  <si>
    <t>(FSE_Bitvector_Mode_Incorrect_Cyclic_Invoking_1_NT_Loop0_TestCase0, MAYBE, 1485)</t>
  </si>
  <si>
    <t>(FSE_Bitvector_Mode_Incorrect_Cyclic_Invoking_1_NT_Loop0_TestCase0, MAYBE, 1569)</t>
  </si>
  <si>
    <t>(FSE_Bitvector_Mode_Incorrect_Arguments_1_T_Loop0_TestCase9, MAYBE, 1465)
(FSE_Bitvector_Mode_Incorrect_Arguments_1_T_Loop0_TestCase8, MAYBE, 1500)
(FSE_Bitvector_Mode_Incorrect_Arguments_1_T_Loop0_TestCase3, MAYBE, 1508)
(FSE_Bitvector_Mode_Incorrect_Arguments_1_T_Loop0_TestCase2, MAYBE, 1512)
(FSE_Bitvector_Mode_Incorrect_Arguments_1_T_Loop0_TestCase1, MAYBE, 1472)
(FSE_Bitvector_Mode_Incorrect_Arguments_1_T_Loop0_TestCase5, MAYBE, 1522)
(FSE_Bitvector_Mode_Incorrect_Arguments_1_T_Loop0_TestCase4, MAYBE, 1488)
(FSE_Bitvector_Mode_Incorrect_Arguments_1_T_Loop0_TestCase10, MAYBE, 1470)
(FSE_Bitvector_Mode_Incorrect_Arguments_1_T_Loop0_TestCase6, MAYBE, 1497)
(FSE_Bitvector_Mode_Incorrect_Arguments_1_T_Loop0_TestCase7, MAYBE, 1480)</t>
  </si>
  <si>
    <t>(FSE_Bitvector_Mode_Incorrect_Arguments_1_T_Loop0_TestCase9, MAYBE, 1510)
(FSE_Bitvector_Mode_Incorrect_Arguments_1_T_Loop0_TestCase8, MAYBE, 1499)
(FSE_Bitvector_Mode_Incorrect_Arguments_1_T_Loop0_TestCase3, MAYBE, 1489)
(FSE_Bitvector_Mode_Incorrect_Arguments_1_T_Loop0_TestCase2, MAYBE, 1468)
(FSE_Bitvector_Mode_Incorrect_Arguments_1_T_Loop0_TestCase1, MAYBE, 1499)
(FSE_Bitvector_Mode_Incorrect_Arguments_1_T_Loop0_TestCase5, MAYBE, 1494)
(FSE_Bitvector_Mode_Incorrect_Arguments_1_T_Loop0_TestCase4, MAYBE, 1549)
(FSE_Bitvector_Mode_Incorrect_Arguments_1_T_Loop0_TestCase10, MAYBE, 1523)
(FSE_Bitvector_Mode_Incorrect_Arguments_1_T_Loop0_TestCase6, MAYBE, 1517)
(FSE_Bitvector_Mode_Incorrect_Arguments_1_T_Loop0_TestCase7, MAYBE, 1531)</t>
  </si>
  <si>
    <t>(FSE_Bitvector_Mode_Incorrect_Arguments_1_T_Loop0_TestCase0, MAYBE, 1485)</t>
  </si>
  <si>
    <t>(FSE_Bitvector_Mode_Incorrect_Arguments_1_T_Loop0_TestCase0, MAYBE, 1562)</t>
  </si>
  <si>
    <t>(FSE_Bitvector_Mode_Incorrect_Arguments_1_NT_Loop0_TestCase2, MAYBE, 1471)
(FSE_Bitvector_Mode_Incorrect_Arguments_1_NT_Loop0_TestCase3, MAYBE, 1468)
(FSE_Bitvector_Mode_Incorrect_Arguments_1_NT_Loop0_TestCase1, MAYBE, 1508)
(FSE_Bitvector_Mode_Incorrect_Arguments_1_NT_Loop0_TestCase4, MAYBE, 1801)
(FSE_Bitvector_Mode_Incorrect_Arguments_1_NT_Loop0_TestCase5, MAYBE, 1536)
(FSE_Bitvector_Mode_Incorrect_Arguments_1_NT_Loop0_TestCase7, MAYBE, 1476)
(FSE_Bitvector_Mode_Incorrect_Arguments_1_NT_Loop0_TestCase10, MAYBE, 1487)
(FSE_Bitvector_Mode_Incorrect_Arguments_1_NT_Loop0_TestCase6, MAYBE, 1469)
(FSE_Bitvector_Mode_Incorrect_Arguments_1_NT_Loop0_TestCase8, MAYBE, 1645)
(FSE_Bitvector_Mode_Incorrect_Arguments_1_NT_Loop0_TestCase9, MAYBE, 1450)</t>
  </si>
  <si>
    <t>(FSE_Bitvector_Mode_Incorrect_Arguments_1_NT_Loop0_TestCase2, MAYBE, 1477)
(FSE_Bitvector_Mode_Incorrect_Arguments_1_NT_Loop0_TestCase3, MAYBE, 1455)
(FSE_Bitvector_Mode_Incorrect_Arguments_1_NT_Loop0_TestCase1, MAYBE, 1494)
(FSE_Bitvector_Mode_Incorrect_Arguments_1_NT_Loop0_TestCase4, MAYBE, 1466)
(FSE_Bitvector_Mode_Incorrect_Arguments_1_NT_Loop0_TestCase5, MAYBE, 1483)
(FSE_Bitvector_Mode_Incorrect_Arguments_1_NT_Loop0_TestCase7, MAYBE, 1544)
(FSE_Bitvector_Mode_Incorrect_Arguments_1_NT_Loop0_TestCase10, MAYBE, 1476)
(FSE_Bitvector_Mode_Incorrect_Arguments_1_NT_Loop0_TestCase6, MAYBE, 1493)
(FSE_Bitvector_Mode_Incorrect_Arguments_1_NT_Loop0_TestCase8, MAYBE, 1489)
(FSE_Bitvector_Mode_Incorrect_Arguments_1_NT_Loop0_TestCase9, MAYBE, 1488)</t>
  </si>
  <si>
    <t>(FSE_Bitvector_Mode_Incorrect_Arguments_1_NT_Loop0_TestCase0, MAYBE, 3296)</t>
  </si>
  <si>
    <t>(FSE_Bitvector_Mode_Incorrect_Arguments_1_NT_Loop0_TestCase0, MAYBE, 1609)</t>
  </si>
  <si>
    <t>(FSE_Modulo_Arithmetic_Mode_Misusing_Method_Overloading_4_T_Loop0_TestCase0, MAYBE, 469)</t>
  </si>
  <si>
    <t>(FSE_Modulo_Arithmetic_Mode_Misusing_Method_Overloading_4_T_Loop0_TestCase0, MAYBE, 473)</t>
  </si>
  <si>
    <t>(FSE_Modulo_Arithmetic_Mode_Misusing_Method_Overloading_4_T_Loop0_TestCase0, MAYBE, 445)</t>
  </si>
  <si>
    <t>(FSE_Modulo_Arithmetic_Mode_Misusing_Method_Overloading_4_T_Loop0_TestCase0, MAYBE, 443)</t>
  </si>
  <si>
    <t>(FSE_Modulo_Arithmetic_Mode_Misusing_Method_Overloading_4_NT_Loop0_TestCase0, MAYBE, 473)</t>
  </si>
  <si>
    <t>(FSE_Modulo_Arithmetic_Mode_Misusing_Method_Overloading_4_NT_Loop0_TestCase0, MAYBE, 451)</t>
  </si>
  <si>
    <t>(FSE_Modulo_Arithmetic_Mode_Misusing_Method_Overloading_4_NT_Loop0_TestCase0, MAYBE, 462)</t>
  </si>
  <si>
    <t>(FSE_Modulo_Arithmetic_Mode_Misusing_Method_Overloading_4_NT_Loop0_TestCase0, MAYBE, 487)</t>
  </si>
  <si>
    <t>(FSE_Modulo_Arithmetic_Mode_Misusing_Method_Overloading_3_T_Loop0_TestCase0, MAYBE, 461)</t>
  </si>
  <si>
    <t>(FSE_Modulo_Arithmetic_Mode_Misusing_Method_Overloading_3_T_Loop0_TestCase0, MAYBE, 454)</t>
  </si>
  <si>
    <t>(FSE_Modulo_Arithmetic_Mode_Misusing_Method_Overloading_3_T_Loop0_TestCase0, MAYBE, 471)</t>
  </si>
  <si>
    <t>(FSE_Modulo_Arithmetic_Mode_Misusing_Method_Overloading_3_T_Loop0_TestCase0, MAYBE, 469)</t>
  </si>
  <si>
    <t>(FSE_Modulo_Arithmetic_Mode_Misusing_Method_Overloading_3_NT_Loop0_TestCase0, MAYBE, 481)</t>
  </si>
  <si>
    <t>(FSE_Modulo_Arithmetic_Mode_Misusing_Method_Overloading_3_NT_Loop0_TestCase0, MAYBE, 470)</t>
  </si>
  <si>
    <t>(FSE_Modulo_Arithmetic_Mode_Misusing_Method_Overloading_3_NT_Loop0_TestCase0, MAYBE, 454)</t>
  </si>
  <si>
    <t>(FSE_Modulo_Arithmetic_Mode_Misusing_Method_Overloading_3_NT_Loop0_TestCase0, MAYBE, 460)</t>
  </si>
  <si>
    <t>(FSE_Modulo_Arithmetic_Mode_Misusing_Method_Overloading_2_T_Loop0_TestCase0, MAYBE, 508)</t>
  </si>
  <si>
    <t>(FSE_Modulo_Arithmetic_Mode_Misusing_Method_Overloading_2_T_Loop0_TestCase0, MAYBE, 454)</t>
  </si>
  <si>
    <t>(FSE_Modulo_Arithmetic_Mode_Misusing_Method_Overloading_2_T_Loop0_TestCase0, MAYBE, 448)</t>
  </si>
  <si>
    <t>(FSE_Modulo_Arithmetic_Mode_Misusing_Method_Overloading_2_T_Loop0_TestCase0, MAYBE, 438)</t>
  </si>
  <si>
    <t>(FSE_Modulo_Arithmetic_Mode_Misusing_Method_Overloading_2_NT_Loop0_TestCase0, MAYBE, 465)</t>
  </si>
  <si>
    <t>(FSE_Modulo_Arithmetic_Mode_Misusing_Method_Overloading_2_NT_Loop0_TestCase0, MAYBE, 452)</t>
  </si>
  <si>
    <t>(FSE_Modulo_Arithmetic_Mode_Misusing_Method_Overloading_2_NT_Loop0_TestCase0, MAYBE, 471)</t>
  </si>
  <si>
    <t>(FSE_Modulo_Arithmetic_Mode_Misusing_Method_Overloading_2_NT_Loop0_TestCase0, MAYBE, 455)</t>
  </si>
  <si>
    <t>(FSE_Modulo_Arithmetic_Mode_Misusing_Method_Overloading_1_T_Loop0_TestCase0, MAYBE, 477)</t>
  </si>
  <si>
    <t>(FSE_Modulo_Arithmetic_Mode_Misusing_Method_Overloading_1_T_Loop0_TestCase0, MAYBE, 463)</t>
  </si>
  <si>
    <t>(FSE_Modulo_Arithmetic_Mode_Misusing_Method_Overloading_1_T_Loop0_TestCase0, MAYBE, 451)</t>
  </si>
  <si>
    <t>(FSE_Modulo_Arithmetic_Mode_Misusing_Method_Overloading_1_T_Loop0_TestCase0, MAYBE, 464)</t>
  </si>
  <si>
    <t>(FSE_Modulo_Arithmetic_Mode_Misusing_Method_Overloading_1_NT_Loop0_TestCase0, MAYBE, 482)</t>
  </si>
  <si>
    <t>(FSE_Modulo_Arithmetic_Mode_Misusing_Method_Overloading_1_NT_Loop0_TestCase0, MAYBE, 462)</t>
  </si>
  <si>
    <t>(FSE_Modulo_Arithmetic_Mode_Misusing_Method_Overloading_1_NT_Loop0_TestCase0, MAYBE, 457)</t>
  </si>
  <si>
    <t>(FSE_Modulo_Arithmetic_Mode_Misusing_Method_Overloading_1_NT_Loop0_TestCase0, MAYBE, 465)</t>
  </si>
  <si>
    <t>(FSE_Modulo_Arithmetic_Mode_Missing_undef_Instruction_1_T_Loop0_TestCase0, MAYBE, 1360)</t>
  </si>
  <si>
    <t>(FSE_Modulo_Arithmetic_Mode_Missing_undef_Instruction_1_T_Loop0_TestCase0, MAYBE, 1252)</t>
  </si>
  <si>
    <t>(FSE_Modulo_Arithmetic_Mode_Missing_undef_Instruction_1_T_Loop0_TestCase0, MAYBE, 1361)</t>
  </si>
  <si>
    <t>(FSE_Modulo_Arithmetic_Mode_Missing_undef_Instruction_1_T_Loop0_TestCase0, MAYBE, 1380)</t>
  </si>
  <si>
    <t>(FSE_Modulo_Arithmetic_Mode_Missing_undef_Instruction_1_NT_Loop0_TestCase0, MAYBE, 1410)</t>
  </si>
  <si>
    <t>(FSE_Modulo_Arithmetic_Mode_Missing_undef_Instruction_1_NT_Loop0_TestCase0, MAYBE, 1375)</t>
  </si>
  <si>
    <t>(FSE_Modulo_Arithmetic_Mode_Missing_undef_Instruction_1_NT_Loop0_TestCase0, MAYBE, 1361)</t>
  </si>
  <si>
    <t>(FSE_Modulo_Arithmetic_Mode_Missing_undef_Instruction_1_NT_Loop0_TestCase0, MAYBE, 1336)</t>
  </si>
  <si>
    <t>(FSE_Modulo_Arithmetic_Mode_Miscalling_Inherited_Method_1_T_Loop0_TestCase0, MAYBE, 468)</t>
  </si>
  <si>
    <t>(FSE_Modulo_Arithmetic_Mode_Miscalling_Inherited_Method_1_T_Loop0_TestCase0, MAYBE, 610)</t>
  </si>
  <si>
    <t>(FSE_Modulo_Arithmetic_Mode_Miscalling_Inherited_Method_1_T_Loop0_TestCase0, MAYBE, 453)</t>
  </si>
  <si>
    <t>(FSE_Modulo_Arithmetic_Mode_Miscalling_Inherited_Method_1_T_Loop0_TestCase0, MAYBE, 442)</t>
  </si>
  <si>
    <t>(FSE_Modulo_Arithmetic_Mode_Miscalling_Inherited_Method_1_NT_Loop0_TestCase0, MAYBE, 460)</t>
  </si>
  <si>
    <t>(FSE_Modulo_Arithmetic_Mode_Miscalling_Inherited_Method_1_NT_Loop0_TestCase0, MAYBE, 462)</t>
  </si>
  <si>
    <t>(FSE_Modulo_Arithmetic_Mode_Miscalling_Inherited_Method_1_NT_Loop0_TestCase0, MAYBE, 452)</t>
  </si>
  <si>
    <t>(FSE_Modulo_Arithmetic_Mode_Miscalling_Inherited_Method_1_NT_Loop0_TestCase0, MAYBE, 469)</t>
  </si>
  <si>
    <t>(FSE_Modulo_Arithmetic_Mode_Incorrect_Return_2_T_Loop0_TestCase4, MAYBE, 465)
(FSE_Modulo_Arithmetic_Mode_Incorrect_Return_2_T_Loop0_TestCase5, MAYBE, 481)
(FSE_Modulo_Arithmetic_Mode_Incorrect_Return_2_T_Loop0_TestCase7, MAYBE, 469)
(FSE_Modulo_Arithmetic_Mode_Incorrect_Return_2_T_Loop0_TestCase6, MAYBE, 489)
(FSE_Modulo_Arithmetic_Mode_Incorrect_Return_2_T_Loop0_TestCase10, MAYBE, 468)
(FSE_Modulo_Arithmetic_Mode_Incorrect_Return_2_T_Loop0_TestCase2, MAYBE, 435)
(FSE_Modulo_Arithmetic_Mode_Incorrect_Return_2_T_Loop0_TestCase3, MAYBE, 470)
(FSE_Modulo_Arithmetic_Mode_Incorrect_Return_2_T_Loop0_TestCase1, MAYBE, 481)
(FSE_Modulo_Arithmetic_Mode_Incorrect_Return_2_T_Loop0_TestCase8, MAYBE, 522)
(FSE_Modulo_Arithmetic_Mode_Incorrect_Return_2_T_Loop0_TestCase9, MAYBE, 443)</t>
  </si>
  <si>
    <t>(FSE_Modulo_Arithmetic_Mode_Incorrect_Return_2_T_Loop0_TestCase4, MAYBE, 524)
(FSE_Modulo_Arithmetic_Mode_Incorrect_Return_2_T_Loop0_TestCase5, MAYBE, 549)
(FSE_Modulo_Arithmetic_Mode_Incorrect_Return_2_T_Loop0_TestCase7, MAYBE, 445)
(FSE_Modulo_Arithmetic_Mode_Incorrect_Return_2_T_Loop0_TestCase6, MAYBE, 467)
(FSE_Modulo_Arithmetic_Mode_Incorrect_Return_2_T_Loop0_TestCase10, MAYBE, 471)
(FSE_Modulo_Arithmetic_Mode_Incorrect_Return_2_T_Loop0_TestCase2, MAYBE, 463)
(FSE_Modulo_Arithmetic_Mode_Incorrect_Return_2_T_Loop0_TestCase3, MAYBE, 454)
(FSE_Modulo_Arithmetic_Mode_Incorrect_Return_2_T_Loop0_TestCase1, MAYBE, 456)
(FSE_Modulo_Arithmetic_Mode_Incorrect_Return_2_T_Loop0_TestCase8, MAYBE, 451)
(FSE_Modulo_Arithmetic_Mode_Incorrect_Return_2_T_Loop0_TestCase9, MAYBE, 468)</t>
  </si>
  <si>
    <t>(FSE_Modulo_Arithmetic_Mode_Incorrect_Return_2_T_Loop0_TestCase0, MAYBE, 458)</t>
  </si>
  <si>
    <t>(FSE_Modulo_Arithmetic_Mode_Incorrect_Return_2_T_Loop0_TestCase0, MAYBE, 485)</t>
  </si>
  <si>
    <t>(FSE_Modulo_Arithmetic_Mode_Incorrect_Return_2_NT_Loop0_TestCase9, MAYBE, 454)
(FSE_Modulo_Arithmetic_Mode_Incorrect_Return_2_NT_Loop0_TestCase8, MAYBE, 454)
(FSE_Modulo_Arithmetic_Mode_Incorrect_Return_2_NT_Loop0_TestCase10, MAYBE, 489)
(FSE_Modulo_Arithmetic_Mode_Incorrect_Return_2_NT_Loop0_TestCase5, MAYBE, 462)
(FSE_Modulo_Arithmetic_Mode_Incorrect_Return_2_NT_Loop0_TestCase4, MAYBE, 451)
(FSE_Modulo_Arithmetic_Mode_Incorrect_Return_2_NT_Loop0_TestCase6, MAYBE, 459)
(FSE_Modulo_Arithmetic_Mode_Incorrect_Return_2_NT_Loop0_TestCase7, MAYBE, 465)
(FSE_Modulo_Arithmetic_Mode_Incorrect_Return_2_NT_Loop0_TestCase3, MAYBE, 464)
(FSE_Modulo_Arithmetic_Mode_Incorrect_Return_2_NT_Loop0_TestCase2, MAYBE, 478)
(FSE_Modulo_Arithmetic_Mode_Incorrect_Return_2_NT_Loop0_TestCase1, MAYBE, 473)</t>
  </si>
  <si>
    <t>(FSE_Modulo_Arithmetic_Mode_Incorrect_Return_2_NT_Loop0_TestCase9, MAYBE, 458)
(FSE_Modulo_Arithmetic_Mode_Incorrect_Return_2_NT_Loop0_TestCase8, MAYBE, 466)
(FSE_Modulo_Arithmetic_Mode_Incorrect_Return_2_NT_Loop0_TestCase10, MAYBE, 435)
(FSE_Modulo_Arithmetic_Mode_Incorrect_Return_2_NT_Loop0_TestCase5, MAYBE, 457)
(FSE_Modulo_Arithmetic_Mode_Incorrect_Return_2_NT_Loop0_TestCase4, MAYBE, 437)
(FSE_Modulo_Arithmetic_Mode_Incorrect_Return_2_NT_Loop0_TestCase6, MAYBE, 452)
(FSE_Modulo_Arithmetic_Mode_Incorrect_Return_2_NT_Loop0_TestCase7, MAYBE, 470)
(FSE_Modulo_Arithmetic_Mode_Incorrect_Return_2_NT_Loop0_TestCase3, MAYBE, 494)
(FSE_Modulo_Arithmetic_Mode_Incorrect_Return_2_NT_Loop0_TestCase2, MAYBE, 457)
(FSE_Modulo_Arithmetic_Mode_Incorrect_Return_2_NT_Loop0_TestCase1, MAYBE, 444)</t>
  </si>
  <si>
    <t>(FSE_Modulo_Arithmetic_Mode_Incorrect_Return_2_NT_Loop0_TestCase0, MAYBE, 471)</t>
  </si>
  <si>
    <t>(FSE_Modulo_Arithmetic_Mode_Incorrect_Return_2_NT_Loop0_TestCase0, MAYBE, 461)</t>
  </si>
  <si>
    <t>(FSE_Modulo_Arithmetic_Mode_Incorrect_Return_1_T_Loop0_TestCase9, MAYBE, 1436)
(FSE_Modulo_Arithmetic_Mode_Incorrect_Return_1_T_Loop0_TestCase8, MAYBE, 1421)
(FSE_Modulo_Arithmetic_Mode_Incorrect_Return_1_T_Loop0_TestCase10, MAYBE, 1461)
(FSE_Modulo_Arithmetic_Mode_Incorrect_Return_1_T_Loop0_TestCase1, MAYBE, 1451)
(FSE_Modulo_Arithmetic_Mode_Incorrect_Return_1_T_Loop0_TestCase3, MAYBE, 1478)
(FSE_Modulo_Arithmetic_Mode_Incorrect_Return_1_T_Loop0_TestCase2, MAYBE, 1438)
(FSE_Modulo_Arithmetic_Mode_Incorrect_Return_1_T_Loop0_TestCase6, MAYBE, 1425)
(FSE_Modulo_Arithmetic_Mode_Incorrect_Return_1_T_Loop0_TestCase7, MAYBE, 1451)
(FSE_Modulo_Arithmetic_Mode_Incorrect_Return_1_T_Loop0_TestCase5, MAYBE, 1498)
(FSE_Modulo_Arithmetic_Mode_Incorrect_Return_1_T_Loop0_TestCase4, MAYBE, 1461)</t>
  </si>
  <si>
    <t>(FSE_Modulo_Arithmetic_Mode_Incorrect_Return_1_T_Loop0_TestCase9, MAYBE, 1425)
(FSE_Modulo_Arithmetic_Mode_Incorrect_Return_1_T_Loop0_TestCase8, MAYBE, 1454)
(FSE_Modulo_Arithmetic_Mode_Incorrect_Return_1_T_Loop0_TestCase10, MAYBE, 1499)
(FSE_Modulo_Arithmetic_Mode_Incorrect_Return_1_T_Loop0_TestCase1, MAYBE, 1473)
(FSE_Modulo_Arithmetic_Mode_Incorrect_Return_1_T_Loop0_TestCase3, MAYBE, 1431)
(FSE_Modulo_Arithmetic_Mode_Incorrect_Return_1_T_Loop0_TestCase2, MAYBE, 1451)
(FSE_Modulo_Arithmetic_Mode_Incorrect_Return_1_T_Loop0_TestCase6, MAYBE, 1443)
(FSE_Modulo_Arithmetic_Mode_Incorrect_Return_1_T_Loop0_TestCase7, MAYBE, 1411)
(FSE_Modulo_Arithmetic_Mode_Incorrect_Return_1_T_Loop0_TestCase5, MAYBE, 1409)
(FSE_Modulo_Arithmetic_Mode_Incorrect_Return_1_T_Loop0_TestCase4, MAYBE, 1423)</t>
  </si>
  <si>
    <t>(FSE_Modulo_Arithmetic_Mode_Incorrect_Return_1_T_Loop0_TestCase0, MAYBE, 1442)</t>
  </si>
  <si>
    <t>(FSE_Modulo_Arithmetic_Mode_Incorrect_Return_1_T_Loop0_TestCase0, MAYBE, 1452)</t>
  </si>
  <si>
    <t>(FSE_Modulo_Arithmetic_Mode_Incorrect_Return_1_NT_Loop0_TestCase9, MAYBE, 1448)
(FSE_Modulo_Arithmetic_Mode_Incorrect_Return_1_NT_Loop0_TestCase8, MAYBE, 1434)
(FSE_Modulo_Arithmetic_Mode_Incorrect_Return_1_NT_Loop0_TestCase10, MAYBE, 1423)
(FSE_Modulo_Arithmetic_Mode_Incorrect_Return_1_NT_Loop0_TestCase1, MAYBE, 1451)
(FSE_Modulo_Arithmetic_Mode_Incorrect_Return_1_NT_Loop0_TestCase3, MAYBE, 1478)
(FSE_Modulo_Arithmetic_Mode_Incorrect_Return_1_NT_Loop0_TestCase2, MAYBE, 1482)
(FSE_Modulo_Arithmetic_Mode_Incorrect_Return_1_NT_Loop0_TestCase6, MAYBE, 1424)
(FSE_Modulo_Arithmetic_Mode_Incorrect_Return_1_NT_Loop0_TestCase7, MAYBE, 1459)
(FSE_Modulo_Arithmetic_Mode_Incorrect_Return_1_NT_Loop0_TestCase5, MAYBE, 1442)
(FSE_Modulo_Arithmetic_Mode_Incorrect_Return_1_NT_Loop0_TestCase4, MAYBE, 1422)</t>
  </si>
  <si>
    <t>(FSE_Modulo_Arithmetic_Mode_Incorrect_Return_1_NT_Loop0_TestCase9, MAYBE, 1483)
(FSE_Modulo_Arithmetic_Mode_Incorrect_Return_1_NT_Loop0_TestCase8, MAYBE, 1469)
(FSE_Modulo_Arithmetic_Mode_Incorrect_Return_1_NT_Loop0_TestCase10, MAYBE, 1477)
(FSE_Modulo_Arithmetic_Mode_Incorrect_Return_1_NT_Loop0_TestCase1, MAYBE, 1712)
(FSE_Modulo_Arithmetic_Mode_Incorrect_Return_1_NT_Loop0_TestCase3, MAYBE, 1459)
(FSE_Modulo_Arithmetic_Mode_Incorrect_Return_1_NT_Loop0_TestCase2, MAYBE, 1481)
(FSE_Modulo_Arithmetic_Mode_Incorrect_Return_1_NT_Loop0_TestCase6, MAYBE, 1465)
(FSE_Modulo_Arithmetic_Mode_Incorrect_Return_1_NT_Loop0_TestCase7, MAYBE, 1470)
(FSE_Modulo_Arithmetic_Mode_Incorrect_Return_1_NT_Loop0_TestCase5, MAYBE, 1529)
(FSE_Modulo_Arithmetic_Mode_Incorrect_Return_1_NT_Loop0_TestCase4, MAYBE, 1411)</t>
  </si>
  <si>
    <t>(FSE_Modulo_Arithmetic_Mode_Incorrect_Return_1_NT_Loop0_TestCase0, MAYBE, 1464)</t>
  </si>
  <si>
    <t>(FSE_Modulo_Arithmetic_Mode_Incorrect_Return_1_NT_Loop0_TestCase0, MAYBE, 1527)</t>
  </si>
  <si>
    <t>(FSE_Modulo_Arithmetic_Mode_Incorrect_Cyclic_Invoking_3_T_Loop0_TestCase0, MAYBE, 452)</t>
  </si>
  <si>
    <t>(FSE_Modulo_Arithmetic_Mode_Incorrect_Cyclic_Invoking_3_T_Loop0_TestCase0, MAYBE, 496)</t>
  </si>
  <si>
    <t>(FSE_Modulo_Arithmetic_Mode_Incorrect_Cyclic_Invoking_3_T_Loop0_TestCase0, MAYBE, 436)</t>
  </si>
  <si>
    <t>(FSE_Modulo_Arithmetic_Mode_Incorrect_Cyclic_Invoking_3_T_Loop0_TestCase0, MAYBE, 461)</t>
  </si>
  <si>
    <t>(FSE_Modulo_Arithmetic_Mode_Incorrect_Cyclic_Invoking_3_NT_Loop0_TestCase0, MAYBE, 489)</t>
  </si>
  <si>
    <t>(FSE_Modulo_Arithmetic_Mode_Incorrect_Cyclic_Invoking_3_NT_Loop0_TestCase0, MAYBE, 459)</t>
  </si>
  <si>
    <t>(FSE_Modulo_Arithmetic_Mode_Incorrect_Cyclic_Invoking_3_NT_Loop0_TestCase0, MAYBE, 442)</t>
  </si>
  <si>
    <t>(FSE_Modulo_Arithmetic_Mode_Incorrect_Cyclic_Invoking_3_NT_Loop0_TestCase0, MAYBE, 482)</t>
  </si>
  <si>
    <t>(FSE_Modulo_Arithmetic_Mode_Incorrect_Cyclic_Invoking_2_T_Loop0_TestCase8, MAYBE, 1477)
(FSE_Modulo_Arithmetic_Mode_Incorrect_Cyclic_Invoking_2_T_Loop0_TestCase9, MAYBE, 1505)
(FSE_Modulo_Arithmetic_Mode_Incorrect_Cyclic_Invoking_2_T_Loop0_TestCase10, MAYBE, 1477)
(FSE_Modulo_Arithmetic_Mode_Incorrect_Cyclic_Invoking_2_T_Loop0_TestCase1, MAYBE, 1498)
(FSE_Modulo_Arithmetic_Mode_Incorrect_Cyclic_Invoking_2_T_Loop0_TestCase2, MAYBE, 1558)
(FSE_Modulo_Arithmetic_Mode_Incorrect_Cyclic_Invoking_2_T_Loop0_TestCase3, MAYBE, 1499)
(FSE_Modulo_Arithmetic_Mode_Incorrect_Cyclic_Invoking_2_T_Loop0_TestCase7, MAYBE, 1492)
(FSE_Modulo_Arithmetic_Mode_Incorrect_Cyclic_Invoking_2_T_Loop0_TestCase6, MAYBE, 1466)
(FSE_Modulo_Arithmetic_Mode_Incorrect_Cyclic_Invoking_2_T_Loop0_TestCase4, MAYBE, 1507)
(FSE_Modulo_Arithmetic_Mode_Incorrect_Cyclic_Invoking_2_T_Loop0_TestCase5, MAYBE, 1503)</t>
  </si>
  <si>
    <t>(FSE_Modulo_Arithmetic_Mode_Incorrect_Cyclic_Invoking_2_T_Loop0_TestCase8, MAYBE, 1471)
(FSE_Modulo_Arithmetic_Mode_Incorrect_Cyclic_Invoking_2_T_Loop0_TestCase9, MAYBE, 1513)
(FSE_Modulo_Arithmetic_Mode_Incorrect_Cyclic_Invoking_2_T_Loop0_TestCase10, MAYBE, 1484)
(FSE_Modulo_Arithmetic_Mode_Incorrect_Cyclic_Invoking_2_T_Loop0_TestCase1, MAYBE, 1521)
(FSE_Modulo_Arithmetic_Mode_Incorrect_Cyclic_Invoking_2_T_Loop0_TestCase2, MAYBE, 1486)
(FSE_Modulo_Arithmetic_Mode_Incorrect_Cyclic_Invoking_2_T_Loop0_TestCase3, MAYBE, 1571)
(FSE_Modulo_Arithmetic_Mode_Incorrect_Cyclic_Invoking_2_T_Loop0_TestCase7, MAYBE, 1478)
(FSE_Modulo_Arithmetic_Mode_Incorrect_Cyclic_Invoking_2_T_Loop0_TestCase6, MAYBE, 1499)
(FSE_Modulo_Arithmetic_Mode_Incorrect_Cyclic_Invoking_2_T_Loop0_TestCase4, MAYBE, 1489)
(FSE_Modulo_Arithmetic_Mode_Incorrect_Cyclic_Invoking_2_T_Loop0_TestCase5, MAYBE, 1506)</t>
  </si>
  <si>
    <t>(FSE_Modulo_Arithmetic_Mode_Incorrect_Cyclic_Invoking_2_T_Loop0_TestCase0, MAYBE, 1478)</t>
  </si>
  <si>
    <t>(FSE_Modulo_Arithmetic_Mode_Incorrect_Cyclic_Invoking_2_T_Loop0_TestCase0, MAYBE, 1472)</t>
  </si>
  <si>
    <t>(FSE_Modulo_Arithmetic_Mode_Incorrect_Cyclic_Invoking_2_NT_Loop0_TestCase5, MAYBE, 1344)
(FSE_Modulo_Arithmetic_Mode_Incorrect_Cyclic_Invoking_2_NT_Loop0_TestCase4, MAYBE, 1383)
(FSE_Modulo_Arithmetic_Mode_Incorrect_Cyclic_Invoking_2_NT_Loop0_TestCase6, MAYBE, 1393)
(FSE_Modulo_Arithmetic_Mode_Incorrect_Cyclic_Invoking_2_NT_Loop0_TestCase7, MAYBE, 1345)
(FSE_Modulo_Arithmetic_Mode_Incorrect_Cyclic_Invoking_2_NT_Loop0_TestCase3, MAYBE, 1386)
(FSE_Modulo_Arithmetic_Mode_Incorrect_Cyclic_Invoking_2_NT_Loop0_TestCase2, MAYBE, 1349)
(FSE_Modulo_Arithmetic_Mode_Incorrect_Cyclic_Invoking_2_NT_Loop0_TestCase1, MAYBE, 1439)
(FSE_Modulo_Arithmetic_Mode_Incorrect_Cyclic_Invoking_2_NT_Loop0_TestCase10, MAYBE, 1385)
(FSE_Modulo_Arithmetic_Mode_Incorrect_Cyclic_Invoking_2_NT_Loop0_TestCase9, MAYBE, 1362)
(FSE_Modulo_Arithmetic_Mode_Incorrect_Cyclic_Invoking_2_NT_Loop0_TestCase8, MAYBE, 1332)</t>
  </si>
  <si>
    <t>(FSE_Modulo_Arithmetic_Mode_Incorrect_Cyclic_Invoking_2_NT_Loop0_TestCase5, MAYBE, 1336)
(FSE_Modulo_Arithmetic_Mode_Incorrect_Cyclic_Invoking_2_NT_Loop0_TestCase4, MAYBE, 1368)
(FSE_Modulo_Arithmetic_Mode_Incorrect_Cyclic_Invoking_2_NT_Loop0_TestCase6, MAYBE, 1320)
(FSE_Modulo_Arithmetic_Mode_Incorrect_Cyclic_Invoking_2_NT_Loop0_TestCase7, MAYBE, 1353)
(FSE_Modulo_Arithmetic_Mode_Incorrect_Cyclic_Invoking_2_NT_Loop0_TestCase3, MAYBE, 1369)
(FSE_Modulo_Arithmetic_Mode_Incorrect_Cyclic_Invoking_2_NT_Loop0_TestCase2, MAYBE, 1306)
(FSE_Modulo_Arithmetic_Mode_Incorrect_Cyclic_Invoking_2_NT_Loop0_TestCase1, MAYBE, 1338)
(FSE_Modulo_Arithmetic_Mode_Incorrect_Cyclic_Invoking_2_NT_Loop0_TestCase10, MAYBE, 1382)
(FSE_Modulo_Arithmetic_Mode_Incorrect_Cyclic_Invoking_2_NT_Loop0_TestCase9, MAYBE, 1734)
(FSE_Modulo_Arithmetic_Mode_Incorrect_Cyclic_Invoking_2_NT_Loop0_TestCase8, MAYBE, 1346)</t>
  </si>
  <si>
    <t>(FSE_Modulo_Arithmetic_Mode_Incorrect_Cyclic_Invoking_2_NT_Loop0_TestCase0, MAYBE, 1403)</t>
  </si>
  <si>
    <t>(FSE_Modulo_Arithmetic_Mode_Incorrect_Cyclic_Invoking_2_NT_Loop0_TestCase0, MAYBE, 1355)</t>
  </si>
  <si>
    <t>(FSE_Modulo_Arithmetic_Mode_Incorrect_Cyclic_Invoking_1_T_Loop0_TestCase5, MAYBE, 1645)
(FSE_Modulo_Arithmetic_Mode_Incorrect_Cyclic_Invoking_1_T_Loop0_TestCase4, MAYBE, 1661)
(FSE_Modulo_Arithmetic_Mode_Incorrect_Cyclic_Invoking_1_T_Loop0_TestCase6, MAYBE, 1700)
(FSE_Modulo_Arithmetic_Mode_Incorrect_Cyclic_Invoking_1_T_Loop0_TestCase7, MAYBE, 1678)
(FSE_Modulo_Arithmetic_Mode_Incorrect_Cyclic_Invoking_1_T_Loop0_TestCase3, MAYBE, 1659)
(FSE_Modulo_Arithmetic_Mode_Incorrect_Cyclic_Invoking_1_T_Loop0_TestCase2, MAYBE, 1692)
(FSE_Modulo_Arithmetic_Mode_Incorrect_Cyclic_Invoking_1_T_Loop0_TestCase1, MAYBE, 1636)
(FSE_Modulo_Arithmetic_Mode_Incorrect_Cyclic_Invoking_1_T_Loop0_TestCase10, MAYBE, 1702)
(FSE_Modulo_Arithmetic_Mode_Incorrect_Cyclic_Invoking_1_T_Loop0_TestCase9, MAYBE, 1698)
(FSE_Modulo_Arithmetic_Mode_Incorrect_Cyclic_Invoking_1_T_Loop0_TestCase8, MAYBE, 1755)</t>
  </si>
  <si>
    <t>(FSE_Modulo_Arithmetic_Mode_Incorrect_Cyclic_Invoking_1_T_Loop0_TestCase5, MAYBE, 1610)
(FSE_Modulo_Arithmetic_Mode_Incorrect_Cyclic_Invoking_1_T_Loop0_TestCase4, MAYBE, 1619)
(FSE_Modulo_Arithmetic_Mode_Incorrect_Cyclic_Invoking_1_T_Loop0_TestCase6, MAYBE, 1699)
(FSE_Modulo_Arithmetic_Mode_Incorrect_Cyclic_Invoking_1_T_Loop0_TestCase7, MAYBE, 1622)
(FSE_Modulo_Arithmetic_Mode_Incorrect_Cyclic_Invoking_1_T_Loop0_TestCase3, MAYBE, 1699)
(FSE_Modulo_Arithmetic_Mode_Incorrect_Cyclic_Invoking_1_T_Loop0_TestCase2, MAYBE, 1622)
(FSE_Modulo_Arithmetic_Mode_Incorrect_Cyclic_Invoking_1_T_Loop0_TestCase1, MAYBE, 1648)
(FSE_Modulo_Arithmetic_Mode_Incorrect_Cyclic_Invoking_1_T_Loop0_TestCase10, MAYBE, 1610)
(FSE_Modulo_Arithmetic_Mode_Incorrect_Cyclic_Invoking_1_T_Loop0_TestCase9, MAYBE, 1607)
(FSE_Modulo_Arithmetic_Mode_Incorrect_Cyclic_Invoking_1_T_Loop0_TestCase8, MAYBE, 1733)</t>
  </si>
  <si>
    <t>(FSE_Modulo_Arithmetic_Mode_Incorrect_Cyclic_Invoking_1_T_Loop0_TestCase0, MAYBE, 1632)</t>
  </si>
  <si>
    <t>(FSE_Modulo_Arithmetic_Mode_Incorrect_Cyclic_Invoking_1_T_Loop0_TestCase0, MAYBE, 1701)</t>
  </si>
  <si>
    <t>(FSE_Modulo_Arithmetic_Mode_Incorrect_Cyclic_Invoking_1_NT_Loop0_TestCase1, MAYBE, 1573)
(FSE_Modulo_Arithmetic_Mode_Incorrect_Cyclic_Invoking_1_NT_Loop0_TestCase3, MAYBE, 1566)
(FSE_Modulo_Arithmetic_Mode_Incorrect_Cyclic_Invoking_1_NT_Loop0_TestCase10, MAYBE, 1511)
(FSE_Modulo_Arithmetic_Mode_Incorrect_Cyclic_Invoking_1_NT_Loop0_TestCase2, MAYBE, 1549)
(FSE_Modulo_Arithmetic_Mode_Incorrect_Cyclic_Invoking_1_NT_Loop0_TestCase6, MAYBE, 1543)
(FSE_Modulo_Arithmetic_Mode_Incorrect_Cyclic_Invoking_1_NT_Loop0_TestCase7, MAYBE, 1587)
(FSE_Modulo_Arithmetic_Mode_Incorrect_Cyclic_Invoking_1_NT_Loop0_TestCase5, MAYBE, 1495)
(FSE_Modulo_Arithmetic_Mode_Incorrect_Cyclic_Invoking_1_NT_Loop0_TestCase4, MAYBE, 1513)
(FSE_Modulo_Arithmetic_Mode_Incorrect_Cyclic_Invoking_1_NT_Loop0_TestCase9, MAYBE, 1494)
(FSE_Modulo_Arithmetic_Mode_Incorrect_Cyclic_Invoking_1_NT_Loop0_TestCase8, MAYBE, 1503)</t>
  </si>
  <si>
    <t>(FSE_Modulo_Arithmetic_Mode_Incorrect_Cyclic_Invoking_1_NT_Loop0_TestCase1, MAYBE, 1501)
(FSE_Modulo_Arithmetic_Mode_Incorrect_Cyclic_Invoking_1_NT_Loop0_TestCase3, MAYBE, 1472)
(FSE_Modulo_Arithmetic_Mode_Incorrect_Cyclic_Invoking_1_NT_Loop0_TestCase10, MAYBE, 1477)
(FSE_Modulo_Arithmetic_Mode_Incorrect_Cyclic_Invoking_1_NT_Loop0_TestCase2, MAYBE, 1478)
(FSE_Modulo_Arithmetic_Mode_Incorrect_Cyclic_Invoking_1_NT_Loop0_TestCase6, MAYBE, 1464)
(FSE_Modulo_Arithmetic_Mode_Incorrect_Cyclic_Invoking_1_NT_Loop0_TestCase7, MAYBE, 1548)
(FSE_Modulo_Arithmetic_Mode_Incorrect_Cyclic_Invoking_1_NT_Loop0_TestCase5, MAYBE, 1443)
(FSE_Modulo_Arithmetic_Mode_Incorrect_Cyclic_Invoking_1_NT_Loop0_TestCase4, MAYBE, 1458)
(FSE_Modulo_Arithmetic_Mode_Incorrect_Cyclic_Invoking_1_NT_Loop0_TestCase9, MAYBE, 1497)
(FSE_Modulo_Arithmetic_Mode_Incorrect_Cyclic_Invoking_1_NT_Loop0_TestCase8, MAYBE, 1447)</t>
  </si>
  <si>
    <t>(FSE_Modulo_Arithmetic_Mode_Incorrect_Cyclic_Invoking_1_NT_Loop0_TestCase0, MAYBE, 1499)</t>
  </si>
  <si>
    <t>(FSE_Modulo_Arithmetic_Mode_Incorrect_Cyclic_Invoking_1_NT_Loop0_TestCase0, MAYBE, 1517)</t>
  </si>
  <si>
    <t>(FSE_Modulo_Arithmetic_Mode_Incorrect_Arguments_1_T_Loop0_TestCase4, MAYBE, 1477)
(FSE_Modulo_Arithmetic_Mode_Incorrect_Arguments_1_T_Loop0_TestCase5, MAYBE, 1504)
(FSE_Modulo_Arithmetic_Mode_Incorrect_Arguments_1_T_Loop0_TestCase7, MAYBE, 1476)
(FSE_Modulo_Arithmetic_Mode_Incorrect_Arguments_1_T_Loop0_TestCase6, MAYBE, 1511)
(FSE_Modulo_Arithmetic_Mode_Incorrect_Arguments_1_T_Loop0_TestCase2, MAYBE, 1487)
(FSE_Modulo_Arithmetic_Mode_Incorrect_Arguments_1_T_Loop0_TestCase3, MAYBE, 1472)
(FSE_Modulo_Arithmetic_Mode_Incorrect_Arguments_1_T_Loop0_TestCase1, MAYBE, 1516)
(FSE_Modulo_Arithmetic_Mode_Incorrect_Arguments_1_T_Loop0_TestCase10, MAYBE, 1521)
(FSE_Modulo_Arithmetic_Mode_Incorrect_Arguments_1_T_Loop0_TestCase8, MAYBE, 1512)
(FSE_Modulo_Arithmetic_Mode_Incorrect_Arguments_1_T_Loop0_TestCase9, MAYBE, 1479)</t>
  </si>
  <si>
    <t>(FSE_Modulo_Arithmetic_Mode_Incorrect_Arguments_1_T_Loop0_TestCase4, MAYBE, 1507)
(FSE_Modulo_Arithmetic_Mode_Incorrect_Arguments_1_T_Loop0_TestCase5, MAYBE, 1504)
(FSE_Modulo_Arithmetic_Mode_Incorrect_Arguments_1_T_Loop0_TestCase7, MAYBE, 1542)
(FSE_Modulo_Arithmetic_Mode_Incorrect_Arguments_1_T_Loop0_TestCase6, MAYBE, 1509)
(FSE_Modulo_Arithmetic_Mode_Incorrect_Arguments_1_T_Loop0_TestCase2, MAYBE, 1483)
(FSE_Modulo_Arithmetic_Mode_Incorrect_Arguments_1_T_Loop0_TestCase3, MAYBE, 1529)
(FSE_Modulo_Arithmetic_Mode_Incorrect_Arguments_1_T_Loop0_TestCase1, MAYBE, 1519)
(FSE_Modulo_Arithmetic_Mode_Incorrect_Arguments_1_T_Loop0_TestCase10, MAYBE, 1485)
(FSE_Modulo_Arithmetic_Mode_Incorrect_Arguments_1_T_Loop0_TestCase8, MAYBE, 1494)
(FSE_Modulo_Arithmetic_Mode_Incorrect_Arguments_1_T_Loop0_TestCase9, MAYBE, 1542)</t>
  </si>
  <si>
    <t>(FSE_Modulo_Arithmetic_Mode_Incorrect_Arguments_1_T_Loop0_TestCase0, MAYBE, 1486)</t>
  </si>
  <si>
    <t>(FSE_Modulo_Arithmetic_Mode_Incorrect_Arguments_1_T_Loop0_TestCase0, MAYBE, 1574)</t>
  </si>
  <si>
    <t>(FSE_Modulo_Arithmetic_Mode_Incorrect_Arguments_1_NT_Loop0_TestCase7, MAYBE, 1456)
(FSE_Modulo_Arithmetic_Mode_Incorrect_Arguments_1_NT_Loop0_TestCase10, MAYBE, 1520)
(FSE_Modulo_Arithmetic_Mode_Incorrect_Arguments_1_NT_Loop0_TestCase6, MAYBE, 1480)
(FSE_Modulo_Arithmetic_Mode_Incorrect_Arguments_1_NT_Loop0_TestCase4, MAYBE, 1578)
(FSE_Modulo_Arithmetic_Mode_Incorrect_Arguments_1_NT_Loop0_TestCase5, MAYBE, 1528)
(FSE_Modulo_Arithmetic_Mode_Incorrect_Arguments_1_NT_Loop0_TestCase1, MAYBE, 1478)
(FSE_Modulo_Arithmetic_Mode_Incorrect_Arguments_1_NT_Loop0_TestCase2, MAYBE, 1526)
(FSE_Modulo_Arithmetic_Mode_Incorrect_Arguments_1_NT_Loop0_TestCase3, MAYBE, 1468)
(FSE_Modulo_Arithmetic_Mode_Incorrect_Arguments_1_NT_Loop0_TestCase8, MAYBE, 1544)
(FSE_Modulo_Arithmetic_Mode_Incorrect_Arguments_1_NT_Loop0_TestCase9, MAYBE, 1470)</t>
  </si>
  <si>
    <t>(FSE_Modulo_Arithmetic_Mode_Incorrect_Arguments_1_NT_Loop0_TestCase7, MAYBE, 1541)
(FSE_Modulo_Arithmetic_Mode_Incorrect_Arguments_1_NT_Loop0_TestCase10, MAYBE, 1501)
(FSE_Modulo_Arithmetic_Mode_Incorrect_Arguments_1_NT_Loop0_TestCase6, MAYBE, 1463)
(FSE_Modulo_Arithmetic_Mode_Incorrect_Arguments_1_NT_Loop0_TestCase4, MAYBE, 1479)
(FSE_Modulo_Arithmetic_Mode_Incorrect_Arguments_1_NT_Loop0_TestCase5, MAYBE, 1462)
(FSE_Modulo_Arithmetic_Mode_Incorrect_Arguments_1_NT_Loop0_TestCase1, MAYBE, 1484)
(FSE_Modulo_Arithmetic_Mode_Incorrect_Arguments_1_NT_Loop0_TestCase2, MAYBE, 1498)
(FSE_Modulo_Arithmetic_Mode_Incorrect_Arguments_1_NT_Loop0_TestCase3, MAYBE, 1449)
(FSE_Modulo_Arithmetic_Mode_Incorrect_Arguments_1_NT_Loop0_TestCase8, MAYBE, 1475)
(FSE_Modulo_Arithmetic_Mode_Incorrect_Arguments_1_NT_Loop0_TestCase9, MAYBE, 1487)</t>
  </si>
  <si>
    <t>(FSE_Modulo_Arithmetic_Mode_Incorrect_Arguments_1_NT_Loop0_TestCase0, MAYBE, 1495)</t>
  </si>
  <si>
    <t>(FSE_Modulo_Arithmetic_Mode_Incorrect_Arguments_1_NT_Loop0_TestCase0, MAYBE, 1573)</t>
  </si>
  <si>
    <t>(FSE_Mathematical_Integer_Mode_Misusing_Method_Overloading_4_T_Loop0_TestCase0, MAYBE, 465)</t>
  </si>
  <si>
    <t>(FSE_Mathematical_Integer_Mode_Misusing_Method_Overloading_4_T_Loop0_TestCase0, MAYBE, 455)</t>
  </si>
  <si>
    <t>(FSE_Mathematical_Integer_Mode_Misusing_Method_Overloading_4_T_Loop0_TestCase0, MAYBE, 448)</t>
  </si>
  <si>
    <t>(FSE_Mathematical_Integer_Mode_Misusing_Method_Overloading_4_T_Loop0_TestCase0, MAYBE, 470)</t>
  </si>
  <si>
    <t>(FSE_Mathematical_Integer_Mode_Misusing_Method_Overloading_4_NT_Loop0_TestCase0, MAYBE, 482)</t>
  </si>
  <si>
    <t>(FSE_Mathematical_Integer_Mode_Misusing_Method_Overloading_4_NT_Loop0_TestCase0, MAYBE, 438)</t>
  </si>
  <si>
    <t>(FSE_Mathematical_Integer_Mode_Misusing_Method_Overloading_4_NT_Loop0_TestCase0, MAYBE, 452)</t>
  </si>
  <si>
    <t>(FSE_Mathematical_Integer_Mode_Misusing_Method_Overloading_4_NT_Loop0_TestCase0, MAYBE, 457)</t>
  </si>
  <si>
    <t>(FSE_Mathematical_Integer_Mode_Misusing_Method_Overloading_3_T_Loop0_TestCase0, MAYBE, 474)</t>
  </si>
  <si>
    <t>(FSE_Mathematical_Integer_Mode_Misusing_Method_Overloading_3_T_Loop0_TestCase0, MAYBE, 505)</t>
  </si>
  <si>
    <t>(FSE_Mathematical_Integer_Mode_Misusing_Method_Overloading_3_T_Loop0_TestCase0, MAYBE, 477)</t>
  </si>
  <si>
    <t>(FSE_Mathematical_Integer_Mode_Misusing_Method_Overloading_3_T_Loop0_TestCase0, MAYBE, 493)</t>
  </si>
  <si>
    <t>(FSE_Mathematical_Integer_Mode_Misusing_Method_Overloading_3_NT_Loop0_TestCase0, MAYBE, 477)</t>
  </si>
  <si>
    <t>(FSE_Mathematical_Integer_Mode_Misusing_Method_Overloading_3_NT_Loop0_TestCase0, MAYBE, 459)</t>
  </si>
  <si>
    <t>(FSE_Mathematical_Integer_Mode_Misusing_Method_Overloading_3_NT_Loop0_TestCase0, MAYBE, 452)</t>
  </si>
  <si>
    <t>(FSE_Mathematical_Integer_Mode_Misusing_Method_Overloading_3_NT_Loop0_TestCase0, MAYBE, 474)</t>
  </si>
  <si>
    <t>(FSE_Mathematical_Integer_Mode_Misusing_Method_Overloading_2_T_Loop0_TestCase0, MAYBE, 485)</t>
  </si>
  <si>
    <t>(FSE_Mathematical_Integer_Mode_Misusing_Method_Overloading_2_T_Loop0_TestCase0, MAYBE, 468)</t>
  </si>
  <si>
    <t>(FSE_Mathematical_Integer_Mode_Misusing_Method_Overloading_2_T_Loop0_TestCase0, MAYBE, 466)</t>
  </si>
  <si>
    <t>(FSE_Mathematical_Integer_Mode_Misusing_Method_Overloading_2_NT_Loop0_TestCase0, MAYBE, 466)</t>
  </si>
  <si>
    <t>(FSE_Mathematical_Integer_Mode_Misusing_Method_Overloading_2_NT_Loop0_TestCase0, MAYBE, 456)</t>
  </si>
  <si>
    <t>(FSE_Mathematical_Integer_Mode_Misusing_Method_Overloading_2_NT_Loop0_TestCase0, MAYBE, 467)</t>
  </si>
  <si>
    <t>(FSE_Mathematical_Integer_Mode_Misusing_Method_Overloading_2_NT_Loop0_TestCase0, MAYBE, 464)</t>
  </si>
  <si>
    <t>(FSE_Mathematical_Integer_Mode_Misusing_Method_Overloading_1_T_Loop0_TestCase0, MAYBE, 455)</t>
  </si>
  <si>
    <t>(FSE_Mathematical_Integer_Mode_Misusing_Method_Overloading_1_T_Loop0_TestCase0, MAYBE, 544)</t>
  </si>
  <si>
    <t>(FSE_Mathematical_Integer_Mode_Misusing_Method_Overloading_1_T_Loop0_TestCase0, MAYBE, 449)</t>
  </si>
  <si>
    <t>(FSE_Mathematical_Integer_Mode_Misusing_Method_Overloading_1_T_Loop0_TestCase0, MAYBE, 461)</t>
  </si>
  <si>
    <t>(FSE_Mathematical_Integer_Mode_Misusing_Method_Overloading_1_NT_Loop0_TestCase0, MAYBE, 480)</t>
  </si>
  <si>
    <t>(FSE_Mathematical_Integer_Mode_Misusing_Method_Overloading_1_NT_Loop0_TestCase0, MAYBE, 446)</t>
  </si>
  <si>
    <t>(FSE_Mathematical_Integer_Mode_Misusing_Method_Overloading_1_NT_Loop0_TestCase0, MAYBE, 457)</t>
  </si>
  <si>
    <t>(FSE_Mathematical_Integer_Mode_Misusing_Method_Overloading_1_NT_Loop0_TestCase0, MAYBE, 459)</t>
  </si>
  <si>
    <t>(FSE_Mathematical_Integer_Mode_Missing_undef_Instruction_1_T_Loop0_TestCase0, MAYBE, 1304)</t>
  </si>
  <si>
    <t>(FSE_Mathematical_Integer_Mode_Missing_undef_Instruction_1_T_Loop0_TestCase0, MAYBE, 1217)</t>
  </si>
  <si>
    <t>(FSE_Mathematical_Integer_Mode_Missing_undef_Instruction_1_T_Loop0_TestCase0, MAYBE, 1315)</t>
  </si>
  <si>
    <t>(FSE_Mathematical_Integer_Mode_Missing_undef_Instruction_1_T_Loop0_TestCase0, MAYBE, 1227)</t>
  </si>
  <si>
    <t>(FSE_Mathematical_Integer_Mode_Missing_undef_Instruction_1_NT_Loop0_TestCase0, MAYBE, 1311)</t>
  </si>
  <si>
    <t>(FSE_Mathematical_Integer_Mode_Missing_undef_Instruction_1_NT_Loop0_TestCase0, MAYBE, 1270)</t>
  </si>
  <si>
    <t>(FSE_Mathematical_Integer_Mode_Missing_undef_Instruction_1_NT_Loop0_TestCase0, MAYBE, 1271)</t>
  </si>
  <si>
    <t>(FSE_Mathematical_Integer_Mode_Missing_undef_Instruction_1_NT_Loop0_TestCase0, MAYBE, 1227)</t>
  </si>
  <si>
    <t>(FSE_Mathematical_Integer_Mode_Miscalling_Inherited_Method_1_T_Loop0_TestCase0, MAYBE, 432)</t>
  </si>
  <si>
    <t>(FSE_Mathematical_Integer_Mode_Miscalling_Inherited_Method_1_T_Loop0_TestCase0, MAYBE, 734)</t>
  </si>
  <si>
    <t>(FSE_Mathematical_Integer_Mode_Miscalling_Inherited_Method_1_T_Loop0_TestCase0, MAYBE, 481)</t>
  </si>
  <si>
    <t>(FSE_Mathematical_Integer_Mode_Miscalling_Inherited_Method_1_T_Loop0_TestCase0, MAYBE, 471)</t>
  </si>
  <si>
    <t>(FSE_Mathematical_Integer_Mode_Miscalling_Inherited_Method_1_NT_Loop0_TestCase0, MAYBE, 468)</t>
  </si>
  <si>
    <t>(FSE_Mathematical_Integer_Mode_Miscalling_Inherited_Method_1_NT_Loop0_TestCase0, MAYBE, 451)</t>
  </si>
  <si>
    <t>(FSE_Mathematical_Integer_Mode_Miscalling_Inherited_Method_1_NT_Loop0_TestCase0, MAYBE, 464)</t>
  </si>
  <si>
    <t>(FSE_Mathematical_Integer_Mode_Incorrect_Return_2_T_Loop0_TestCase8, MAYBE, 462)
(FSE_Mathematical_Integer_Mode_Incorrect_Return_2_T_Loop0_TestCase9, MAYBE, 532)
(FSE_Mathematical_Integer_Mode_Incorrect_Return_2_T_Loop0_TestCase10, MAYBE, 451)
(FSE_Mathematical_Integer_Mode_Incorrect_Return_2_T_Loop0_TestCase7, MAYBE, 477)
(FSE_Mathematical_Integer_Mode_Incorrect_Return_2_T_Loop0_TestCase6, MAYBE, 540)
(FSE_Mathematical_Integer_Mode_Incorrect_Return_2_T_Loop0_TestCase4, MAYBE, 457)
(FSE_Mathematical_Integer_Mode_Incorrect_Return_2_T_Loop0_TestCase5, MAYBE, 476)
(FSE_Mathematical_Integer_Mode_Incorrect_Return_2_T_Loop0_TestCase1, MAYBE, 469)
(FSE_Mathematical_Integer_Mode_Incorrect_Return_2_T_Loop0_TestCase2, MAYBE, 461)
(FSE_Mathematical_Integer_Mode_Incorrect_Return_2_T_Loop0_TestCase3, MAYBE, 502)</t>
  </si>
  <si>
    <t>(FSE_Mathematical_Integer_Mode_Incorrect_Return_2_T_Loop0_TestCase8, MAYBE, 418)
(FSE_Mathematical_Integer_Mode_Incorrect_Return_2_T_Loop0_TestCase9, MAYBE, 452)
(FSE_Mathematical_Integer_Mode_Incorrect_Return_2_T_Loop0_TestCase10, MAYBE, 484)
(FSE_Mathematical_Integer_Mode_Incorrect_Return_2_T_Loop0_TestCase7, MAYBE, 451)
(FSE_Mathematical_Integer_Mode_Incorrect_Return_2_T_Loop0_TestCase6, MAYBE, 443)
(FSE_Mathematical_Integer_Mode_Incorrect_Return_2_T_Loop0_TestCase4, MAYBE, 456)
(FSE_Mathematical_Integer_Mode_Incorrect_Return_2_T_Loop0_TestCase5, MAYBE, 492)
(FSE_Mathematical_Integer_Mode_Incorrect_Return_2_T_Loop0_TestCase1, MAYBE, 460)
(FSE_Mathematical_Integer_Mode_Incorrect_Return_2_T_Loop0_TestCase2, MAYBE, 490)
(FSE_Mathematical_Integer_Mode_Incorrect_Return_2_T_Loop0_TestCase3, MAYBE, 465)</t>
  </si>
  <si>
    <t>(FSE_Mathematical_Integer_Mode_Incorrect_Return_2_T_Loop0_TestCase0, MAYBE, 453)</t>
  </si>
  <si>
    <t>(FSE_Mathematical_Integer_Mode_Incorrect_Return_2_T_Loop0_TestCase0, MAYBE, 494)</t>
  </si>
  <si>
    <t>(FSE_Mathematical_Integer_Mode_Incorrect_Return_2_NT_Loop0_TestCase9, MAYBE, 475)
(FSE_Mathematical_Integer_Mode_Incorrect_Return_2_NT_Loop0_TestCase8, MAYBE, 490)
(FSE_Mathematical_Integer_Mode_Incorrect_Return_2_NT_Loop0_TestCase10, MAYBE, 447)
(FSE_Mathematical_Integer_Mode_Incorrect_Return_2_NT_Loop0_TestCase3, MAYBE, 472)
(FSE_Mathematical_Integer_Mode_Incorrect_Return_2_NT_Loop0_TestCase2, MAYBE, 484)
(FSE_Mathematical_Integer_Mode_Incorrect_Return_2_NT_Loop0_TestCase1, MAYBE, 494)
(FSE_Mathematical_Integer_Mode_Incorrect_Return_2_NT_Loop0_TestCase5, MAYBE, 470)
(FSE_Mathematical_Integer_Mode_Incorrect_Return_2_NT_Loop0_TestCase4, MAYBE, 467)
(FSE_Mathematical_Integer_Mode_Incorrect_Return_2_NT_Loop0_TestCase6, MAYBE, 504)
(FSE_Mathematical_Integer_Mode_Incorrect_Return_2_NT_Loop0_TestCase7, MAYBE, 466)</t>
  </si>
  <si>
    <t>(FSE_Mathematical_Integer_Mode_Incorrect_Return_2_NT_Loop0_TestCase9, MAYBE, 472)
(FSE_Mathematical_Integer_Mode_Incorrect_Return_2_NT_Loop0_TestCase8, MAYBE, 447)
(FSE_Mathematical_Integer_Mode_Incorrect_Return_2_NT_Loop0_TestCase10, MAYBE, 443)
(FSE_Mathematical_Integer_Mode_Incorrect_Return_2_NT_Loop0_TestCase3, MAYBE, 440)
(FSE_Mathematical_Integer_Mode_Incorrect_Return_2_NT_Loop0_TestCase2, MAYBE, 468)
(FSE_Mathematical_Integer_Mode_Incorrect_Return_2_NT_Loop0_TestCase1, MAYBE, 449)
(FSE_Mathematical_Integer_Mode_Incorrect_Return_2_NT_Loop0_TestCase5, MAYBE, 478)
(FSE_Mathematical_Integer_Mode_Incorrect_Return_2_NT_Loop0_TestCase4, MAYBE, 437)
(FSE_Mathematical_Integer_Mode_Incorrect_Return_2_NT_Loop0_TestCase6, MAYBE, 455)
(FSE_Mathematical_Integer_Mode_Incorrect_Return_2_NT_Loop0_TestCase7, MAYBE, 445)</t>
  </si>
  <si>
    <t>(FSE_Mathematical_Integer_Mode_Incorrect_Return_2_NT_Loop0_TestCase0, MAYBE, 451)</t>
  </si>
  <si>
    <t>(FSE_Mathematical_Integer_Mode_Incorrect_Return_2_NT_Loop0_TestCase0, MAYBE, 467)</t>
  </si>
  <si>
    <t>(FSE_Mathematical_Integer_Mode_Incorrect_Return_1_T_Loop0_TestCase3, MAYBE, 1447)
(FSE_Mathematical_Integer_Mode_Incorrect_Return_1_T_Loop0_TestCase10, MAYBE, 1426)
(FSE_Mathematical_Integer_Mode_Incorrect_Return_1_T_Loop0_TestCase2, MAYBE, 1421)
(FSE_Mathematical_Integer_Mode_Incorrect_Return_1_T_Loop0_TestCase1, MAYBE, 1469)
(FSE_Mathematical_Integer_Mode_Incorrect_Return_1_T_Loop0_TestCase5, MAYBE, 1454)
(FSE_Mathematical_Integer_Mode_Incorrect_Return_1_T_Loop0_TestCase4, MAYBE, 1442)
(FSE_Mathematical_Integer_Mode_Incorrect_Return_1_T_Loop0_TestCase6, MAYBE, 1425)
(FSE_Mathematical_Integer_Mode_Incorrect_Return_1_T_Loop0_TestCase7, MAYBE, 1437)
(FSE_Mathematical_Integer_Mode_Incorrect_Return_1_T_Loop0_TestCase9, MAYBE, 1447)
(FSE_Mathematical_Integer_Mode_Incorrect_Return_1_T_Loop0_TestCase8, MAYBE, 1433)</t>
  </si>
  <si>
    <t>(FSE_Mathematical_Integer_Mode_Incorrect_Return_1_T_Loop0_TestCase3, MAYBE, 1406)
(FSE_Mathematical_Integer_Mode_Incorrect_Return_1_T_Loop0_TestCase10, MAYBE, 1390)
(FSE_Mathematical_Integer_Mode_Incorrect_Return_1_T_Loop0_TestCase2, MAYBE, 1414)
(FSE_Mathematical_Integer_Mode_Incorrect_Return_1_T_Loop0_TestCase1, MAYBE, 1432)
(FSE_Mathematical_Integer_Mode_Incorrect_Return_1_T_Loop0_TestCase5, MAYBE, 1445)
(FSE_Mathematical_Integer_Mode_Incorrect_Return_1_T_Loop0_TestCase4, MAYBE, 1418)
(FSE_Mathematical_Integer_Mode_Incorrect_Return_1_T_Loop0_TestCase6, MAYBE, 1417)
(FSE_Mathematical_Integer_Mode_Incorrect_Return_1_T_Loop0_TestCase7, MAYBE, 1426)
(FSE_Mathematical_Integer_Mode_Incorrect_Return_1_T_Loop0_TestCase9, MAYBE, 1382)
(FSE_Mathematical_Integer_Mode_Incorrect_Return_1_T_Loop0_TestCase8, MAYBE, 1431)</t>
  </si>
  <si>
    <t>(FSE_Mathematical_Integer_Mode_Incorrect_Return_1_T_Loop0_TestCase0, MAYBE, 1429)</t>
  </si>
  <si>
    <t>(FSE_Mathematical_Integer_Mode_Incorrect_Return_1_T_Loop0_TestCase0, MAYBE, 1424)</t>
  </si>
  <si>
    <t>(FSE_Mathematical_Integer_Mode_Incorrect_Return_1_NT_Loop0_TestCase9, MAYBE, 1438)
(FSE_Mathematical_Integer_Mode_Incorrect_Return_1_NT_Loop0_TestCase8, MAYBE, 1420)
(FSE_Mathematical_Integer_Mode_Incorrect_Return_1_NT_Loop0_TestCase6, MAYBE, 1473)
(FSE_Mathematical_Integer_Mode_Incorrect_Return_1_NT_Loop0_TestCase7, MAYBE, 1406)
(FSE_Mathematical_Integer_Mode_Incorrect_Return_1_NT_Loop0_TestCase5, MAYBE, 1458)
(FSE_Mathematical_Integer_Mode_Incorrect_Return_1_NT_Loop0_TestCase4, MAYBE, 1421)
(FSE_Mathematical_Integer_Mode_Incorrect_Return_1_NT_Loop0_TestCase10, MAYBE, 1479)
(FSE_Mathematical_Integer_Mode_Incorrect_Return_1_NT_Loop0_TestCase1, MAYBE, 1427)
(FSE_Mathematical_Integer_Mode_Incorrect_Return_1_NT_Loop0_TestCase3, MAYBE, 1470)
(FSE_Mathematical_Integer_Mode_Incorrect_Return_1_NT_Loop0_TestCase2, MAYBE, 1395)</t>
  </si>
  <si>
    <t>(FSE_Mathematical_Integer_Mode_Incorrect_Return_1_NT_Loop0_TestCase9, MAYBE, 1447)
(FSE_Mathematical_Integer_Mode_Incorrect_Return_1_NT_Loop0_TestCase8, MAYBE, 1426)
(FSE_Mathematical_Integer_Mode_Incorrect_Return_1_NT_Loop0_TestCase6, MAYBE, 1426)
(FSE_Mathematical_Integer_Mode_Incorrect_Return_1_NT_Loop0_TestCase7, MAYBE, 1397)
(FSE_Mathematical_Integer_Mode_Incorrect_Return_1_NT_Loop0_TestCase5, MAYBE, 1603)
(FSE_Mathematical_Integer_Mode_Incorrect_Return_1_NT_Loop0_TestCase4, MAYBE, 1399)
(FSE_Mathematical_Integer_Mode_Incorrect_Return_1_NT_Loop0_TestCase10, MAYBE, 1412)
(FSE_Mathematical_Integer_Mode_Incorrect_Return_1_NT_Loop0_TestCase1, MAYBE, 1496)
(FSE_Mathematical_Integer_Mode_Incorrect_Return_1_NT_Loop0_TestCase3, MAYBE, 1416)
(FSE_Mathematical_Integer_Mode_Incorrect_Return_1_NT_Loop0_TestCase2, MAYBE, 1428)</t>
  </si>
  <si>
    <t>(FSE_Mathematical_Integer_Mode_Incorrect_Return_1_NT_Loop0_TestCase0, MAYBE, 1423)</t>
  </si>
  <si>
    <t>(FSE_Mathematical_Integer_Mode_Incorrect_Return_1_NT_Loop0_TestCase0, MAYBE, 1400)</t>
  </si>
  <si>
    <t>(FSE_Mathematical_Integer_Mode_Incorrect_Cyclic_Invoking_3_T_Loop0_TestCase0, MAYBE, 474)</t>
  </si>
  <si>
    <t>(FSE_Mathematical_Integer_Mode_Incorrect_Cyclic_Invoking_3_T_Loop0_TestCase0, MAYBE, 494)</t>
  </si>
  <si>
    <t>(FSE_Mathematical_Integer_Mode_Incorrect_Cyclic_Invoking_3_T_Loop0_TestCase0, MAYBE, 432)</t>
  </si>
  <si>
    <t>(FSE_Mathematical_Integer_Mode_Incorrect_Cyclic_Invoking_3_T_Loop0_TestCase0, MAYBE, 476)</t>
  </si>
  <si>
    <t>(FSE_Mathematical_Integer_Mode_Incorrect_Cyclic_Invoking_3_NT_Loop0_TestCase0, MAYBE, 474)</t>
  </si>
  <si>
    <t>(FSE_Mathematical_Integer_Mode_Incorrect_Cyclic_Invoking_3_NT_Loop0_TestCase0, MAYBE, 472)</t>
  </si>
  <si>
    <t>(FSE_Mathematical_Integer_Mode_Incorrect_Cyclic_Invoking_3_NT_Loop0_TestCase0, MAYBE, 456)</t>
  </si>
  <si>
    <t>(FSE_Mathematical_Integer_Mode_Incorrect_Cyclic_Invoking_3_NT_Loop0_TestCase0, MAYBE, 490)</t>
  </si>
  <si>
    <t>(FSE_Mathematical_Integer_Mode_Incorrect_Cyclic_Invoking_2_T_Loop0_TestCase10, MAYBE, 1486)
(FSE_Mathematical_Integer_Mode_Incorrect_Cyclic_Invoking_2_T_Loop0_TestCase9, MAYBE, 1499)
(FSE_Mathematical_Integer_Mode_Incorrect_Cyclic_Invoking_2_T_Loop0_TestCase8, MAYBE, 1474)
(FSE_Mathematical_Integer_Mode_Incorrect_Cyclic_Invoking_2_T_Loop0_TestCase6, MAYBE, 1505)
(FSE_Mathematical_Integer_Mode_Incorrect_Cyclic_Invoking_2_T_Loop0_TestCase7, MAYBE, 1486)
(FSE_Mathematical_Integer_Mode_Incorrect_Cyclic_Invoking_2_T_Loop0_TestCase5, MAYBE, 1496)
(FSE_Mathematical_Integer_Mode_Incorrect_Cyclic_Invoking_2_T_Loop0_TestCase4, MAYBE, 1438)
(FSE_Mathematical_Integer_Mode_Incorrect_Cyclic_Invoking_2_T_Loop0_TestCase1, MAYBE, 1512)
(FSE_Mathematical_Integer_Mode_Incorrect_Cyclic_Invoking_2_T_Loop0_TestCase3, MAYBE, 1513)
(FSE_Mathematical_Integer_Mode_Incorrect_Cyclic_Invoking_2_T_Loop0_TestCase2, MAYBE, 1520)</t>
  </si>
  <si>
    <t>(FSE_Mathematical_Integer_Mode_Incorrect_Cyclic_Invoking_2_T_Loop0_TestCase10, MAYBE, 1438)
(FSE_Mathematical_Integer_Mode_Incorrect_Cyclic_Invoking_2_T_Loop0_TestCase9, MAYBE, 1797)
(FSE_Mathematical_Integer_Mode_Incorrect_Cyclic_Invoking_2_T_Loop0_TestCase8, MAYBE, 1505)
(FSE_Mathematical_Integer_Mode_Incorrect_Cyclic_Invoking_2_T_Loop0_TestCase6, MAYBE, 1446)
(FSE_Mathematical_Integer_Mode_Incorrect_Cyclic_Invoking_2_T_Loop0_TestCase7, MAYBE, 1498)
(FSE_Mathematical_Integer_Mode_Incorrect_Cyclic_Invoking_2_T_Loop0_TestCase5, MAYBE, 1464)
(FSE_Mathematical_Integer_Mode_Incorrect_Cyclic_Invoking_2_T_Loop0_TestCase4, MAYBE, 1444)
(FSE_Mathematical_Integer_Mode_Incorrect_Cyclic_Invoking_2_T_Loop0_TestCase1, MAYBE, 1778)
(FSE_Mathematical_Integer_Mode_Incorrect_Cyclic_Invoking_2_T_Loop0_TestCase3, MAYBE, 1460)
(FSE_Mathematical_Integer_Mode_Incorrect_Cyclic_Invoking_2_T_Loop0_TestCase2, MAYBE, 1430)</t>
  </si>
  <si>
    <t>(FSE_Mathematical_Integer_Mode_Incorrect_Cyclic_Invoking_2_T_Loop0_TestCase0, MAYBE, 1456)</t>
  </si>
  <si>
    <t>(FSE_Mathematical_Integer_Mode_Incorrect_Cyclic_Invoking_2_T_Loop0_TestCase0, MAYBE, 1449)</t>
  </si>
  <si>
    <t>(FSE_Mathematical_Integer_Mode_Incorrect_Cyclic_Invoking_2_NT_Loop0_TestCase9, MAYBE, 1392)
(FSE_Mathematical_Integer_Mode_Incorrect_Cyclic_Invoking_2_NT_Loop0_TestCase8, MAYBE, 1351)
(FSE_Mathematical_Integer_Mode_Incorrect_Cyclic_Invoking_2_NT_Loop0_TestCase5, MAYBE, 1358)
(FSE_Mathematical_Integer_Mode_Incorrect_Cyclic_Invoking_2_NT_Loop0_TestCase4, MAYBE, 1343)
(FSE_Mathematical_Integer_Mode_Incorrect_Cyclic_Invoking_2_NT_Loop0_TestCase6, MAYBE, 1345)
(FSE_Mathematical_Integer_Mode_Incorrect_Cyclic_Invoking_2_NT_Loop0_TestCase7, MAYBE, 1363)
(FSE_Mathematical_Integer_Mode_Incorrect_Cyclic_Invoking_2_NT_Loop0_TestCase3, MAYBE, 1365)
(FSE_Mathematical_Integer_Mode_Incorrect_Cyclic_Invoking_2_NT_Loop0_TestCase2, MAYBE, 1365)
(FSE_Mathematical_Integer_Mode_Incorrect_Cyclic_Invoking_2_NT_Loop0_TestCase1, MAYBE, 1345)
(FSE_Mathematical_Integer_Mode_Incorrect_Cyclic_Invoking_2_NT_Loop0_TestCase10, MAYBE, 1365)</t>
  </si>
  <si>
    <t>(FSE_Mathematical_Integer_Mode_Incorrect_Cyclic_Invoking_2_NT_Loop0_TestCase9, MAYBE, 1536)
(FSE_Mathematical_Integer_Mode_Incorrect_Cyclic_Invoking_2_NT_Loop0_TestCase8, MAYBE, 1539)
(FSE_Mathematical_Integer_Mode_Incorrect_Cyclic_Invoking_2_NT_Loop0_TestCase5, MAYBE, 1328)
(FSE_Mathematical_Integer_Mode_Incorrect_Cyclic_Invoking_2_NT_Loop0_TestCase4, MAYBE, 1385)
(FSE_Mathematical_Integer_Mode_Incorrect_Cyclic_Invoking_2_NT_Loop0_TestCase6, MAYBE, 1326)
(FSE_Mathematical_Integer_Mode_Incorrect_Cyclic_Invoking_2_NT_Loop0_TestCase7, MAYBE, 1316)
(FSE_Mathematical_Integer_Mode_Incorrect_Cyclic_Invoking_2_NT_Loop0_TestCase3, MAYBE, 1348)
(FSE_Mathematical_Integer_Mode_Incorrect_Cyclic_Invoking_2_NT_Loop0_TestCase2, MAYBE, 1335)
(FSE_Mathematical_Integer_Mode_Incorrect_Cyclic_Invoking_2_NT_Loop0_TestCase1, MAYBE, 1352)
(FSE_Mathematical_Integer_Mode_Incorrect_Cyclic_Invoking_2_NT_Loop0_TestCase10, MAYBE, 1318)</t>
  </si>
  <si>
    <t>(FSE_Mathematical_Integer_Mode_Incorrect_Cyclic_Invoking_2_NT_Loop0_TestCase0, MAYBE, 1403)</t>
  </si>
  <si>
    <t>(FSE_Mathematical_Integer_Mode_Incorrect_Cyclic_Invoking_2_NT_Loop0_TestCase0, MAYBE, 1365)</t>
  </si>
  <si>
    <t>(FSE_Mathematical_Integer_Mode_Incorrect_Cyclic_Invoking_1_T_Loop0_TestCase2, MAYBE, 1659)
(FSE_Mathematical_Integer_Mode_Incorrect_Cyclic_Invoking_1_T_Loop0_TestCase3, MAYBE, 1639)
(FSE_Mathematical_Integer_Mode_Incorrect_Cyclic_Invoking_1_T_Loop0_TestCase1, MAYBE, 1634)
(FSE_Mathematical_Integer_Mode_Incorrect_Cyclic_Invoking_1_T_Loop0_TestCase4, MAYBE, 1655)
(FSE_Mathematical_Integer_Mode_Incorrect_Cyclic_Invoking_1_T_Loop0_TestCase5, MAYBE, 1650)
(FSE_Mathematical_Integer_Mode_Incorrect_Cyclic_Invoking_1_T_Loop0_TestCase10, MAYBE, 1675)
(FSE_Mathematical_Integer_Mode_Incorrect_Cyclic_Invoking_1_T_Loop0_TestCase7, MAYBE, 1672)
(FSE_Mathematical_Integer_Mode_Incorrect_Cyclic_Invoking_1_T_Loop0_TestCase6, MAYBE, 1641)
(FSE_Mathematical_Integer_Mode_Incorrect_Cyclic_Invoking_1_T_Loop0_TestCase8, MAYBE, 1684)
(FSE_Mathematical_Integer_Mode_Incorrect_Cyclic_Invoking_1_T_Loop0_TestCase9, MAYBE, 1642)</t>
  </si>
  <si>
    <t>(FSE_Mathematical_Integer_Mode_Incorrect_Cyclic_Invoking_1_T_Loop0_TestCase2, MAYBE, 1608)
(FSE_Mathematical_Integer_Mode_Incorrect_Cyclic_Invoking_1_T_Loop0_TestCase3, MAYBE, 1623)
(FSE_Mathematical_Integer_Mode_Incorrect_Cyclic_Invoking_1_T_Loop0_TestCase1, MAYBE, 1623)
(FSE_Mathematical_Integer_Mode_Incorrect_Cyclic_Invoking_1_T_Loop0_TestCase4, MAYBE, 1632)
(FSE_Mathematical_Integer_Mode_Incorrect_Cyclic_Invoking_1_T_Loop0_TestCase5, MAYBE, 1605)
(FSE_Mathematical_Integer_Mode_Incorrect_Cyclic_Invoking_1_T_Loop0_TestCase10, MAYBE, 1621)
(FSE_Mathematical_Integer_Mode_Incorrect_Cyclic_Invoking_1_T_Loop0_TestCase7, MAYBE, 1599)
(FSE_Mathematical_Integer_Mode_Incorrect_Cyclic_Invoking_1_T_Loop0_TestCase6, MAYBE, 1605)
(FSE_Mathematical_Integer_Mode_Incorrect_Cyclic_Invoking_1_T_Loop0_TestCase8, MAYBE, 1610)
(FSE_Mathematical_Integer_Mode_Incorrect_Cyclic_Invoking_1_T_Loop0_TestCase9, MAYBE, 1565)</t>
  </si>
  <si>
    <t>(FSE_Mathematical_Integer_Mode_Incorrect_Cyclic_Invoking_1_T_Loop0_TestCase0, MAYBE, 1626)</t>
  </si>
  <si>
    <t>(FSE_Mathematical_Integer_Mode_Incorrect_Cyclic_Invoking_1_T_Loop0_TestCase0, MAYBE, 1644)</t>
  </si>
  <si>
    <t>(FSE_Mathematical_Integer_Mode_Incorrect_Cyclic_Invoking_1_NT_Loop0_TestCase9, MAYBE, 1902)
(FSE_Mathematical_Integer_Mode_Incorrect_Cyclic_Invoking_1_NT_Loop0_TestCase8, MAYBE, 1518)
(FSE_Mathematical_Integer_Mode_Incorrect_Cyclic_Invoking_1_NT_Loop0_TestCase1, MAYBE, 1584)
(FSE_Mathematical_Integer_Mode_Incorrect_Cyclic_Invoking_1_NT_Loop0_TestCase10, MAYBE, 1521)
(FSE_Mathematical_Integer_Mode_Incorrect_Cyclic_Invoking_1_NT_Loop0_TestCase3, MAYBE, 1605)
(FSE_Mathematical_Integer_Mode_Incorrect_Cyclic_Invoking_1_NT_Loop0_TestCase2, MAYBE, 1494)
(FSE_Mathematical_Integer_Mode_Incorrect_Cyclic_Invoking_1_NT_Loop0_TestCase6, MAYBE, 1505)
(FSE_Mathematical_Integer_Mode_Incorrect_Cyclic_Invoking_1_NT_Loop0_TestCase7, MAYBE, 1490)
(FSE_Mathematical_Integer_Mode_Incorrect_Cyclic_Invoking_1_NT_Loop0_TestCase5, MAYBE, 1522)
(FSE_Mathematical_Integer_Mode_Incorrect_Cyclic_Invoking_1_NT_Loop0_TestCase4, MAYBE, 1490)</t>
  </si>
  <si>
    <t>(FSE_Mathematical_Integer_Mode_Incorrect_Cyclic_Invoking_1_NT_Loop0_TestCase9, MAYBE, 1463)
(FSE_Mathematical_Integer_Mode_Incorrect_Cyclic_Invoking_1_NT_Loop0_TestCase8, MAYBE, 1473)
(FSE_Mathematical_Integer_Mode_Incorrect_Cyclic_Invoking_1_NT_Loop0_TestCase1, MAYBE, 1441)
(FSE_Mathematical_Integer_Mode_Incorrect_Cyclic_Invoking_1_NT_Loop0_TestCase10, MAYBE, 1445)
(FSE_Mathematical_Integer_Mode_Incorrect_Cyclic_Invoking_1_NT_Loop0_TestCase3, MAYBE, 1475)
(FSE_Mathematical_Integer_Mode_Incorrect_Cyclic_Invoking_1_NT_Loop0_TestCase2, MAYBE, 1421)
(FSE_Mathematical_Integer_Mode_Incorrect_Cyclic_Invoking_1_NT_Loop0_TestCase6, MAYBE, 1445)
(FSE_Mathematical_Integer_Mode_Incorrect_Cyclic_Invoking_1_NT_Loop0_TestCase7, MAYBE, 1485)
(FSE_Mathematical_Integer_Mode_Incorrect_Cyclic_Invoking_1_NT_Loop0_TestCase5, MAYBE, 1498)
(FSE_Mathematical_Integer_Mode_Incorrect_Cyclic_Invoking_1_NT_Loop0_TestCase4, MAYBE, 1447)</t>
  </si>
  <si>
    <t>(FSE_Mathematical_Integer_Mode_Incorrect_Cyclic_Invoking_1_NT_Loop0_TestCase0, MAYBE, 1487)</t>
  </si>
  <si>
    <t>(FSE_Mathematical_Integer_Mode_Incorrect_Cyclic_Invoking_1_NT_Loop0_TestCase0, MAYBE, 1472)</t>
  </si>
  <si>
    <t>(FSE_Mathematical_Integer_Mode_Incorrect_Arguments_1_T_Loop0_TestCase10, MAYBE, 1463)
(FSE_Mathematical_Integer_Mode_Incorrect_Arguments_1_T_Loop0_TestCase9, MAYBE, 1504)
(FSE_Mathematical_Integer_Mode_Incorrect_Arguments_1_T_Loop0_TestCase8, MAYBE, 1507)
(FSE_Mathematical_Integer_Mode_Incorrect_Arguments_1_T_Loop0_TestCase5, MAYBE, 1438)
(FSE_Mathematical_Integer_Mode_Incorrect_Arguments_1_T_Loop0_TestCase4, MAYBE, 1490)
(FSE_Mathematical_Integer_Mode_Incorrect_Arguments_1_T_Loop0_TestCase6, MAYBE, 1492)
(FSE_Mathematical_Integer_Mode_Incorrect_Arguments_1_T_Loop0_TestCase7, MAYBE, 1515)
(FSE_Mathematical_Integer_Mode_Incorrect_Arguments_1_T_Loop0_TestCase3, MAYBE, 1501)
(FSE_Mathematical_Integer_Mode_Incorrect_Arguments_1_T_Loop0_TestCase2, MAYBE, 1493)
(FSE_Mathematical_Integer_Mode_Incorrect_Arguments_1_T_Loop0_TestCase1, MAYBE, 1500)</t>
  </si>
  <si>
    <t>(FSE_Mathematical_Integer_Mode_Incorrect_Arguments_1_T_Loop0_TestCase10, MAYBE, 1472)
(FSE_Mathematical_Integer_Mode_Incorrect_Arguments_1_T_Loop0_TestCase9, MAYBE, 1546)
(FSE_Mathematical_Integer_Mode_Incorrect_Arguments_1_T_Loop0_TestCase8, MAYBE, 1449)
(FSE_Mathematical_Integer_Mode_Incorrect_Arguments_1_T_Loop0_TestCase5, MAYBE, 1480)
(FSE_Mathematical_Integer_Mode_Incorrect_Arguments_1_T_Loop0_TestCase4, MAYBE, 1515)
(FSE_Mathematical_Integer_Mode_Incorrect_Arguments_1_T_Loop0_TestCase6, MAYBE, 1535)
(FSE_Mathematical_Integer_Mode_Incorrect_Arguments_1_T_Loop0_TestCase7, MAYBE, 1492)
(FSE_Mathematical_Integer_Mode_Incorrect_Arguments_1_T_Loop0_TestCase3, MAYBE, 1484)
(FSE_Mathematical_Integer_Mode_Incorrect_Arguments_1_T_Loop0_TestCase2, MAYBE, 1497)
(FSE_Mathematical_Integer_Mode_Incorrect_Arguments_1_T_Loop0_TestCase1, MAYBE, 1456)</t>
  </si>
  <si>
    <t>(FSE_Mathematical_Integer_Mode_Incorrect_Arguments_1_T_Loop0_TestCase0, MAYBE, 1451)</t>
  </si>
  <si>
    <t>(FSE_Mathematical_Integer_Mode_Incorrect_Arguments_1_T_Loop0_TestCase0, MAYBE, 1485)</t>
  </si>
  <si>
    <t>(FSE_Mathematical_Integer_Mode_Incorrect_Arguments_1_NT_Loop0_TestCase8, MAYBE, 1480)
(FSE_Mathematical_Integer_Mode_Incorrect_Arguments_1_NT_Loop0_TestCase9, MAYBE, 1498)
(FSE_Mathematical_Integer_Mode_Incorrect_Arguments_1_NT_Loop0_TestCase10, MAYBE, 1445)
(FSE_Mathematical_Integer_Mode_Incorrect_Arguments_1_NT_Loop0_TestCase7, MAYBE, 1494)
(FSE_Mathematical_Integer_Mode_Incorrect_Arguments_1_NT_Loop0_TestCase6, MAYBE, 1480)
(FSE_Mathematical_Integer_Mode_Incorrect_Arguments_1_NT_Loop0_TestCase4, MAYBE, 1481)
(FSE_Mathematical_Integer_Mode_Incorrect_Arguments_1_NT_Loop0_TestCase5, MAYBE, 1480)
(FSE_Mathematical_Integer_Mode_Incorrect_Arguments_1_NT_Loop0_TestCase1, MAYBE, 1469)
(FSE_Mathematical_Integer_Mode_Incorrect_Arguments_1_NT_Loop0_TestCase2, MAYBE, 1471)
(FSE_Mathematical_Integer_Mode_Incorrect_Arguments_1_NT_Loop0_TestCase3, MAYBE, 1432)</t>
  </si>
  <si>
    <t>(FSE_Mathematical_Integer_Mode_Incorrect_Arguments_1_NT_Loop0_TestCase8, MAYBE, 1456)
(FSE_Mathematical_Integer_Mode_Incorrect_Arguments_1_NT_Loop0_TestCase9, MAYBE, 1480)
(FSE_Mathematical_Integer_Mode_Incorrect_Arguments_1_NT_Loop0_TestCase10, MAYBE, 1464)
(FSE_Mathematical_Integer_Mode_Incorrect_Arguments_1_NT_Loop0_TestCase7, MAYBE, 1508)
(FSE_Mathematical_Integer_Mode_Incorrect_Arguments_1_NT_Loop0_TestCase6, MAYBE, 1467)
(FSE_Mathematical_Integer_Mode_Incorrect_Arguments_1_NT_Loop0_TestCase4, MAYBE, 1479)
(FSE_Mathematical_Integer_Mode_Incorrect_Arguments_1_NT_Loop0_TestCase5, MAYBE, 1473)
(FSE_Mathematical_Integer_Mode_Incorrect_Arguments_1_NT_Loop0_TestCase1, MAYBE, 1469)
(FSE_Mathematical_Integer_Mode_Incorrect_Arguments_1_NT_Loop0_TestCase2, MAYBE, 1501)
(FSE_Mathematical_Integer_Mode_Incorrect_Arguments_1_NT_Loop0_TestCase3, MAYBE, 1434)</t>
  </si>
  <si>
    <t>(FSE_Mathematical_Integer_Mode_Incorrect_Arguments_1_NT_Loop0_TestCase0, MAYBE, 1440)</t>
  </si>
  <si>
    <t>(FSE_Mathematical_Integer_Mode_Incorrect_Arguments_1_NT_Loop0_TestCase0, MAYBE, 1536)</t>
  </si>
  <si>
    <t>1/1</t>
  </si>
  <si>
    <t>(Misusing_Method_Overloading_4_T_Loop0_TestCase0, TRUE, 1681)</t>
  </si>
  <si>
    <t>(Misusing_Method_Overloading_4_T_Loop0_TestCase0, TRUE, 1668)</t>
  </si>
  <si>
    <t>(Misusing_Method_Overloading_4_T_Loop0_TestCase0, TRUE, 1717)</t>
  </si>
  <si>
    <t>(Misusing_Method_Overloading_4_T_Loop0_TestCase0, TRUE, 1669)</t>
  </si>
  <si>
    <t>(Misusing_Method_Overloading_4_NT_Loop0_TestCase0, INCONCLUSIVE, 122310)</t>
  </si>
  <si>
    <t>(Misusing_Method_Overloading_4_NT_Loop0_TestCase0, INCONCLUSIVE, 122493)</t>
  </si>
  <si>
    <t>(Misusing_Method_Overloading_4_NT_Loop0_TestCase0, INCONCLUSIVE, 122501)</t>
  </si>
  <si>
    <t>(Misusing_Method_Overloading_4_NT_Loop0_TestCase0, INCONCLUSIVE, 122362)</t>
  </si>
  <si>
    <t>(Misusing_Method_Overloading_3_T_Loop0_TestCase0, INCONCLUSIVE, 1928)</t>
  </si>
  <si>
    <t>(Misusing_Method_Overloading_3_T_Loop0_TestCase0, INCONCLUSIVE, 1950)</t>
  </si>
  <si>
    <t>(Misusing_Method_Overloading_3_T_Loop0_TestCase0, INCONCLUSIVE, 1989)</t>
  </si>
  <si>
    <t>(Misusing_Method_Overloading_3_T_Loop0_TestCase0, INCONCLUSIVE, 1952)</t>
  </si>
  <si>
    <t>(Misusing_Method_Overloading_3_NT_Loop0_TestCase0, INCONCLUSIVE, 1922)</t>
  </si>
  <si>
    <t>(Misusing_Method_Overloading_3_NT_Loop0_TestCase0, INCONCLUSIVE, 1983)</t>
  </si>
  <si>
    <t>(Misusing_Method_Overloading_3_NT_Loop0_TestCase0, INCONCLUSIVE, 2037)</t>
  </si>
  <si>
    <t>(Misusing_Method_Overloading_3_NT_Loop0_TestCase0, INCONCLUSIVE, 1968)</t>
  </si>
  <si>
    <t>(Misusing_Method_Overloading_2_T_Loop0_TestCase0, TRUE, 1556)</t>
  </si>
  <si>
    <t>(Misusing_Method_Overloading_2_T_Loop0_TestCase0, TRUE, 1550)</t>
  </si>
  <si>
    <t>(Misusing_Method_Overloading_2_T_Loop0_TestCase0, TRUE, 1595)</t>
  </si>
  <si>
    <t>(Misusing_Method_Overloading_2_T_Loop0_TestCase0, TRUE, 1536)</t>
  </si>
  <si>
    <t>(Misusing_Method_Overloading_2_NT_Loop0_TestCase0, TRUE, 1585)</t>
  </si>
  <si>
    <t>(Misusing_Method_Overloading_2_NT_Loop0_TestCase0, TRUE, 1583)</t>
  </si>
  <si>
    <t>(Misusing_Method_Overloading_2_NT_Loop0_TestCase0, TRUE, 1616)</t>
  </si>
  <si>
    <t>(Misusing_Method_Overloading_2_NT_Loop0_TestCase0, TRUE, 1542)</t>
  </si>
  <si>
    <t>(Misusing_Method_Overloading_1_T_Loop0_TestCase0, TRUE, 1704)</t>
  </si>
  <si>
    <t>(Misusing_Method_Overloading_1_T_Loop0_TestCase0, TRUE, 1707)</t>
  </si>
  <si>
    <t>(Misusing_Method_Overloading_1_T_Loop0_TestCase0, TRUE, 1713)</t>
  </si>
  <si>
    <t>(Misusing_Method_Overloading_1_T_Loop0_TestCase0, TRUE, 1653)</t>
  </si>
  <si>
    <t>(Misusing_Method_Overloading_1_NT_Loop0_TestCase0, INCONCLUSIVE, 122728)</t>
  </si>
  <si>
    <t>(Misusing_Method_Overloading_1_NT_Loop0_TestCase0, INCONCLUSIVE, 122718)</t>
  </si>
  <si>
    <t>(Misusing_Method_Overloading_1_NT_Loop0_TestCase0, INCONCLUSIVE, 122860)</t>
  </si>
  <si>
    <t>(Misusing_Method_Overloading_1_NT_Loop0_TestCase0, INCONCLUSIVE, 122835)</t>
  </si>
  <si>
    <t>(Missing_undef_Instruction_1_T_Loop0_TestCase0, TRUE, 1683)</t>
  </si>
  <si>
    <t>(Missing_undef_Instruction_1_T_Loop0_TestCase0, TRUE, 1709)</t>
  </si>
  <si>
    <t>(Missing_undef_Instruction_1_T_Loop0_TestCase0, TRUE, 1736)</t>
  </si>
  <si>
    <t>(Missing_undef_Instruction_1_T_Loop0_TestCase0, TRUE, 1677)</t>
  </si>
  <si>
    <t>(Missing_undef_Instruction_1_NT_Loop0_TestCase0, INCONCLUSIVE, 122369)</t>
  </si>
  <si>
    <t>(Missing_undef_Instruction_1_NT_Loop0_TestCase0, INCONCLUSIVE, 122381)</t>
  </si>
  <si>
    <t>(Missing_undef_Instruction_1_NT_Loop0_TestCase0, INCONCLUSIVE, 122471)</t>
  </si>
  <si>
    <t>(Missing_undef_Instruction_1_NT_Loop0_TestCase0, INCONCLUSIVE, 122344)</t>
  </si>
  <si>
    <t>(Miscalling_Inherited_Method_1_T_Loop0_TestCase0, TRUE, 1646)</t>
  </si>
  <si>
    <t>(Miscalling_Inherited_Method_1_T_Loop0_TestCase0, TRUE, 1686)</t>
  </si>
  <si>
    <t>(Miscalling_Inherited_Method_1_T_Loop0_TestCase0, TRUE, 1723)</t>
  </si>
  <si>
    <t>(Miscalling_Inherited_Method_1_T_Loop0_TestCase0, TRUE, 1628)</t>
  </si>
  <si>
    <t>(Miscalling_Inherited_Method_1_NT_Loop0_TestCase0, INCONCLUSIVE, 122703)</t>
  </si>
  <si>
    <t>(Miscalling_Inherited_Method_1_NT_Loop0_TestCase0, INCONCLUSIVE, 122701)</t>
  </si>
  <si>
    <t>(Miscalling_Inherited_Method_1_NT_Loop0_TestCase0, INCONCLUSIVE, 122789)</t>
  </si>
  <si>
    <t>(Miscalling_Inherited_Method_1_NT_Loop0_TestCase0, INCONCLUSIVE, 122711)</t>
  </si>
  <si>
    <t>4/10</t>
  </si>
  <si>
    <t>(Incorrect_Return_2_T_Loop0_TestCase5, INCONCLUSIVE, 8140)
(Incorrect_Return_2_T_Loop0_TestCase4, TRUE, 8239)
(Incorrect_Return_2_T_Loop0_TestCase6, INCONCLUSIVE, 8297)
(Incorrect_Return_2_T_Loop0_TestCase7, INCONCLUSIVE, 8167)
(Incorrect_Return_2_T_Loop0_TestCase3, TRUE, 8220)
(Incorrect_Return_2_T_Loop0_TestCase2, TRUE, 8218)
(Incorrect_Return_2_T_Loop0_TestCase1, TRUE, 8187)
(Incorrect_Return_2_T_Loop0_TestCase10, INCONCLUSIVE, 8158)
(Incorrect_Return_2_T_Loop0_TestCase9, INCONCLUSIVE, 8118)
(Incorrect_Return_2_T_Loop0_TestCase8, INCONCLUSIVE, 9782)</t>
  </si>
  <si>
    <t>(Incorrect_Return_2_T_Loop0_TestCase5, INCONCLUSIVE, 8565)
(Incorrect_Return_2_T_Loop0_TestCase4, TRUE, 8596)
(Incorrect_Return_2_T_Loop0_TestCase6, INCONCLUSIVE, 8569)
(Incorrect_Return_2_T_Loop0_TestCase7, INCONCLUSIVE, 8963)
(Incorrect_Return_2_T_Loop0_TestCase3, TRUE, 8572)
(Incorrect_Return_2_T_Loop0_TestCase2, TRUE, 8571)
(Incorrect_Return_2_T_Loop0_TestCase1, TRUE, 8575)
(Incorrect_Return_2_T_Loop0_TestCase10, INCONCLUSIVE, 8589)
(Incorrect_Return_2_T_Loop0_TestCase9, INCONCLUSIVE, 8519)
(Incorrect_Return_2_T_Loop0_TestCase8, INCONCLUSIVE, 8517)</t>
  </si>
  <si>
    <t>(Incorrect_Return_2_T_Loop0_TestCase0, TRUE, 7762)</t>
  </si>
  <si>
    <t>(Incorrect_Return_2_T_Loop0_TestCase0, TRUE, 7283)</t>
  </si>
  <si>
    <t>4/5</t>
  </si>
  <si>
    <t>(Incorrect_Return_2_NT_Loop0_TestCase8, INCONCLUSIVE, 14524)
(Incorrect_Return_2_NT_Loop0_TestCase9, INCONCLUSIVE, 14376)
(Incorrect_Return_2_NT_Loop0_TestCase4, TRUE, 10636)
(Incorrect_Return_2_NT_Loop0_TestCase5, INCONCLUSIVE, 11023)
(Incorrect_Return_2_NT_Loop0_TestCase7, INCONCLUSIVE, 14653)
(Incorrect_Return_2_NT_Loop0_TestCase10, INCONCLUSIVE, 14926)
(Incorrect_Return_2_NT_Loop0_TestCase6, INCONCLUSIVE, 14499)
(Incorrect_Return_2_NT_Loop0_TestCase2, TRUE, 10714)
(Incorrect_Return_2_NT_Loop0_TestCase3, TRUE, 10623)
(Incorrect_Return_2_NT_Loop0_TestCase1, TRUE, 10731)</t>
  </si>
  <si>
    <t>(Incorrect_Return_2_NT_Loop0_TestCase8, INCONCLUSIVE, 15631)
(Incorrect_Return_2_NT_Loop0_TestCase9, INCONCLUSIVE, 15416)
(Incorrect_Return_2_NT_Loop0_TestCase4, TRUE, 11127)
(Incorrect_Return_2_NT_Loop0_TestCase5, INCONCLUSIVE, 10666)
(Incorrect_Return_2_NT_Loop0_TestCase7, INCONCLUSIVE, 15674)
(Incorrect_Return_2_NT_Loop0_TestCase10, INCONCLUSIVE, 15999)
(Incorrect_Return_2_NT_Loop0_TestCase6, INCONCLUSIVE, 15464)
(Incorrect_Return_2_NT_Loop0_TestCase2, TRUE, 11338)
(Incorrect_Return_2_NT_Loop0_TestCase3, TRUE, 11159)
(Incorrect_Return_2_NT_Loop0_TestCase1, TRUE, 12414)</t>
  </si>
  <si>
    <t>(Incorrect_Return_2_NT_Loop0_TestCase0, Terminated, 300695)</t>
  </si>
  <si>
    <t>(Incorrect_Return_2_NT_Loop0_TestCase0, Terminated, 300680)</t>
  </si>
  <si>
    <t>5/10</t>
  </si>
  <si>
    <t>(Incorrect_Return_1_T_Loop0_TestCase8, INCONCLUSIVE, 185572)
(Incorrect_Return_1_T_Loop0_TestCase9, INCONCLUSIVE, 185840)
(Incorrect_Return_1_T_Loop0_TestCase10, INCONCLUSIVE, 189579)
(Incorrect_Return_1_T_Loop0_TestCase1, TRUE, 9260)
(Incorrect_Return_1_T_Loop0_TestCase2, TRUE, 9139)
(Incorrect_Return_1_T_Loop0_TestCase3, TRUE, 9403)
(Incorrect_Return_1_T_Loop0_TestCase7, INCONCLUSIVE, 183811)
(Incorrect_Return_1_T_Loop0_TestCase6, INCONCLUSIVE, 183341)
(Incorrect_Return_1_T_Loop0_TestCase4, TRUE, 9556)
(Incorrect_Return_1_T_Loop0_TestCase5, TRUE, 9274)</t>
  </si>
  <si>
    <t>(Incorrect_Return_1_T_Loop0_TestCase8, INCONCLUSIVE, 194162)
(Incorrect_Return_1_T_Loop0_TestCase9, INCONCLUSIVE, 194121)
(Incorrect_Return_1_T_Loop0_TestCase10, INCONCLUSIVE, 195867)
(Incorrect_Return_1_T_Loop0_TestCase1, TRUE, 9500)
(Incorrect_Return_1_T_Loop0_TestCase2, TRUE, 9465)
(Incorrect_Return_1_T_Loop0_TestCase3, TRUE, 9525)
(Incorrect_Return_1_T_Loop0_TestCase7, INCONCLUSIVE, 193647)
(Incorrect_Return_1_T_Loop0_TestCase6, INCONCLUSIVE, 195297)
(Incorrect_Return_1_T_Loop0_TestCase4, TRUE, 10417)
(Incorrect_Return_1_T_Loop0_TestCase5, TRUE, 9455)</t>
  </si>
  <si>
    <t>(Incorrect_Return_1_T_Loop0_TestCase0, INCONCLUSIVE, 185317)</t>
  </si>
  <si>
    <t>(Incorrect_Return_1_T_Loop0_TestCase0, INCONCLUSIVE, 180713)</t>
  </si>
  <si>
    <t>5/5</t>
  </si>
  <si>
    <t>(Incorrect_Return_1_NT_Loop0_TestCase8, INCONCLUSIVE, 167448)
(Incorrect_Return_1_NT_Loop0_TestCase9, INCONCLUSIVE, 162777)
(Incorrect_Return_1_NT_Loop0_TestCase10, INCONCLUSIVE, 164106)
(Incorrect_Return_1_NT_Loop0_TestCase1, TRUE, 9243)
(Incorrect_Return_1_NT_Loop0_TestCase2, TRUE, 9681)
(Incorrect_Return_1_NT_Loop0_TestCase3, TRUE, 9303)
(Incorrect_Return_1_NT_Loop0_TestCase7, INCONCLUSIVE, 161801)
(Incorrect_Return_1_NT_Loop0_TestCase6, INCONCLUSIVE, 162872)
(Incorrect_Return_1_NT_Loop0_TestCase4, TRUE, 9129)
(Incorrect_Return_1_NT_Loop0_TestCase5, TRUE, 9170)</t>
  </si>
  <si>
    <t>(Incorrect_Return_1_NT_Loop0_TestCase8, INCONCLUSIVE, 168135)
(Incorrect_Return_1_NT_Loop0_TestCase9, INCONCLUSIVE, 163716)
(Incorrect_Return_1_NT_Loop0_TestCase10, INCONCLUSIVE, 169506)
(Incorrect_Return_1_NT_Loop0_TestCase1, TRUE, 9037)
(Incorrect_Return_1_NT_Loop0_TestCase2, TRUE, 8961)
(Incorrect_Return_1_NT_Loop0_TestCase3, TRUE, 9000)
(Incorrect_Return_1_NT_Loop0_TestCase7, INCONCLUSIVE, 169662)
(Incorrect_Return_1_NT_Loop0_TestCase6, INCONCLUSIVE, 163317)
(Incorrect_Return_1_NT_Loop0_TestCase4, TRUE, 8957)
(Incorrect_Return_1_NT_Loop0_TestCase5, TRUE, 8954)</t>
  </si>
  <si>
    <t>(Incorrect_Return_1_NT_Loop0_TestCase0, INCONCLUSIVE, 168779)</t>
  </si>
  <si>
    <t>(Incorrect_Return_1_NT_Loop0_TestCase0, INCONCLUSIVE, 160257)</t>
  </si>
  <si>
    <t>(Incorrect_Cyclic_Invoking_3_T_Loop0_TestCase0, TRUE, 1567)</t>
  </si>
  <si>
    <t>(Incorrect_Cyclic_Invoking_3_T_Loop0_TestCase0, TRUE, 1537)</t>
  </si>
  <si>
    <t>(Incorrect_Cyclic_Invoking_3_T_Loop0_TestCase0, TRUE, 1621)</t>
  </si>
  <si>
    <t>(Incorrect_Cyclic_Invoking_3_T_Loop0_TestCase0, TRUE, 1597)</t>
  </si>
  <si>
    <t>(Incorrect_Cyclic_Invoking_3_NT_Loop0_TestCase0, INCONCLUSIVE, 2122)</t>
  </si>
  <si>
    <t>(Incorrect_Cyclic_Invoking_3_NT_Loop0_TestCase0, INCONCLUSIVE, 2058)</t>
  </si>
  <si>
    <t>(Incorrect_Cyclic_Invoking_3_NT_Loop0_TestCase0, INCONCLUSIVE, 2142)</t>
  </si>
  <si>
    <t>(Incorrect_Cyclic_Invoking_3_NT_Loop0_TestCase0, INCONCLUSIVE, 2124)</t>
  </si>
  <si>
    <t>10/10</t>
  </si>
  <si>
    <t>(Incorrect_Cyclic_Invoking_2_T_Loop0_TestCase5, TRUE, 1627)
(Incorrect_Cyclic_Invoking_2_T_Loop0_TestCase4, TRUE, 1737)
(Incorrect_Cyclic_Invoking_2_T_Loop0_TestCase6, TRUE, 1658)
(Incorrect_Cyclic_Invoking_2_T_Loop0_TestCase7, TRUE, 1662)
(Incorrect_Cyclic_Invoking_2_T_Loop0_TestCase3, TRUE, 1665)
(Incorrect_Cyclic_Invoking_2_T_Loop0_TestCase2, TRUE, 1636)
(Incorrect_Cyclic_Invoking_2_T_Loop0_TestCase1, TRUE, 1636)
(Incorrect_Cyclic_Invoking_2_T_Loop0_TestCase10, TRUE, 1623)
(Incorrect_Cyclic_Invoking_2_T_Loop0_TestCase9, TRUE, 1659)
(Incorrect_Cyclic_Invoking_2_T_Loop0_TestCase8, TRUE, 1649)</t>
  </si>
  <si>
    <t>(Incorrect_Cyclic_Invoking_2_T_Loop0_TestCase5, TRUE, 1632)
(Incorrect_Cyclic_Invoking_2_T_Loop0_TestCase4, TRUE, 1734)
(Incorrect_Cyclic_Invoking_2_T_Loop0_TestCase6, TRUE, 1642)
(Incorrect_Cyclic_Invoking_2_T_Loop0_TestCase7, TRUE, 1647)
(Incorrect_Cyclic_Invoking_2_T_Loop0_TestCase3, TRUE, 1647)
(Incorrect_Cyclic_Invoking_2_T_Loop0_TestCase2, TRUE, 1668)
(Incorrect_Cyclic_Invoking_2_T_Loop0_TestCase1, TRUE, 1631)
(Incorrect_Cyclic_Invoking_2_T_Loop0_TestCase10, TRUE, 1661)
(Incorrect_Cyclic_Invoking_2_T_Loop0_TestCase9, TRUE, 1641)
(Incorrect_Cyclic_Invoking_2_T_Loop0_TestCase8, TRUE, 1672)</t>
  </si>
  <si>
    <t>(Incorrect_Cyclic_Invoking_2_T_Loop0_TestCase0, TRUE, 1752)</t>
  </si>
  <si>
    <t>(Incorrect_Cyclic_Invoking_2_T_Loop0_TestCase0, TRUE, 1719)</t>
  </si>
  <si>
    <t>(Incorrect_Cyclic_Invoking_2_NT_Loop0_TestCase1, INCONCLUSIVE, 122474)
(Incorrect_Cyclic_Invoking_2_NT_Loop0_TestCase3, INCONCLUSIVE, 122551)
(Incorrect_Cyclic_Invoking_2_NT_Loop0_TestCase2, INCONCLUSIVE, 122474)
(Incorrect_Cyclic_Invoking_2_NT_Loop0_TestCase6, INCONCLUSIVE, 122508)
(Incorrect_Cyclic_Invoking_2_NT_Loop0_TestCase7, INCONCLUSIVE, 122588)
(Incorrect_Cyclic_Invoking_2_NT_Loop0_TestCase5, INCONCLUSIVE, 122535)
(Incorrect_Cyclic_Invoking_2_NT_Loop0_TestCase4, INCONCLUSIVE, 122562)
(Incorrect_Cyclic_Invoking_2_NT_Loop0_TestCase9, INCONCLUSIVE, 122547)
(Incorrect_Cyclic_Invoking_2_NT_Loop0_TestCase8, INCONCLUSIVE, 122581)
(Incorrect_Cyclic_Invoking_2_NT_Loop0_TestCase10, INCONCLUSIVE, 122570)</t>
  </si>
  <si>
    <t>(Incorrect_Cyclic_Invoking_2_NT_Loop0_TestCase1, INCONCLUSIVE, 122563)
(Incorrect_Cyclic_Invoking_2_NT_Loop0_TestCase3, INCONCLUSIVE, 122568)
(Incorrect_Cyclic_Invoking_2_NT_Loop0_TestCase2, INCONCLUSIVE, 122643)
(Incorrect_Cyclic_Invoking_2_NT_Loop0_TestCase6, INCONCLUSIVE, 122592)
(Incorrect_Cyclic_Invoking_2_NT_Loop0_TestCase7, INCONCLUSIVE, 122729)
(Incorrect_Cyclic_Invoking_2_NT_Loop0_TestCase5, INCONCLUSIVE, 122406)
(Incorrect_Cyclic_Invoking_2_NT_Loop0_TestCase4, INCONCLUSIVE, 122603)
(Incorrect_Cyclic_Invoking_2_NT_Loop0_TestCase9, INCONCLUSIVE, 122571)
(Incorrect_Cyclic_Invoking_2_NT_Loop0_TestCase8, INCONCLUSIVE, 122705)
(Incorrect_Cyclic_Invoking_2_NT_Loop0_TestCase10, INCONCLUSIVE, 122638)</t>
  </si>
  <si>
    <t>(Incorrect_Cyclic_Invoking_2_NT_Loop0_TestCase0, INCONCLUSIVE, 122400)</t>
  </si>
  <si>
    <t>(Incorrect_Cyclic_Invoking_2_NT_Loop0_TestCase0, INCONCLUSIVE, 122416)</t>
  </si>
  <si>
    <t>(Incorrect_Cyclic_Invoking_1_T_Loop0_TestCase8, TRUE, 1683)
(Incorrect_Cyclic_Invoking_1_T_Loop0_TestCase9, TRUE, 1723)
(Incorrect_Cyclic_Invoking_1_T_Loop0_TestCase1, TRUE, 1682)
(Incorrect_Cyclic_Invoking_1_T_Loop0_TestCase2, TRUE, 1692)
(Incorrect_Cyclic_Invoking_1_T_Loop0_TestCase3, TRUE, 1678)
(Incorrect_Cyclic_Invoking_1_T_Loop0_TestCase7, TRUE, 1684)
(Incorrect_Cyclic_Invoking_1_T_Loop0_TestCase6, TRUE, 1675)
(Incorrect_Cyclic_Invoking_1_T_Loop0_TestCase4, TRUE, 1732)
(Incorrect_Cyclic_Invoking_1_T_Loop0_TestCase5, TRUE, 1699)
(Incorrect_Cyclic_Invoking_1_T_Loop0_TestCase10, TRUE, 1698)</t>
  </si>
  <si>
    <t>(Incorrect_Cyclic_Invoking_1_T_Loop0_TestCase8, TRUE, 1627)
(Incorrect_Cyclic_Invoking_1_T_Loop0_TestCase9, TRUE, 1644)
(Incorrect_Cyclic_Invoking_1_T_Loop0_TestCase1, TRUE, 1625)
(Incorrect_Cyclic_Invoking_1_T_Loop0_TestCase2, TRUE, 1647)
(Incorrect_Cyclic_Invoking_1_T_Loop0_TestCase3, TRUE, 1626)
(Incorrect_Cyclic_Invoking_1_T_Loop0_TestCase7, TRUE, 1625)
(Incorrect_Cyclic_Invoking_1_T_Loop0_TestCase6, TRUE, 1634)
(Incorrect_Cyclic_Invoking_1_T_Loop0_TestCase4, TRUE, 1722)
(Incorrect_Cyclic_Invoking_1_T_Loop0_TestCase5, TRUE, 1622)
(Incorrect_Cyclic_Invoking_1_T_Loop0_TestCase10, TRUE, 1650)</t>
  </si>
  <si>
    <t>(Incorrect_Cyclic_Invoking_1_T_Loop0_TestCase0, TRUE, 1688)</t>
  </si>
  <si>
    <t>(Incorrect_Cyclic_Invoking_1_T_Loop0_TestCase0, TRUE, 1611)</t>
  </si>
  <si>
    <t>(Incorrect_Cyclic_Invoking_1_NT_Loop0_TestCase5, TRUE, 1687)
(Incorrect_Cyclic_Invoking_1_NT_Loop0_TestCase4, TRUE, 1611)
(Incorrect_Cyclic_Invoking_1_NT_Loop0_TestCase6, INCONCLUSIVE, 122799)
(Incorrect_Cyclic_Invoking_1_NT_Loop0_TestCase7, INCONCLUSIVE, 122779)
(Incorrect_Cyclic_Invoking_1_NT_Loop0_TestCase3, TRUE, 1807)
(Incorrect_Cyclic_Invoking_1_NT_Loop0_TestCase2, TRUE, 1802)
(Incorrect_Cyclic_Invoking_1_NT_Loop0_TestCase1, TRUE, 1774)
(Incorrect_Cyclic_Invoking_1_NT_Loop0_TestCase10, INCONCLUSIVE, 122787)
(Incorrect_Cyclic_Invoking_1_NT_Loop0_TestCase9, INCONCLUSIVE, 122702)
(Incorrect_Cyclic_Invoking_1_NT_Loop0_TestCase8, INCONCLUSIVE, 122825)</t>
  </si>
  <si>
    <t>(Incorrect_Cyclic_Invoking_1_NT_Loop0_TestCase5, TRUE, 1655)
(Incorrect_Cyclic_Invoking_1_NT_Loop0_TestCase4, TRUE, 1591)
(Incorrect_Cyclic_Invoking_1_NT_Loop0_TestCase6, INCONCLUSIVE, 122923)
(Incorrect_Cyclic_Invoking_1_NT_Loop0_TestCase7, INCONCLUSIVE, 122728)
(Incorrect_Cyclic_Invoking_1_NT_Loop0_TestCase3, TRUE, 1727)
(Incorrect_Cyclic_Invoking_1_NT_Loop0_TestCase2, TRUE, 1770)
(Incorrect_Cyclic_Invoking_1_NT_Loop0_TestCase1, TRUE, 1753)
(Incorrect_Cyclic_Invoking_1_NT_Loop0_TestCase10, INCONCLUSIVE, 122702)
(Incorrect_Cyclic_Invoking_1_NT_Loop0_TestCase9, INCONCLUSIVE, 122721)
(Incorrect_Cyclic_Invoking_1_NT_Loop0_TestCase8, INCONCLUSIVE, 122799)</t>
  </si>
  <si>
    <t>(Incorrect_Cyclic_Invoking_1_NT_Loop0_TestCase0, INCONCLUSIVE, 121921)</t>
  </si>
  <si>
    <t>(Incorrect_Cyclic_Invoking_1_NT_Loop0_TestCase0, INCONCLUSIVE, 121953)</t>
  </si>
  <si>
    <t>(Incorrect_Arguments_1_T_Loop0_TestCase1, TRUE, 1878)
(Incorrect_Arguments_1_T_Loop0_TestCase3, TRUE, 1864)
(Incorrect_Arguments_1_T_Loop0_TestCase2, TRUE, 1870)
(Incorrect_Arguments_1_T_Loop0_TestCase6, TRUE, 1857)
(Incorrect_Arguments_1_T_Loop0_TestCase7, TRUE, 1873)
(Incorrect_Arguments_1_T_Loop0_TestCase5, TRUE, 1863)
(Incorrect_Arguments_1_T_Loop0_TestCase4, TRUE, 1871)
(Incorrect_Arguments_1_T_Loop0_TestCase9, TRUE, 1885)
(Incorrect_Arguments_1_T_Loop0_TestCase8, TRUE, 1889)
(Incorrect_Arguments_1_T_Loop0_TestCase10, TRUE, 1869)</t>
  </si>
  <si>
    <t>(Incorrect_Arguments_1_T_Loop0_TestCase1, TRUE, 1868)
(Incorrect_Arguments_1_T_Loop0_TestCase3, TRUE, 1921)
(Incorrect_Arguments_1_T_Loop0_TestCase2, TRUE, 1869)
(Incorrect_Arguments_1_T_Loop0_TestCase6, TRUE, 1923)
(Incorrect_Arguments_1_T_Loop0_TestCase7, TRUE, 1861)
(Incorrect_Arguments_1_T_Loop0_TestCase5, TRUE, 1861)
(Incorrect_Arguments_1_T_Loop0_TestCase4, TRUE, 1902)
(Incorrect_Arguments_1_T_Loop0_TestCase9, TRUE, 1888)
(Incorrect_Arguments_1_T_Loop0_TestCase8, TRUE, 1907)
(Incorrect_Arguments_1_T_Loop0_TestCase10, TRUE, 1871)</t>
  </si>
  <si>
    <t>(Incorrect_Arguments_1_T_Loop0_TestCase0, TRUE, 1870)</t>
  </si>
  <si>
    <t>(Incorrect_Arguments_1_T_Loop0_TestCase0, TRUE, 1812)</t>
  </si>
  <si>
    <t>(Incorrect_Arguments_1_NT_Loop0_TestCase1, TRUE, 1883)
(Incorrect_Arguments_1_NT_Loop0_TestCase2, TRUE, 2013)
(Incorrect_Arguments_1_NT_Loop0_TestCase3, TRUE, 2005)
(Incorrect_Arguments_1_NT_Loop0_TestCase7, INCONCLUSIVE, 122486)
(Incorrect_Arguments_1_NT_Loop0_TestCase6, INCONCLUSIVE, 122412)
(Incorrect_Arguments_1_NT_Loop0_TestCase4, TRUE, 2005)
(Incorrect_Arguments_1_NT_Loop0_TestCase5, TRUE, 1908)
(Incorrect_Arguments_1_NT_Loop0_TestCase8, INCONCLUSIVE, 122507)
(Incorrect_Arguments_1_NT_Loop0_TestCase9, INCONCLUSIVE, 122449)
(Incorrect_Arguments_1_NT_Loop0_TestCase10, INCONCLUSIVE, 122527)</t>
  </si>
  <si>
    <t>(Incorrect_Arguments_1_NT_Loop0_TestCase1, TRUE, 1860)
(Incorrect_Arguments_1_NT_Loop0_TestCase2, TRUE, 2024)
(Incorrect_Arguments_1_NT_Loop0_TestCase3, TRUE, 1992)
(Incorrect_Arguments_1_NT_Loop0_TestCase7, INCONCLUSIVE, 122408)
(Incorrect_Arguments_1_NT_Loop0_TestCase6, INCONCLUSIVE, 122399)
(Incorrect_Arguments_1_NT_Loop0_TestCase4, TRUE, 2018)
(Incorrect_Arguments_1_NT_Loop0_TestCase5, TRUE, 1915)
(Incorrect_Arguments_1_NT_Loop0_TestCase8, INCONCLUSIVE, 122534)
(Incorrect_Arguments_1_NT_Loop0_TestCase9, INCONCLUSIVE, 122437)
(Incorrect_Arguments_1_NT_Loop0_TestCase10, INCONCLUSIVE, 122548)</t>
  </si>
  <si>
    <t>(Incorrect_Arguments_1_NT_Loop0_TestCase0, INCONCLUSIVE, 121568)</t>
  </si>
  <si>
    <t>(Incorrect_Arguments_1_NT_Loop0_TestCase0, INCONCLUSIVE, 122500)</t>
  </si>
  <si>
    <t>(Misusing_Method_Overloading_4_T_Loop0_TestCase0, UNKNOWN, 2179)</t>
  </si>
  <si>
    <t>(Misusing_Method_Overloading_4_T_Loop0_TestCase0, UNKNOWN, 2169)</t>
  </si>
  <si>
    <t>(Misusing_Method_Overloading_4_T_Loop0_TestCase0, UNKNOWN, 2089)</t>
  </si>
  <si>
    <t>(Misusing_Method_Overloading_4_T_Loop0_TestCase0, UNKNOWN, 2077)</t>
  </si>
  <si>
    <t>(Misusing_Method_Overloading_4_NT_Loop0_TestCase0, UNKNOWN, 2151)</t>
  </si>
  <si>
    <t>(Misusing_Method_Overloading_4_NT_Loop0_TestCase0, UNKNOWN, 2110)</t>
  </si>
  <si>
    <t>(Misusing_Method_Overloading_4_NT_Loop0_TestCase0, UNKNOWN, 2056)</t>
  </si>
  <si>
    <t>(Misusing_Method_Overloading_4_NT_Loop0_TestCase0, UNKNOWN, 2062)</t>
  </si>
  <si>
    <t>(Misusing_Method_Overloading_3_T_Loop0_TestCase0, UNKNOWN, 2172)</t>
  </si>
  <si>
    <t>(Misusing_Method_Overloading_3_T_Loop0_TestCase0, UNKNOWN, 2180)</t>
  </si>
  <si>
    <t>(Misusing_Method_Overloading_3_T_Loop0_TestCase0, UNKNOWN, 2075)</t>
  </si>
  <si>
    <t>(Misusing_Method_Overloading_3_T_Loop0_TestCase0, UNKNOWN, 2056)</t>
  </si>
  <si>
    <t>(Misusing_Method_Overloading_3_NT_Loop0_TestCase0, UNKNOWN, 2130)</t>
  </si>
  <si>
    <t>(Misusing_Method_Overloading_3_NT_Loop0_TestCase0, UNKNOWN, 2143)</t>
  </si>
  <si>
    <t>(Misusing_Method_Overloading_3_NT_Loop0_TestCase0, UNKNOWN, 2081)</t>
  </si>
  <si>
    <t>(Misusing_Method_Overloading_3_NT_Loop0_TestCase0, UNKNOWN, 2066)</t>
  </si>
  <si>
    <t>(Misusing_Method_Overloading_2_T_Loop0_TestCase0, UNKNOWN, 2124)</t>
  </si>
  <si>
    <t>(Misusing_Method_Overloading_2_T_Loop0_TestCase0, UNKNOWN, 2138)</t>
  </si>
  <si>
    <t>(Misusing_Method_Overloading_2_T_Loop0_TestCase0, UNKNOWN, 2066)</t>
  </si>
  <si>
    <t>(Misusing_Method_Overloading_2_T_Loop0_TestCase0, UNKNOWN, 2041)</t>
  </si>
  <si>
    <t>(Misusing_Method_Overloading_2_NT_Loop0_TestCase0, UNKNOWN, 2159)</t>
  </si>
  <si>
    <t>(Misusing_Method_Overloading_2_NT_Loop0_TestCase0, UNKNOWN, 2143)</t>
  </si>
  <si>
    <t>(Misusing_Method_Overloading_2_NT_Loop0_TestCase0, UNKNOWN, 2081)</t>
  </si>
  <si>
    <t>(Misusing_Method_Overloading_2_NT_Loop0_TestCase0, UNKNOWN, 2046)</t>
  </si>
  <si>
    <t>(Misusing_Method_Overloading_1_T_Loop0_TestCase0, UNKNOWN, 2145)</t>
  </si>
  <si>
    <t>(Misusing_Method_Overloading_1_T_Loop0_TestCase0, UNKNOWN, 2140)</t>
  </si>
  <si>
    <t>(Misusing_Method_Overloading_1_T_Loop0_TestCase0, UNKNOWN, 2082)</t>
  </si>
  <si>
    <t>(Misusing_Method_Overloading_1_T_Loop0_TestCase0, UNKNOWN, 2074)</t>
  </si>
  <si>
    <t>(Misusing_Method_Overloading_1_NT_Loop0_TestCase0, UNKNOWN, 2131)</t>
  </si>
  <si>
    <t>(Misusing_Method_Overloading_1_NT_Loop0_TestCase0, UNKNOWN, 2182)</t>
  </si>
  <si>
    <t>(Misusing_Method_Overloading_1_NT_Loop0_TestCase0, UNKNOWN, 2057)</t>
  </si>
  <si>
    <t>(Misusing_Method_Overloading_1_NT_Loop0_TestCase0, UNKNOWN, 2094)</t>
  </si>
  <si>
    <t>(Missing_undef_Instruction_1_T_Loop0_TestCase0, UNKNOWN, 2888)</t>
  </si>
  <si>
    <t>(Missing_undef_Instruction_1_T_Loop0_TestCase0, UNKNOWN, 3048)</t>
  </si>
  <si>
    <t>(Missing_undef_Instruction_1_T_Loop0_TestCase0, UNKNOWN, 2799)</t>
  </si>
  <si>
    <t>(Missing_undef_Instruction_1_T_Loop0_TestCase0, UNKNOWN, 2956)</t>
  </si>
  <si>
    <t>(Missing_undef_Instruction_1_NT_Loop0_TestCase0, UNKNOWN, 2870)</t>
  </si>
  <si>
    <t>(Missing_undef_Instruction_1_NT_Loop0_TestCase0, FALSE, 2539)</t>
  </si>
  <si>
    <t>(Missing_undef_Instruction_1_NT_Loop0_TestCase0, UNKNOWN, 2809)</t>
  </si>
  <si>
    <t>(Missing_undef_Instruction_1_NT_Loop0_TestCase0, FALSE, 2455)</t>
  </si>
  <si>
    <t>(Miscalling_Inherited_Method_1_T_Loop0_TestCase0, UNKNOWN, 2107)</t>
  </si>
  <si>
    <t>(Miscalling_Inherited_Method_1_T_Loop0_TestCase0, UNKNOWN, 2171)</t>
  </si>
  <si>
    <t>(Miscalling_Inherited_Method_1_T_Loop0_TestCase0, UNKNOWN, 2083)</t>
  </si>
  <si>
    <t>(Miscalling_Inherited_Method_1_T_Loop0_TestCase0, UNKNOWN, 2071)</t>
  </si>
  <si>
    <t>(Miscalling_Inherited_Method_1_NT_Loop0_TestCase0, UNKNOWN, 2117)</t>
  </si>
  <si>
    <t>(Miscalling_Inherited_Method_1_NT_Loop0_TestCase0, UNKNOWN, 2121)</t>
  </si>
  <si>
    <t>(Miscalling_Inherited_Method_1_NT_Loop0_TestCase0, UNKNOWN, 2081)</t>
  </si>
  <si>
    <t>(Miscalling_Inherited_Method_1_NT_Loop0_TestCase0, UNKNOWN, 2085)</t>
  </si>
  <si>
    <t>(Incorrect_Return_2_T_Loop0_TestCase5, UNKNOWN, 2123)
(Incorrect_Return_2_T_Loop0_TestCase4, UNKNOWN, 2178)
(Incorrect_Return_2_T_Loop0_TestCase6, UNKNOWN, 2142)
(Incorrect_Return_2_T_Loop0_TestCase7, UNKNOWN, 2120)
(Incorrect_Return_2_T_Loop0_TestCase3, UNKNOWN, 2187)
(Incorrect_Return_2_T_Loop0_TestCase2, UNKNOWN, 2094)
(Incorrect_Return_2_T_Loop0_TestCase1, UNKNOWN, 2165)
(Incorrect_Return_2_T_Loop0_TestCase10, UNKNOWN, 2148)
(Incorrect_Return_2_T_Loop0_TestCase9, UNKNOWN, 2741)
(Incorrect_Return_2_T_Loop0_TestCase8, UNKNOWN, 2476)</t>
  </si>
  <si>
    <t>(Incorrect_Return_2_T_Loop0_TestCase5, UNKNOWN, 2210)
(Incorrect_Return_2_T_Loop0_TestCase4, UNKNOWN, 2259)
(Incorrect_Return_2_T_Loop0_TestCase6, UNKNOWN, 2194)
(Incorrect_Return_2_T_Loop0_TestCase7, UNKNOWN, 2172)
(Incorrect_Return_2_T_Loop0_TestCase3, UNKNOWN, 2175)
(Incorrect_Return_2_T_Loop0_TestCase2, UNKNOWN, 2157)
(Incorrect_Return_2_T_Loop0_TestCase1, UNKNOWN, 2180)
(Incorrect_Return_2_T_Loop0_TestCase10, UNKNOWN, 2179)
(Incorrect_Return_2_T_Loop0_TestCase9, UNKNOWN, 2193)
(Incorrect_Return_2_T_Loop0_TestCase8, UNKNOWN, 2224)</t>
  </si>
  <si>
    <t>(Incorrect_Return_2_T_Loop0_TestCase0, UNKNOWN, 2096)</t>
  </si>
  <si>
    <t>(Incorrect_Return_2_T_Loop0_TestCase0, UNKNOWN, 2084)</t>
  </si>
  <si>
    <t>(Incorrect_Return_2_NT_Loop0_TestCase8, UNKNOWN, 2153)
(Incorrect_Return_2_NT_Loop0_TestCase9, UNKNOWN, 2176)
(Incorrect_Return_2_NT_Loop0_TestCase4, UNKNOWN, 2133)
(Incorrect_Return_2_NT_Loop0_TestCase5, UNKNOWN, 2128)
(Incorrect_Return_2_NT_Loop0_TestCase7, UNKNOWN, 2155)
(Incorrect_Return_2_NT_Loop0_TestCase10, UNKNOWN, 2116)
(Incorrect_Return_2_NT_Loop0_TestCase6, UNKNOWN, 2156)
(Incorrect_Return_2_NT_Loop0_TestCase2, UNKNOWN, 2163)
(Incorrect_Return_2_NT_Loop0_TestCase3, UNKNOWN, 2152)
(Incorrect_Return_2_NT_Loop0_TestCase1, UNKNOWN, 2138)</t>
  </si>
  <si>
    <t>(Incorrect_Return_2_NT_Loop0_TestCase8, UNKNOWN, 2216)
(Incorrect_Return_2_NT_Loop0_TestCase9, UNKNOWN, 2236)
(Incorrect_Return_2_NT_Loop0_TestCase4, UNKNOWN, 2178)
(Incorrect_Return_2_NT_Loop0_TestCase5, UNKNOWN, 4798)
(Incorrect_Return_2_NT_Loop0_TestCase7, UNKNOWN, 2153)
(Incorrect_Return_2_NT_Loop0_TestCase10, UNKNOWN, 2244)
(Incorrect_Return_2_NT_Loop0_TestCase6, UNKNOWN, 2159)
(Incorrect_Return_2_NT_Loop0_TestCase2, UNKNOWN, 2204)
(Incorrect_Return_2_NT_Loop0_TestCase3, UNKNOWN, 2178)
(Incorrect_Return_2_NT_Loop0_TestCase1, UNKNOWN, 2387)</t>
  </si>
  <si>
    <t>(Incorrect_Return_2_NT_Loop0_TestCase0, UNKNOWN, 2114)</t>
  </si>
  <si>
    <t>(Incorrect_Return_2_NT_Loop0_TestCase0, UNKNOWN, 2105)</t>
  </si>
  <si>
    <t>(Incorrect_Return_1_T_Loop0_TestCase8, UNKNOWN, 2906)
(Incorrect_Return_1_T_Loop0_TestCase9, UNKNOWN, 5116)
(Incorrect_Return_1_T_Loop0_TestCase10, UNKNOWN, 2918)
(Incorrect_Return_1_T_Loop0_TestCase1, UNKNOWN, 2807)
(Incorrect_Return_1_T_Loop0_TestCase2, UNKNOWN, 2889)
(Incorrect_Return_1_T_Loop0_TestCase3, UNKNOWN, 3188)
(Incorrect_Return_1_T_Loop0_TestCase7, UNKNOWN, 2945)
(Incorrect_Return_1_T_Loop0_TestCase6, UNKNOWN, 3346)
(Incorrect_Return_1_T_Loop0_TestCase4, UNKNOWN, 2903)
(Incorrect_Return_1_T_Loop0_TestCase5, UNKNOWN, 2928)</t>
  </si>
  <si>
    <t>(Incorrect_Return_1_T_Loop0_TestCase0, UNKNOWN, 3544)</t>
  </si>
  <si>
    <t>(Incorrect_Return_1_NT_Loop0_TestCase8, UNKNOWN, 3133)
(Incorrect_Return_1_NT_Loop0_TestCase9, UNKNOWN, 2925)
(Incorrect_Return_1_NT_Loop0_TestCase10, UNKNOWN, 2907)
(Incorrect_Return_1_NT_Loop0_TestCase1, UNKNOWN, 2898)
(Incorrect_Return_1_NT_Loop0_TestCase2, UNKNOWN, 5613)
(Incorrect_Return_1_NT_Loop0_TestCase3, UNKNOWN, 2904)
(Incorrect_Return_1_NT_Loop0_TestCase7, UNKNOWN, 2870)
(Incorrect_Return_1_NT_Loop0_TestCase6, UNKNOWN, 2870)
(Incorrect_Return_1_NT_Loop0_TestCase4, UNKNOWN, 2906)
(Incorrect_Return_1_NT_Loop0_TestCase5, UNKNOWN, 2858)</t>
  </si>
  <si>
    <t>(Incorrect_Return_1_NT_Loop0_TestCase0, UNKNOWN, 3766)</t>
  </si>
  <si>
    <t>(Incorrect_Cyclic_Invoking_3_T_Loop0_TestCase0, UNKNOWN, 2177)</t>
  </si>
  <si>
    <t>(Incorrect_Cyclic_Invoking_3_T_Loop0_TestCase0, UNKNOWN, 2147)</t>
  </si>
  <si>
    <t>(Incorrect_Cyclic_Invoking_3_T_Loop0_TestCase0, UNKNOWN, 2112)</t>
  </si>
  <si>
    <t>(Incorrect_Cyclic_Invoking_3_T_Loop0_TestCase0, UNKNOWN, 2074)</t>
  </si>
  <si>
    <t>(Incorrect_Cyclic_Invoking_3_NT_Loop0_TestCase0, UNKNOWN, 2149)</t>
  </si>
  <si>
    <t>(Incorrect_Cyclic_Invoking_3_NT_Loop0_TestCase0, UNKNOWN, 2153)</t>
  </si>
  <si>
    <t>(Incorrect_Cyclic_Invoking_3_NT_Loop0_TestCase0, UNKNOWN, 2078)</t>
  </si>
  <si>
    <t>(Incorrect_Cyclic_Invoking_3_NT_Loop0_TestCase0, UNKNOWN, 2100)</t>
  </si>
  <si>
    <t>(Incorrect_Cyclic_Invoking_2_T_Loop0_TestCase5, UNKNOWN, 2900)
(Incorrect_Cyclic_Invoking_2_T_Loop0_TestCase4, UNKNOWN, 2869)
(Incorrect_Cyclic_Invoking_2_T_Loop0_TestCase6, UNKNOWN, 2940)
(Incorrect_Cyclic_Invoking_2_T_Loop0_TestCase7, UNKNOWN, 2921)
(Incorrect_Cyclic_Invoking_2_T_Loop0_TestCase3, UNKNOWN, 2950)
(Incorrect_Cyclic_Invoking_2_T_Loop0_TestCase2, UNKNOWN, 2951)
(Incorrect_Cyclic_Invoking_2_T_Loop0_TestCase1, UNKNOWN, 2952)
(Incorrect_Cyclic_Invoking_2_T_Loop0_TestCase10, UNKNOWN, 2906)
(Incorrect_Cyclic_Invoking_2_T_Loop0_TestCase9, UNKNOWN, 2921)
(Incorrect_Cyclic_Invoking_2_T_Loop0_TestCase8, UNKNOWN, 2937)</t>
  </si>
  <si>
    <t>(Incorrect_Cyclic_Invoking_2_T_Loop0_TestCase5, TRUE, 2357)
(Incorrect_Cyclic_Invoking_2_T_Loop0_TestCase4, TRUE, 2320)
(Incorrect_Cyclic_Invoking_2_T_Loop0_TestCase6, TRUE, 2371)
(Incorrect_Cyclic_Invoking_2_T_Loop0_TestCase7, TRUE, 2357)
(Incorrect_Cyclic_Invoking_2_T_Loop0_TestCase3, TRUE, 2349)
(Incorrect_Cyclic_Invoking_2_T_Loop0_TestCase2, TRUE, 2356)
(Incorrect_Cyclic_Invoking_2_T_Loop0_TestCase1, TRUE, 2365)
(Incorrect_Cyclic_Invoking_2_T_Loop0_TestCase10, TRUE, 2353)
(Incorrect_Cyclic_Invoking_2_T_Loop0_TestCase9, TRUE, 2369)
(Incorrect_Cyclic_Invoking_2_T_Loop0_TestCase8, TRUE, 2343)</t>
  </si>
  <si>
    <t>(Incorrect_Cyclic_Invoking_2_T_Loop0_TestCase0, UNKNOWN, 2878)</t>
  </si>
  <si>
    <t>(Incorrect_Cyclic_Invoking_2_T_Loop0_TestCase0, TRUE, 2297)</t>
  </si>
  <si>
    <t>(Incorrect_Cyclic_Invoking_2_NT_Loop0_TestCase1, UNKNOWN, 2935)
(Incorrect_Cyclic_Invoking_2_NT_Loop0_TestCase3, UNKNOWN, 2898)
(Incorrect_Cyclic_Invoking_2_NT_Loop0_TestCase2, UNKNOWN, 2874)
(Incorrect_Cyclic_Invoking_2_NT_Loop0_TestCase6, UNKNOWN, 2894)
(Incorrect_Cyclic_Invoking_2_NT_Loop0_TestCase7, UNKNOWN, 2951)
(Incorrect_Cyclic_Invoking_2_NT_Loop0_TestCase5, UNKNOWN, 2866)
(Incorrect_Cyclic_Invoking_2_NT_Loop0_TestCase4, UNKNOWN, 2918)
(Incorrect_Cyclic_Invoking_2_NT_Loop0_TestCase9, UNKNOWN, 2938)
(Incorrect_Cyclic_Invoking_2_NT_Loop0_TestCase8, UNKNOWN, 2953)
(Incorrect_Cyclic_Invoking_2_NT_Loop0_TestCase10, UNKNOWN, 2907)</t>
  </si>
  <si>
    <t>(Incorrect_Cyclic_Invoking_2_NT_Loop0_TestCase1, FALSE, 3789)
(Incorrect_Cyclic_Invoking_2_NT_Loop0_TestCase3, FALSE, 3811)
(Incorrect_Cyclic_Invoking_2_NT_Loop0_TestCase2, FALSE, 3807)
(Incorrect_Cyclic_Invoking_2_NT_Loop0_TestCase6, FALSE, 3822)
(Incorrect_Cyclic_Invoking_2_NT_Loop0_TestCase7, FALSE, 3836)
(Incorrect_Cyclic_Invoking_2_NT_Loop0_TestCase5, FALSE, 3725)
(Incorrect_Cyclic_Invoking_2_NT_Loop0_TestCase4, FALSE, 3830)
(Incorrect_Cyclic_Invoking_2_NT_Loop0_TestCase9, FALSE, 3809)
(Incorrect_Cyclic_Invoking_2_NT_Loop0_TestCase8, FALSE, 3766)
(Incorrect_Cyclic_Invoking_2_NT_Loop0_TestCase10, FALSE, 3753)</t>
  </si>
  <si>
    <t>(Incorrect_Cyclic_Invoking_2_NT_Loop0_TestCase0, UNKNOWN, 2841)</t>
  </si>
  <si>
    <t>(Incorrect_Cyclic_Invoking_2_NT_Loop0_TestCase0, FALSE, 3095)</t>
  </si>
  <si>
    <t>(Incorrect_Cyclic_Invoking_1_T_Loop0_TestCase8, UNKNOWN, 2899)
(Incorrect_Cyclic_Invoking_1_T_Loop0_TestCase9, UNKNOWN, 2924)
(Incorrect_Cyclic_Invoking_1_T_Loop0_TestCase1, UNKNOWN, 2923)
(Incorrect_Cyclic_Invoking_1_T_Loop0_TestCase2, UNKNOWN, 2946)
(Incorrect_Cyclic_Invoking_1_T_Loop0_TestCase3, UNKNOWN, 2904)
(Incorrect_Cyclic_Invoking_1_T_Loop0_TestCase7, UNKNOWN, 2899)
(Incorrect_Cyclic_Invoking_1_T_Loop0_TestCase6, UNKNOWN, 2968)
(Incorrect_Cyclic_Invoking_1_T_Loop0_TestCase4, UNKNOWN, 2902)
(Incorrect_Cyclic_Invoking_1_T_Loop0_TestCase5, UNKNOWN, 2920)
(Incorrect_Cyclic_Invoking_1_T_Loop0_TestCase10, UNKNOWN, 2936)</t>
  </si>
  <si>
    <t>(Incorrect_Cyclic_Invoking_1_T_Loop0_TestCase8, TRUE, 2244)
(Incorrect_Cyclic_Invoking_1_T_Loop0_TestCase9, TRUE, 2225)
(Incorrect_Cyclic_Invoking_1_T_Loop0_TestCase1, TRUE, 2274)
(Incorrect_Cyclic_Invoking_1_T_Loop0_TestCase2, TRUE, 2261)
(Incorrect_Cyclic_Invoking_1_T_Loop0_TestCase3, TRUE, 2246)
(Incorrect_Cyclic_Invoking_1_T_Loop0_TestCase7, TRUE, 2228)
(Incorrect_Cyclic_Invoking_1_T_Loop0_TestCase6, TRUE, 2242)
(Incorrect_Cyclic_Invoking_1_T_Loop0_TestCase4, TRUE, 2249)
(Incorrect_Cyclic_Invoking_1_T_Loop0_TestCase5, TRUE, 2292)
(Incorrect_Cyclic_Invoking_1_T_Loop0_TestCase10, TRUE, 2343)</t>
  </si>
  <si>
    <t>(Incorrect_Cyclic_Invoking_1_T_Loop0_TestCase0, UNKNOWN, 2802)</t>
  </si>
  <si>
    <t>(Incorrect_Cyclic_Invoking_1_T_Loop0_TestCase0, TRUE, 2165)</t>
  </si>
  <si>
    <t>(Incorrect_Cyclic_Invoking_1_NT_Loop0_TestCase5, UNKNOWN, 2969)
(Incorrect_Cyclic_Invoking_1_NT_Loop0_TestCase4, UNKNOWN, 2893)
(Incorrect_Cyclic_Invoking_1_NT_Loop0_TestCase6, UNKNOWN, 2924)
(Incorrect_Cyclic_Invoking_1_NT_Loop0_TestCase7, UNKNOWN, 2928)
(Incorrect_Cyclic_Invoking_1_NT_Loop0_TestCase3, UNKNOWN, 2917)
(Incorrect_Cyclic_Invoking_1_NT_Loop0_TestCase2, UNKNOWN, 2913)
(Incorrect_Cyclic_Invoking_1_NT_Loop0_TestCase1, UNKNOWN, 2965)
(Incorrect_Cyclic_Invoking_1_NT_Loop0_TestCase10, UNKNOWN, 2899)
(Incorrect_Cyclic_Invoking_1_NT_Loop0_TestCase9, UNKNOWN, 2911)
(Incorrect_Cyclic_Invoking_1_NT_Loop0_TestCase8, UNKNOWN, 2947)</t>
  </si>
  <si>
    <t>(Incorrect_Cyclic_Invoking_1_NT_Loop0_TestCase5, TRUE, 2982)
(Incorrect_Cyclic_Invoking_1_NT_Loop0_TestCase4, TRUE, 2955)
(Incorrect_Cyclic_Invoking_1_NT_Loop0_TestCase6, FALSE, 9182)
(Incorrect_Cyclic_Invoking_1_NT_Loop0_TestCase7, FALSE, 3096)
(Incorrect_Cyclic_Invoking_1_NT_Loop0_TestCase3, TRUE, 2965)
(Incorrect_Cyclic_Invoking_1_NT_Loop0_TestCase2, TRUE, 3016)
(Incorrect_Cyclic_Invoking_1_NT_Loop0_TestCase1, TRUE, 2973)
(Incorrect_Cyclic_Invoking_1_NT_Loop0_TestCase10, FALSE, 9115)
(Incorrect_Cyclic_Invoking_1_NT_Loop0_TestCase9, FALSE, 9037)
(Incorrect_Cyclic_Invoking_1_NT_Loop0_TestCase8, FALSE, 9234)</t>
  </si>
  <si>
    <t>(Incorrect_Cyclic_Invoking_1_NT_Loop0_TestCase0, UNKNOWN, 2796)</t>
  </si>
  <si>
    <t>(Incorrect_Cyclic_Invoking_1_NT_Loop0_TestCase0, FALSE, 2948)</t>
  </si>
  <si>
    <t>(Incorrect_Arguments_1_T_Loop0_TestCase1, UNKNOWN, 2925)
(Incorrect_Arguments_1_T_Loop0_TestCase3, UNKNOWN, 3324)
(Incorrect_Arguments_1_T_Loop0_TestCase2, UNKNOWN, 2941)
(Incorrect_Arguments_1_T_Loop0_TestCase6, UNKNOWN, 2884)
(Incorrect_Arguments_1_T_Loop0_TestCase7, UNKNOWN, 2953)
(Incorrect_Arguments_1_T_Loop0_TestCase5, UNKNOWN, 2970)
(Incorrect_Arguments_1_T_Loop0_TestCase4, UNKNOWN, 2934)
(Incorrect_Arguments_1_T_Loop0_TestCase9, UNKNOWN, 2916)
(Incorrect_Arguments_1_T_Loop0_TestCase8, UNKNOWN, 2924)
(Incorrect_Arguments_1_T_Loop0_TestCase10, UNKNOWN, 2875)</t>
  </si>
  <si>
    <t>(Incorrect_Arguments_1_T_Loop0_TestCase1, TRUE, 2426)
(Incorrect_Arguments_1_T_Loop0_TestCase3, TRUE, 2430)
(Incorrect_Arguments_1_T_Loop0_TestCase2, TRUE, 2420)
(Incorrect_Arguments_1_T_Loop0_TestCase6, TRUE, 2468)
(Incorrect_Arguments_1_T_Loop0_TestCase7, TRUE, 2400)
(Incorrect_Arguments_1_T_Loop0_TestCase5, TRUE, 2394)
(Incorrect_Arguments_1_T_Loop0_TestCase4, TRUE, 2440)
(Incorrect_Arguments_1_T_Loop0_TestCase9, TRUE, 2413)
(Incorrect_Arguments_1_T_Loop0_TestCase8, TRUE, 2461)
(Incorrect_Arguments_1_T_Loop0_TestCase10, TRUE, 2345)</t>
  </si>
  <si>
    <t>(Incorrect_Arguments_1_T_Loop0_TestCase0, UNKNOWN, 2843)</t>
  </si>
  <si>
    <t>(Incorrect_Arguments_1_T_Loop0_TestCase0, TRUE, 2384)</t>
  </si>
  <si>
    <t>(Incorrect_Arguments_1_NT_Loop0_TestCase1, UNKNOWN, 2943)
(Incorrect_Arguments_1_NT_Loop0_TestCase2, UNKNOWN, 2894)
(Incorrect_Arguments_1_NT_Loop0_TestCase3, UNKNOWN, 2949)
(Incorrect_Arguments_1_NT_Loop0_TestCase7, UNKNOWN, 2887)
(Incorrect_Arguments_1_NT_Loop0_TestCase6, UNKNOWN, 2926)
(Incorrect_Arguments_1_NT_Loop0_TestCase4, UNKNOWN, 2949)
(Incorrect_Arguments_1_NT_Loop0_TestCase5, UNKNOWN, 2952)
(Incorrect_Arguments_1_NT_Loop0_TestCase8, UNKNOWN, 2912)
(Incorrect_Arguments_1_NT_Loop0_TestCase9, UNKNOWN, 2915)
(Incorrect_Arguments_1_NT_Loop0_TestCase10, UNKNOWN, 2922)</t>
  </si>
  <si>
    <t>(Incorrect_Arguments_1_NT_Loop0_TestCase1, TRUE, 3044)
(Incorrect_Arguments_1_NT_Loop0_TestCase2, TRUE, 7740)
(Incorrect_Arguments_1_NT_Loop0_TestCase3, TRUE, 3063)
(Incorrect_Arguments_1_NT_Loop0_TestCase7, FALSE, 13402)
(Incorrect_Arguments_1_NT_Loop0_TestCase6, FALSE, 15166)
(Incorrect_Arguments_1_NT_Loop0_TestCase4, TRUE, 3082)
(Incorrect_Arguments_1_NT_Loop0_TestCase5, TRUE, 2995)
(Incorrect_Arguments_1_NT_Loop0_TestCase8, FALSE, 16345)
(Incorrect_Arguments_1_NT_Loop0_TestCase9, FALSE, 15128)
(Incorrect_Arguments_1_NT_Loop0_TestCase10, FALSE, 15673)</t>
  </si>
  <si>
    <t>(Incorrect_Arguments_1_NT_Loop0_TestCase0, UNKNOWN, 2797)</t>
  </si>
  <si>
    <t>(Incorrect_Arguments_1_NT_Loop0_TestCase0, FALSE, 14163)</t>
  </si>
  <si>
    <t>(Misusing_Method_Overloading_4_T_Loop0_TestCase0, MAYBE, 2379)</t>
  </si>
  <si>
    <t>(Misusing_Method_Overloading_4_T_Loop0_TestCase0, MAYBE, 2337)</t>
  </si>
  <si>
    <t>(Misusing_Method_Overloading_4_T_Loop0_TestCase0, MAYBE, 2434)</t>
  </si>
  <si>
    <t>(Misusing_Method_Overloading_4_T_Loop0_TestCase0, MAYBE, 2394)</t>
  </si>
  <si>
    <t>(Misusing_Method_Overloading_4_NT_Loop0_TestCase0, MAYBE, 2387)</t>
  </si>
  <si>
    <t>(Misusing_Method_Overloading_4_NT_Loop0_TestCase0, MAYBE, 2404)</t>
  </si>
  <si>
    <t>(Misusing_Method_Overloading_4_NT_Loop0_TestCase0, MAYBE, 2473)</t>
  </si>
  <si>
    <t>(Misusing_Method_Overloading_4_NT_Loop0_TestCase0, MAYBE, 2396)</t>
  </si>
  <si>
    <t>(Misusing_Method_Overloading_3_T_Loop0_TestCase0, MAYBE, 2540)</t>
  </si>
  <si>
    <t>(Misusing_Method_Overloading_3_T_Loop0_TestCase0, MAYBE, 2641)</t>
  </si>
  <si>
    <t>(Misusing_Method_Overloading_3_T_Loop0_TestCase0, MAYBE, 2619)</t>
  </si>
  <si>
    <t>(Misusing_Method_Overloading_3_T_Loop0_TestCase0, MAYBE, 2685)</t>
  </si>
  <si>
    <t>(Misusing_Method_Overloading_3_NT_Loop0_TestCase0, MAYBE, 2573)</t>
  </si>
  <si>
    <t>(Misusing_Method_Overloading_3_NT_Loop0_TestCase0, MAYBE, 2624)</t>
  </si>
  <si>
    <t>(Misusing_Method_Overloading_3_NT_Loop0_TestCase0, MAYBE, 2640)</t>
  </si>
  <si>
    <t>(Misusing_Method_Overloading_3_NT_Loop0_TestCase0, MAYBE, 2699)</t>
  </si>
  <si>
    <t>(Misusing_Method_Overloading_2_T_Loop0_TestCase0, MAYBE, 2404)</t>
  </si>
  <si>
    <t>(Misusing_Method_Overloading_2_T_Loop0_TestCase0, MAYBE, 2412)</t>
  </si>
  <si>
    <t>(Misusing_Method_Overloading_2_T_Loop0_TestCase0, MAYBE, 2469)</t>
  </si>
  <si>
    <t>(Misusing_Method_Overloading_2_T_Loop0_TestCase0, MAYBE, 2432)</t>
  </si>
  <si>
    <t>(Misusing_Method_Overloading_2_NT_Loop0_TestCase0, MAYBE, 2422)</t>
  </si>
  <si>
    <t>(Misusing_Method_Overloading_2_NT_Loop0_TestCase0, MAYBE, 2430)</t>
  </si>
  <si>
    <t>(Misusing_Method_Overloading_2_NT_Loop0_TestCase0, MAYBE, 2437)</t>
  </si>
  <si>
    <t>(Misusing_Method_Overloading_2_NT_Loop0_TestCase0, MAYBE, 2403)</t>
  </si>
  <si>
    <t>(Misusing_Method_Overloading_1_T_Loop0_TestCase0, MAYBE, 2441)</t>
  </si>
  <si>
    <t>(Misusing_Method_Overloading_1_T_Loop0_TestCase0, MAYBE, 2413)</t>
  </si>
  <si>
    <t>(Misusing_Method_Overloading_1_T_Loop0_TestCase0, MAYBE, 2510)</t>
  </si>
  <si>
    <t>(Misusing_Method_Overloading_1_T_Loop0_TestCase0, MAYBE, 2394)</t>
  </si>
  <si>
    <t>(Misusing_Method_Overloading_1_NT_Loop0_TestCase0, MAYBE, 2432)</t>
  </si>
  <si>
    <t>(Misusing_Method_Overloading_1_NT_Loop0_TestCase0, MAYBE, 2330)</t>
  </si>
  <si>
    <t>(Misusing_Method_Overloading_1_NT_Loop0_TestCase0, MAYBE, 2516)</t>
  </si>
  <si>
    <t>(Misusing_Method_Overloading_1_NT_Loop0_TestCase0, MAYBE, 2403)</t>
  </si>
  <si>
    <t>(Missing_undef_Instruction_1_T_Loop0_TestCase0, YES, 3087)</t>
  </si>
  <si>
    <t>(Missing_undef_Instruction_1_T_Loop0_TestCase0, YES, 3037)</t>
  </si>
  <si>
    <t>(Missing_undef_Instruction_1_T_Loop0_TestCase0, YES, 3179)</t>
  </si>
  <si>
    <t>(Missing_undef_Instruction_1_T_Loop0_TestCase0, YES, 3119)</t>
  </si>
  <si>
    <t>(Missing_undef_Instruction_1_NT_Loop0_TestCase0, NO, 4957)</t>
  </si>
  <si>
    <t>(Missing_undef_Instruction_1_NT_Loop0_TestCase0, NO, 4518)</t>
  </si>
  <si>
    <t>(Missing_undef_Instruction_1_NT_Loop0_TestCase0, NO, 4849)</t>
  </si>
  <si>
    <t>(Missing_undef_Instruction_1_NT_Loop0_TestCase0, NO, 5145)</t>
  </si>
  <si>
    <t>(Miscalling_Inherited_Method_1_T_Loop0_TestCase0, MAYBE, 2420)</t>
  </si>
  <si>
    <t>(Miscalling_Inherited_Method_1_T_Loop0_TestCase0, MAYBE, 2437)</t>
  </si>
  <si>
    <t>(Miscalling_Inherited_Method_1_T_Loop0_TestCase0, MAYBE, 2539)</t>
  </si>
  <si>
    <t>(Miscalling_Inherited_Method_1_T_Loop0_TestCase0, MAYBE, 2399)</t>
  </si>
  <si>
    <t>(Miscalling_Inherited_Method_1_NT_Loop0_TestCase0, MAYBE, 2516)</t>
  </si>
  <si>
    <t>(Miscalling_Inherited_Method_1_NT_Loop0_TestCase0, MAYBE, 2410)</t>
  </si>
  <si>
    <t>(Miscalling_Inherited_Method_1_NT_Loop0_TestCase0, MAYBE, 2687)</t>
  </si>
  <si>
    <t>(Miscalling_Inherited_Method_1_NT_Loop0_TestCase0, MAYBE, 2429)</t>
  </si>
  <si>
    <t>(Incorrect_Return_2_T_Loop0_TestCase5, YES, 5642)
(Incorrect_Return_2_T_Loop0_TestCase4, YES, 5262)
(Incorrect_Return_2_T_Loop0_TestCase6, YES, 5215)
(Incorrect_Return_2_T_Loop0_TestCase7, YES, 4839)
(Incorrect_Return_2_T_Loop0_TestCase3, YES, 5300)
(Incorrect_Return_2_T_Loop0_TestCase2, YES, 4866)
(Incorrect_Return_2_T_Loop0_TestCase1, YES, 5300)
(Incorrect_Return_2_T_Loop0_TestCase10, YES, 5205)
(Incorrect_Return_2_T_Loop0_TestCase9, YES, 5240)
(Incorrect_Return_2_T_Loop0_TestCase8, YES, 5288)</t>
  </si>
  <si>
    <t>(Incorrect_Return_2_T_Loop0_TestCase5, YES, 5229)
(Incorrect_Return_2_T_Loop0_TestCase4, YES, 5253)
(Incorrect_Return_2_T_Loop0_TestCase6, YES, 5191)
(Incorrect_Return_2_T_Loop0_TestCase7, YES, 4839)
(Incorrect_Return_2_T_Loop0_TestCase3, YES, 5145)
(Incorrect_Return_2_T_Loop0_TestCase2, YES, 4907)
(Incorrect_Return_2_T_Loop0_TestCase1, YES, 5161)
(Incorrect_Return_2_T_Loop0_TestCase10, YES, 5354)
(Incorrect_Return_2_T_Loop0_TestCase9, YES, 5256)
(Incorrect_Return_2_T_Loop0_TestCase8, YES, 6659)</t>
  </si>
  <si>
    <t>(Incorrect_Return_2_T_Loop0_TestCase0, YES, 7466)</t>
  </si>
  <si>
    <t>(Incorrect_Return_2_T_Loop0_TestCase0, YES, 7424)</t>
  </si>
  <si>
    <t>(Incorrect_Return_2_NT_Loop0_TestCase8, MAYBE, 38530)
(Incorrect_Return_2_NT_Loop0_TestCase9, MAYBE, 37702)
(Incorrect_Return_2_NT_Loop0_TestCase4, MAYBE, 37913)
(Incorrect_Return_2_NT_Loop0_TestCase5, MAYBE, 279389)
(Incorrect_Return_2_NT_Loop0_TestCase7, MAYBE, 30330)
(Incorrect_Return_2_NT_Loop0_TestCase10, MAYBE, 37947)
(Incorrect_Return_2_NT_Loop0_TestCase6, MAYBE, 37931)
(Incorrect_Return_2_NT_Loop0_TestCase2, MAYBE, 589252)
(Incorrect_Return_2_NT_Loop0_TestCase3, MAYBE, 37102)
(Incorrect_Return_2_NT_Loop0_TestCase1, MAYBE, 736609)</t>
  </si>
  <si>
    <t>(Incorrect_Return_2_NT_Loop0_TestCase8, MAYBE, 37984)
(Incorrect_Return_2_NT_Loop0_TestCase9, MAYBE, 37868)
(Incorrect_Return_2_NT_Loop0_TestCase4, MAYBE, 37474)
(Incorrect_Return_2_NT_Loop0_TestCase5, MAYBE, 40820)
(Incorrect_Return_2_NT_Loop0_TestCase7, MAYBE, 34940)
(Incorrect_Return_2_NT_Loop0_TestCase10, MAYBE, 38497)
(Incorrect_Return_2_NT_Loop0_TestCase6, MAYBE, 37410)
(Incorrect_Return_2_NT_Loop0_TestCase2, MAYBE, 30927)
(Incorrect_Return_2_NT_Loop0_TestCase3, MAYBE, 42304)
(Incorrect_Return_2_NT_Loop0_TestCase1, MAYBE, 37123)</t>
  </si>
  <si>
    <t>(Incorrect_Return_2_NT_Loop0_TestCase0, MAYBE, 32679)</t>
  </si>
  <si>
    <t>(Incorrect_Return_2_NT_Loop0_TestCase0, MAYBE, 30620)</t>
  </si>
  <si>
    <t>(Incorrect_Return_1_T_Loop0_TestCase8, MAYBE, 2456)
(Incorrect_Return_1_T_Loop0_TestCase9, MAYBE, 2567)
(Incorrect_Return_1_T_Loop0_TestCase10, MAYBE, 2470)
(Incorrect_Return_1_T_Loop0_TestCase1, MAYBE, 2484)
(Incorrect_Return_1_T_Loop0_TestCase2, MAYBE, 2517)
(Incorrect_Return_1_T_Loop0_TestCase3, MAYBE, 2509)
(Incorrect_Return_1_T_Loop0_TestCase7, MAYBE, 2436)
(Incorrect_Return_1_T_Loop0_TestCase6, MAYBE, 2509)
(Incorrect_Return_1_T_Loop0_TestCase4, MAYBE, 3038)
(Incorrect_Return_1_T_Loop0_TestCase5, MAYBE, 2483)</t>
  </si>
  <si>
    <t>(Incorrect_Return_1_T_Loop0_TestCase8, MAYBE, 2475)
(Incorrect_Return_1_T_Loop0_TestCase9, MAYBE, 2504)
(Incorrect_Return_1_T_Loop0_TestCase10, MAYBE, 2443)
(Incorrect_Return_1_T_Loop0_TestCase1, MAYBE, 2431)
(Incorrect_Return_1_T_Loop0_TestCase2, MAYBE, 2812)
(Incorrect_Return_1_T_Loop0_TestCase3, MAYBE, 2422)
(Incorrect_Return_1_T_Loop0_TestCase7, MAYBE, 2487)
(Incorrect_Return_1_T_Loop0_TestCase6, MAYBE, 2471)
(Incorrect_Return_1_T_Loop0_TestCase4, MAYBE, 2469)
(Incorrect_Return_1_T_Loop0_TestCase5, MAYBE, 3643)</t>
  </si>
  <si>
    <t>(Incorrect_Return_1_T_Loop0_TestCase0, MAYBE, 2416)</t>
  </si>
  <si>
    <t>(Incorrect_Return_1_T_Loop0_TestCase0, MAYBE, 2440)</t>
  </si>
  <si>
    <t>(Incorrect_Return_1_NT_Loop0_TestCase8, MAYBE, 2529)
(Incorrect_Return_1_NT_Loop0_TestCase9, MAYBE, 2550)
(Incorrect_Return_1_NT_Loop0_TestCase10, MAYBE, 2538)
(Incorrect_Return_1_NT_Loop0_TestCase1, MAYBE, 2502)
(Incorrect_Return_1_NT_Loop0_TestCase2, MAYBE, 2478)
(Incorrect_Return_1_NT_Loop0_TestCase3, MAYBE, 2975)
(Incorrect_Return_1_NT_Loop0_TestCase7, MAYBE, 2479)
(Incorrect_Return_1_NT_Loop0_TestCase6, MAYBE, 2524)
(Incorrect_Return_1_NT_Loop0_TestCase4, MAYBE, 2477)
(Incorrect_Return_1_NT_Loop0_TestCase5, MAYBE, 2625)</t>
  </si>
  <si>
    <t>(Incorrect_Return_1_NT_Loop0_TestCase8, MAYBE, 2442)
(Incorrect_Return_1_NT_Loop0_TestCase9, MAYBE, 2499)
(Incorrect_Return_1_NT_Loop0_TestCase10, MAYBE, 2506)
(Incorrect_Return_1_NT_Loop0_TestCase1, MAYBE, 2438)
(Incorrect_Return_1_NT_Loop0_TestCase2, MAYBE, 2406)
(Incorrect_Return_1_NT_Loop0_TestCase3, MAYBE, 2455)
(Incorrect_Return_1_NT_Loop0_TestCase7, MAYBE, 2485)
(Incorrect_Return_1_NT_Loop0_TestCase6, MAYBE, 2455)
(Incorrect_Return_1_NT_Loop0_TestCase4, MAYBE, 2441)
(Incorrect_Return_1_NT_Loop0_TestCase5, MAYBE, 2494)</t>
  </si>
  <si>
    <t>(Incorrect_Return_1_NT_Loop0_TestCase0, MAYBE, 2839)</t>
  </si>
  <si>
    <t>(Incorrect_Return_1_NT_Loop0_TestCase0, MAYBE, 2498)</t>
  </si>
  <si>
    <t>(Incorrect_Cyclic_Invoking_3_T_Loop0_TestCase0, MAYBE, 2534)</t>
  </si>
  <si>
    <t>(Incorrect_Cyclic_Invoking_3_T_Loop0_TestCase0, MAYBE, 2477)</t>
  </si>
  <si>
    <t>(Incorrect_Cyclic_Invoking_3_T_Loop0_TestCase0, MAYBE, 2459)</t>
  </si>
  <si>
    <t>(Incorrect_Cyclic_Invoking_3_T_Loop0_TestCase0, MAYBE, 2489)</t>
  </si>
  <si>
    <t>(Incorrect_Cyclic_Invoking_3_NT_Loop0_TestCase0, MAYBE, 2550)</t>
  </si>
  <si>
    <t>(Incorrect_Cyclic_Invoking_3_NT_Loop0_TestCase0, MAYBE, 2424)</t>
  </si>
  <si>
    <t>(Incorrect_Cyclic_Invoking_3_NT_Loop0_TestCase0, MAYBE, 2529)</t>
  </si>
  <si>
    <t>(Incorrect_Cyclic_Invoking_3_NT_Loop0_TestCase0, MAYBE, 2411)</t>
  </si>
  <si>
    <t>(Incorrect_Cyclic_Invoking_2_T_Loop0_TestCase5, MAYBE, 4949)
(Incorrect_Cyclic_Invoking_2_T_Loop0_TestCase4, MAYBE, 5025)
(Incorrect_Cyclic_Invoking_2_T_Loop0_TestCase6, MAYBE, 5021)
(Incorrect_Cyclic_Invoking_2_T_Loop0_TestCase7, MAYBE, 4962)
(Incorrect_Cyclic_Invoking_2_T_Loop0_TestCase3, MAYBE, 5012)
(Incorrect_Cyclic_Invoking_2_T_Loop0_TestCase2, MAYBE, 4999)
(Incorrect_Cyclic_Invoking_2_T_Loop0_TestCase1, MAYBE, 4944)
(Incorrect_Cyclic_Invoking_2_T_Loop0_TestCase10, MAYBE, 5064)
(Incorrect_Cyclic_Invoking_2_T_Loop0_TestCase9, MAYBE, 4938)
(Incorrect_Cyclic_Invoking_2_T_Loop0_TestCase8, MAYBE, 5005)</t>
  </si>
  <si>
    <t>(Incorrect_Cyclic_Invoking_2_T_Loop0_TestCase5, MAYBE, 4998)
(Incorrect_Cyclic_Invoking_2_T_Loop0_TestCase4, MAYBE, 4902)
(Incorrect_Cyclic_Invoking_2_T_Loop0_TestCase6, MAYBE, 4900)
(Incorrect_Cyclic_Invoking_2_T_Loop0_TestCase7, MAYBE, 5028)
(Incorrect_Cyclic_Invoking_2_T_Loop0_TestCase3, MAYBE, 4830)
(Incorrect_Cyclic_Invoking_2_T_Loop0_TestCase2, MAYBE, 4960)
(Incorrect_Cyclic_Invoking_2_T_Loop0_TestCase1, MAYBE, 4985)
(Incorrect_Cyclic_Invoking_2_T_Loop0_TestCase10, MAYBE, 4968)
(Incorrect_Cyclic_Invoking_2_T_Loop0_TestCase9, MAYBE, 4993)
(Incorrect_Cyclic_Invoking_2_T_Loop0_TestCase8, MAYBE, 5058)</t>
  </si>
  <si>
    <t>(Incorrect_Cyclic_Invoking_2_T_Loop0_TestCase0, MAYBE, 6630)</t>
  </si>
  <si>
    <t>(Incorrect_Cyclic_Invoking_2_T_Loop0_TestCase0, MAYBE, 6704)</t>
  </si>
  <si>
    <t>(Incorrect_Cyclic_Invoking_2_NT_Loop0_TestCase1, NO, 10095)
(Incorrect_Cyclic_Invoking_2_NT_Loop0_TestCase3, NO, 10436)
(Incorrect_Cyclic_Invoking_2_NT_Loop0_TestCase2, NO, 10216)
(Incorrect_Cyclic_Invoking_2_NT_Loop0_TestCase6, NO, 10153)
(Incorrect_Cyclic_Invoking_2_NT_Loop0_TestCase7, NO, 10304)
(Incorrect_Cyclic_Invoking_2_NT_Loop0_TestCase5, NO, 9998)
(Incorrect_Cyclic_Invoking_2_NT_Loop0_TestCase4, NO, 10481)
(Incorrect_Cyclic_Invoking_2_NT_Loop0_TestCase9, NO, 10315)
(Incorrect_Cyclic_Invoking_2_NT_Loop0_TestCase8, NO, 10271)
(Incorrect_Cyclic_Invoking_2_NT_Loop0_TestCase10, NO, 10307)</t>
  </si>
  <si>
    <t>(Incorrect_Cyclic_Invoking_2_NT_Loop0_TestCase1, NO, 10352)
(Incorrect_Cyclic_Invoking_2_NT_Loop0_TestCase3, NO, 10034)
(Incorrect_Cyclic_Invoking_2_NT_Loop0_TestCase2, NO, 10074)
(Incorrect_Cyclic_Invoking_2_NT_Loop0_TestCase6, NO, 10084)
(Incorrect_Cyclic_Invoking_2_NT_Loop0_TestCase7, NO, 10183)
(Incorrect_Cyclic_Invoking_2_NT_Loop0_TestCase5, NO, 10234)
(Incorrect_Cyclic_Invoking_2_NT_Loop0_TestCase4, NO, 10298)
(Incorrect_Cyclic_Invoking_2_NT_Loop0_TestCase9, NO, 10030)
(Incorrect_Cyclic_Invoking_2_NT_Loop0_TestCase8, NO, 10145)
(Incorrect_Cyclic_Invoking_2_NT_Loop0_TestCase10, NO, 10091)</t>
  </si>
  <si>
    <t>(Incorrect_Cyclic_Invoking_2_NT_Loop0_TestCase0, NO, 10587)</t>
  </si>
  <si>
    <t>(Incorrect_Cyclic_Invoking_2_NT_Loop0_TestCase0, NO, 10956)</t>
  </si>
  <si>
    <t>(Incorrect_Cyclic_Invoking_1_T_Loop0_TestCase8, YES, 4305)
(Incorrect_Cyclic_Invoking_1_T_Loop0_TestCase9, YES, 4278)
(Incorrect_Cyclic_Invoking_1_T_Loop0_TestCase1, YES, 3620)
(Incorrect_Cyclic_Invoking_1_T_Loop0_TestCase2, YES, 3607)
(Incorrect_Cyclic_Invoking_1_T_Loop0_TestCase3, YES, 3642)
(Incorrect_Cyclic_Invoking_1_T_Loop0_TestCase7, YES, 4260)
(Incorrect_Cyclic_Invoking_1_T_Loop0_TestCase6, YES, 4197)
(Incorrect_Cyclic_Invoking_1_T_Loop0_TestCase4, YES, 3644)
(Incorrect_Cyclic_Invoking_1_T_Loop0_TestCase5, YES, 3659)
(Incorrect_Cyclic_Invoking_1_T_Loop0_TestCase10, YES, 4253)</t>
  </si>
  <si>
    <t>(Incorrect_Cyclic_Invoking_1_T_Loop0_TestCase8, YES, 4240)
(Incorrect_Cyclic_Invoking_1_T_Loop0_TestCase9, YES, 4261)
(Incorrect_Cyclic_Invoking_1_T_Loop0_TestCase1, YES, 3691)
(Incorrect_Cyclic_Invoking_1_T_Loop0_TestCase2, YES, 3649)
(Incorrect_Cyclic_Invoking_1_T_Loop0_TestCase3, YES, 3623)
(Incorrect_Cyclic_Invoking_1_T_Loop0_TestCase7, YES, 4233)
(Incorrect_Cyclic_Invoking_1_T_Loop0_TestCase6, YES, 4207)
(Incorrect_Cyclic_Invoking_1_T_Loop0_TestCase4, YES, 3568)
(Incorrect_Cyclic_Invoking_1_T_Loop0_TestCase5, YES, 3708)
(Incorrect_Cyclic_Invoking_1_T_Loop0_TestCase10, YES, 4220)</t>
  </si>
  <si>
    <t>(Incorrect_Cyclic_Invoking_1_T_Loop0_TestCase0, YES, 4468)</t>
  </si>
  <si>
    <t>(Incorrect_Cyclic_Invoking_1_T_Loop0_TestCase0, YES, 4456)</t>
  </si>
  <si>
    <t>(Incorrect_Cyclic_Invoking_1_NT_Loop0_TestCase5, YES, 3836)
(Incorrect_Cyclic_Invoking_1_NT_Loop0_TestCase4, YES, 3750)
(Incorrect_Cyclic_Invoking_1_NT_Loop0_TestCase6, NO, 6784)
(Incorrect_Cyclic_Invoking_1_NT_Loop0_TestCase7, NO, 5753)
(Incorrect_Cyclic_Invoking_1_NT_Loop0_TestCase3, YES, 3724)
(Incorrect_Cyclic_Invoking_1_NT_Loop0_TestCase2, YES, 3798)
(Incorrect_Cyclic_Invoking_1_NT_Loop0_TestCase1, YES, 3711)
(Incorrect_Cyclic_Invoking_1_NT_Loop0_TestCase10, NO, 6089)
(Incorrect_Cyclic_Invoking_1_NT_Loop0_TestCase9, NO, 7143)
(Incorrect_Cyclic_Invoking_1_NT_Loop0_TestCase8, NO, 6178)</t>
  </si>
  <si>
    <t>(Incorrect_Cyclic_Invoking_1_NT_Loop0_TestCase5, YES, 3824)
(Incorrect_Cyclic_Invoking_1_NT_Loop0_TestCase4, YES, 3728)
(Incorrect_Cyclic_Invoking_1_NT_Loop0_TestCase6, NO, 6629)
(Incorrect_Cyclic_Invoking_1_NT_Loop0_TestCase7, NO, 5974)
(Incorrect_Cyclic_Invoking_1_NT_Loop0_TestCase3, YES, 3880)
(Incorrect_Cyclic_Invoking_1_NT_Loop0_TestCase2, YES, 3821)
(Incorrect_Cyclic_Invoking_1_NT_Loop0_TestCase1, YES, 3807)
(Incorrect_Cyclic_Invoking_1_NT_Loop0_TestCase10, NO, 6458)
(Incorrect_Cyclic_Invoking_1_NT_Loop0_TestCase9, NO, 6915)
(Incorrect_Cyclic_Invoking_1_NT_Loop0_TestCase8, NO, 6753)</t>
  </si>
  <si>
    <t>(Incorrect_Cyclic_Invoking_1_NT_Loop0_TestCase0, MAYBE, 7779)</t>
  </si>
  <si>
    <t>(Incorrect_Cyclic_Invoking_1_NT_Loop0_TestCase0, MAYBE, 7891)</t>
  </si>
  <si>
    <t>(Incorrect_Arguments_1_T_Loop0_TestCase1, MAYBE, 3233)
(Incorrect_Arguments_1_T_Loop0_TestCase3, MAYBE, 3274)
(Incorrect_Arguments_1_T_Loop0_TestCase2, MAYBE, 3214)
(Incorrect_Arguments_1_T_Loop0_TestCase6, MAYBE, 3248)
(Incorrect_Arguments_1_T_Loop0_TestCase7, MAYBE, 3231)
(Incorrect_Arguments_1_T_Loop0_TestCase5, MAYBE, 3354)
(Incorrect_Arguments_1_T_Loop0_TestCase4, MAYBE, 3234)
(Incorrect_Arguments_1_T_Loop0_TestCase9, MAYBE, 3397)
(Incorrect_Arguments_1_T_Loop0_TestCase8, MAYBE, 3279)
(Incorrect_Arguments_1_T_Loop0_TestCase10, MAYBE, 3294)</t>
  </si>
  <si>
    <t>(Incorrect_Arguments_1_T_Loop0_TestCase1, MAYBE, 3220)
(Incorrect_Arguments_1_T_Loop0_TestCase3, MAYBE, 3245)
(Incorrect_Arguments_1_T_Loop0_TestCase2, MAYBE, 3276)
(Incorrect_Arguments_1_T_Loop0_TestCase6, MAYBE, 3357)
(Incorrect_Arguments_1_T_Loop0_TestCase7, MAYBE, 3175)
(Incorrect_Arguments_1_T_Loop0_TestCase5, MAYBE, 3243)
(Incorrect_Arguments_1_T_Loop0_TestCase4, MAYBE, 3249)
(Incorrect_Arguments_1_T_Loop0_TestCase9, MAYBE, 3302)
(Incorrect_Arguments_1_T_Loop0_TestCase8, MAYBE, 3226)
(Incorrect_Arguments_1_T_Loop0_TestCase10, MAYBE, 3223)</t>
  </si>
  <si>
    <t>(Incorrect_Arguments_1_T_Loop0_TestCase0, MAYBE, 3790)</t>
  </si>
  <si>
    <t>(Incorrect_Arguments_1_T_Loop0_TestCase0, MAYBE, 3785)</t>
  </si>
  <si>
    <t>(Incorrect_Arguments_1_NT_Loop0_TestCase1, MAYBE, 3247)
(Incorrect_Arguments_1_NT_Loop0_TestCase2, MAYBE, 3207)
(Incorrect_Arguments_1_NT_Loop0_TestCase3, MAYBE, 3221)
(Incorrect_Arguments_1_NT_Loop0_TestCase7, NO, 5974)
(Incorrect_Arguments_1_NT_Loop0_TestCase6, NO, 6206)
(Incorrect_Arguments_1_NT_Loop0_TestCase4, MAYBE, 3157)
(Incorrect_Arguments_1_NT_Loop0_TestCase5, MAYBE, 3298)
(Incorrect_Arguments_1_NT_Loop0_TestCase8, NO, 5693)
(Incorrect_Arguments_1_NT_Loop0_TestCase9, NO, 6125)
(Incorrect_Arguments_1_NT_Loop0_TestCase10, NO, 5908)</t>
  </si>
  <si>
    <t>(Incorrect_Arguments_1_NT_Loop0_TestCase1, MAYBE, 3260)
(Incorrect_Arguments_1_NT_Loop0_TestCase2, MAYBE, 3181)
(Incorrect_Arguments_1_NT_Loop0_TestCase3, MAYBE, 3238)
(Incorrect_Arguments_1_NT_Loop0_TestCase7, NO, 5879)
(Incorrect_Arguments_1_NT_Loop0_TestCase6, NO, 6030)
(Incorrect_Arguments_1_NT_Loop0_TestCase4, MAYBE, 3277)
(Incorrect_Arguments_1_NT_Loop0_TestCase5, MAYBE, 3228)
(Incorrect_Arguments_1_NT_Loop0_TestCase8, NO, 5854)
(Incorrect_Arguments_1_NT_Loop0_TestCase9, NO, 6045)
(Incorrect_Arguments_1_NT_Loop0_TestCase10, NO, 6051)</t>
  </si>
  <si>
    <t>(Incorrect_Arguments_1_NT_Loop0_TestCase0, MAYBE, 3758)</t>
  </si>
  <si>
    <t>(Incorrect_Arguments_1_NT_Loop0_TestCase0, MAYBE, 3991)</t>
  </si>
  <si>
    <t>(Misusing_Method_Overloading_4_T_Loop0_TestCase0, ERROR, 2462)</t>
  </si>
  <si>
    <t>(Misusing_Method_Overloading_4_T_Loop0_TestCase0, ERROR, 2469)</t>
  </si>
  <si>
    <t>(Misusing_Method_Overloading_4_T_Loop0_TestCase0, ERROR, 2444)</t>
  </si>
  <si>
    <t>(Misusing_Method_Overloading_4_T_Loop0_TestCase0, ERROR, 2456)</t>
  </si>
  <si>
    <t>(Misusing_Method_Overloading_4_NT_Loop0_TestCase0, ERROR, 2442)</t>
  </si>
  <si>
    <t>(Misusing_Method_Overloading_4_NT_Loop0_TestCase0, ERROR, 2432)</t>
  </si>
  <si>
    <t>(Misusing_Method_Overloading_4_NT_Loop0_TestCase0, ERROR, 2446)</t>
  </si>
  <si>
    <t>(Misusing_Method_Overloading_4_NT_Loop0_TestCase0, ERROR, 2431)</t>
  </si>
  <si>
    <t>(Misusing_Method_Overloading_3_T_Loop0_TestCase0, ERROR, 2447)</t>
  </si>
  <si>
    <t>(Misusing_Method_Overloading_3_T_Loop0_TestCase0, ERROR, 2455)</t>
  </si>
  <si>
    <t>(Misusing_Method_Overloading_3_T_Loop0_TestCase0, ERROR, 2451)</t>
  </si>
  <si>
    <t>(Misusing_Method_Overloading_3_T_Loop0_TestCase0, ERROR, 2445)</t>
  </si>
  <si>
    <t>(Misusing_Method_Overloading_3_NT_Loop0_TestCase0, ERROR, 2438)</t>
  </si>
  <si>
    <t>(Misusing_Method_Overloading_3_NT_Loop0_TestCase0, ERROR, 2458)</t>
  </si>
  <si>
    <t>(Misusing_Method_Overloading_3_NT_Loop0_TestCase0, ERROR, 2434)</t>
  </si>
  <si>
    <t>(Misusing_Method_Overloading_3_NT_Loop0_TestCase0, ERROR, 2473)</t>
  </si>
  <si>
    <t>(Misusing_Method_Overloading_2_T_Loop0_TestCase0, ERROR, 2449)</t>
  </si>
  <si>
    <t>(Misusing_Method_Overloading_2_T_Loop0_TestCase0, ERROR, 2442)</t>
  </si>
  <si>
    <t>(Misusing_Method_Overloading_2_T_Loop0_TestCase0, ERROR, 2448)</t>
  </si>
  <si>
    <t>(Misusing_Method_Overloading_2_T_Loop0_TestCase0, ERROR, 2432)</t>
  </si>
  <si>
    <t>(Misusing_Method_Overloading_2_NT_Loop0_TestCase0, ERROR, 2445)</t>
  </si>
  <si>
    <t>(Misusing_Method_Overloading_2_NT_Loop0_TestCase0, ERROR, 2432)</t>
  </si>
  <si>
    <t>(Misusing_Method_Overloading_2_NT_Loop0_TestCase0, ERROR, 2444)</t>
  </si>
  <si>
    <t>(Misusing_Method_Overloading_2_NT_Loop0_TestCase0, ERROR, 2456)</t>
  </si>
  <si>
    <t>(Misusing_Method_Overloading_1_T_Loop0_TestCase0, ERROR, 2467)</t>
  </si>
  <si>
    <t>(Misusing_Method_Overloading_1_T_Loop0_TestCase0, ERROR, 2442)</t>
  </si>
  <si>
    <t>(Misusing_Method_Overloading_1_T_Loop0_TestCase0, ERROR, 2462)</t>
  </si>
  <si>
    <t>(Misusing_Method_Overloading_1_T_Loop0_TestCase0, ERROR, 2423)</t>
  </si>
  <si>
    <t>(Misusing_Method_Overloading_1_NT_Loop0_TestCase0, ERROR, 2439)</t>
  </si>
  <si>
    <t>(Misusing_Method_Overloading_1_NT_Loop0_TestCase0, ERROR, 2457)</t>
  </si>
  <si>
    <t>(Misusing_Method_Overloading_1_NT_Loop0_TestCase0, ERROR, 2423)</t>
  </si>
  <si>
    <t>(Misusing_Method_Overloading_1_NT_Loop0_TestCase0, ERROR, 2448)</t>
  </si>
  <si>
    <t>(Missing_undef_Instruction_1_T_Loop0_TestCase0, ERROR, 2462)</t>
  </si>
  <si>
    <t>(Missing_undef_Instruction_1_T_Loop0_TestCase0, ERROR, 3967)</t>
  </si>
  <si>
    <t>(Missing_undef_Instruction_1_T_Loop0_TestCase0, ERROR, 2478)</t>
  </si>
  <si>
    <t>(Missing_undef_Instruction_1_T_Loop0_TestCase0, ERROR, 3921)</t>
  </si>
  <si>
    <t>(Missing_undef_Instruction_1_NT_Loop0_TestCase0, ERROR, 2504)</t>
  </si>
  <si>
    <t>(Missing_undef_Instruction_1_NT_Loop0_TestCase0, ERROR, 4033)</t>
  </si>
  <si>
    <t>(Missing_undef_Instruction_1_NT_Loop0_TestCase0, ERROR, 2488)</t>
  </si>
  <si>
    <t>(Missing_undef_Instruction_1_NT_Loop0_TestCase0, ERROR, 3967)</t>
  </si>
  <si>
    <t>(Miscalling_Inherited_Method_1_T_Loop0_TestCase0, ERROR, 2457)</t>
  </si>
  <si>
    <t>(Miscalling_Inherited_Method_1_T_Loop0_TestCase0, ERROR, 2441)</t>
  </si>
  <si>
    <t>(Miscalling_Inherited_Method_1_T_Loop0_TestCase0, ERROR, 2425)</t>
  </si>
  <si>
    <t>(Miscalling_Inherited_Method_1_T_Loop0_TestCase0, ERROR, 2429)</t>
  </si>
  <si>
    <t>(Miscalling_Inherited_Method_1_NT_Loop0_TestCase0, ERROR, 2446)</t>
  </si>
  <si>
    <t>(Miscalling_Inherited_Method_1_NT_Loop0_TestCase0, ERROR, 2433)</t>
  </si>
  <si>
    <t>(Miscalling_Inherited_Method_1_NT_Loop0_TestCase0, ERROR, 2452)</t>
  </si>
  <si>
    <t>(Miscalling_Inherited_Method_1_NT_Loop0_TestCase0, ERROR, 2427)</t>
  </si>
  <si>
    <t>(Incorrect_Return_2_T_Loop0_TestCase5, ERROR, 2596)
(Incorrect_Return_2_T_Loop0_TestCase4, ERROR, 2536)
(Incorrect_Return_2_T_Loop0_TestCase6, ERROR, 2491)
(Incorrect_Return_2_T_Loop0_TestCase7, ERROR, 3019)
(Incorrect_Return_2_T_Loop0_TestCase3, ERROR, 2538)
(Incorrect_Return_2_T_Loop0_TestCase2, ERROR, 2544)
(Incorrect_Return_2_T_Loop0_TestCase1, ERROR, 2538)
(Incorrect_Return_2_T_Loop0_TestCase10, ERROR, 2494)
(Incorrect_Return_2_T_Loop0_TestCase9, ERROR, 2479)
(Incorrect_Return_2_T_Loop0_TestCase8, ERROR, 2527)</t>
  </si>
  <si>
    <t>(Incorrect_Return_2_T_Loop0_TestCase5, ERROR, 2520)
(Incorrect_Return_2_T_Loop0_TestCase4, ERROR, 2573)
(Incorrect_Return_2_T_Loop0_TestCase6, ERROR, 2512)
(Incorrect_Return_2_T_Loop0_TestCase7, ERROR, 2508)
(Incorrect_Return_2_T_Loop0_TestCase3, ERROR, 2503)
(Incorrect_Return_2_T_Loop0_TestCase2, ERROR, 2513)
(Incorrect_Return_2_T_Loop0_TestCase1, ERROR, 2503)
(Incorrect_Return_2_T_Loop0_TestCase10, ERROR, 2508)
(Incorrect_Return_2_T_Loop0_TestCase9, ERROR, 2489)
(Incorrect_Return_2_T_Loop0_TestCase8, ERROR, 2536)</t>
  </si>
  <si>
    <t>(Incorrect_Return_2_T_Loop0_TestCase0, ERROR, 2482)</t>
  </si>
  <si>
    <t>(Incorrect_Return_2_T_Loop0_TestCase0, ERROR, 2456)</t>
  </si>
  <si>
    <t>(Incorrect_Return_2_NT_Loop0_TestCase8, ERROR, 2498)
(Incorrect_Return_2_NT_Loop0_TestCase9, ERROR, 2525)
(Incorrect_Return_2_NT_Loop0_TestCase4, ERROR, 2477)
(Incorrect_Return_2_NT_Loop0_TestCase5, ERROR, 2513)
(Incorrect_Return_2_NT_Loop0_TestCase7, ERROR, 2518)
(Incorrect_Return_2_NT_Loop0_TestCase10, ERROR, 2489)
(Incorrect_Return_2_NT_Loop0_TestCase6, ERROR, 2518)
(Incorrect_Return_2_NT_Loop0_TestCase2, ERROR, 2554)
(Incorrect_Return_2_NT_Loop0_TestCase3, ERROR, 2528)
(Incorrect_Return_2_NT_Loop0_TestCase1, ERROR, 2555)</t>
  </si>
  <si>
    <t>(Incorrect_Return_2_NT_Loop0_TestCase8, ERROR, 2643)
(Incorrect_Return_2_NT_Loop0_TestCase9, ERROR, 2542)
(Incorrect_Return_2_NT_Loop0_TestCase4, ERROR, 2494)
(Incorrect_Return_2_NT_Loop0_TestCase5, ERROR, 2540)
(Incorrect_Return_2_NT_Loop0_TestCase7, ERROR, 2540)
(Incorrect_Return_2_NT_Loop0_TestCase10, ERROR, 2461)
(Incorrect_Return_2_NT_Loop0_TestCase6, ERROR, 2549)
(Incorrect_Return_2_NT_Loop0_TestCase2, ERROR, 2548)
(Incorrect_Return_2_NT_Loop0_TestCase3, ERROR, 2730)
(Incorrect_Return_2_NT_Loop0_TestCase1, ERROR, 2521)</t>
  </si>
  <si>
    <t>(Incorrect_Return_2_NT_Loop0_TestCase0, ERROR, 2447)</t>
  </si>
  <si>
    <t>(Incorrect_Return_2_NT_Loop0_TestCase0, ERROR, 2449)</t>
  </si>
  <si>
    <t>(Incorrect_Return_1_T_Loop0_TestCase8, ERROR, 2553)
(Incorrect_Return_1_T_Loop0_TestCase9, ERROR, 2547)
(Incorrect_Return_1_T_Loop0_TestCase10, ERROR, 3053)
(Incorrect_Return_1_T_Loop0_TestCase1, ERROR, 2471)
(Incorrect_Return_1_T_Loop0_TestCase2, ERROR, 2572)
(Incorrect_Return_1_T_Loop0_TestCase3, ERROR, 2551)
(Incorrect_Return_1_T_Loop0_TestCase7, ERROR, 2626)
(Incorrect_Return_1_T_Loop0_TestCase6, ERROR, 2546)
(Incorrect_Return_1_T_Loop0_TestCase4, ERROR, 2593)
(Incorrect_Return_1_T_Loop0_TestCase5, ERROR, 2521)</t>
  </si>
  <si>
    <t>(Incorrect_Return_1_T_Loop0_TestCase8, ERROR, 4582)
(Incorrect_Return_1_T_Loop0_TestCase9, ERROR, 4280)
(Incorrect_Return_1_T_Loop0_TestCase10, ERROR, 4282)
(Incorrect_Return_1_T_Loop0_TestCase1, ERROR, 4229)
(Incorrect_Return_1_T_Loop0_TestCase2, ERROR, 4293)
(Incorrect_Return_1_T_Loop0_TestCase3, ERROR, 4277)
(Incorrect_Return_1_T_Loop0_TestCase7, ERROR, 4301)
(Incorrect_Return_1_T_Loop0_TestCase6, ERROR, 4423)
(Incorrect_Return_1_T_Loop0_TestCase4, ERROR, 4252)
(Incorrect_Return_1_T_Loop0_TestCase5, ERROR, 4252)</t>
  </si>
  <si>
    <t>(Incorrect_Return_1_T_Loop0_TestCase0, ERROR, 2501)</t>
  </si>
  <si>
    <t>(Incorrect_Return_1_T_Loop0_TestCase0, ERROR, 4193)</t>
  </si>
  <si>
    <t>(Incorrect_Return_1_NT_Loop0_TestCase8, ERROR, 2546)
(Incorrect_Return_1_NT_Loop0_TestCase9, ERROR, 2601)
(Incorrect_Return_1_NT_Loop0_TestCase10, ERROR, 2531)
(Incorrect_Return_1_NT_Loop0_TestCase1, ERROR, 2660)
(Incorrect_Return_1_NT_Loop0_TestCase2, ERROR, 2493)
(Incorrect_Return_1_NT_Loop0_TestCase3, ERROR, 2549)
(Incorrect_Return_1_NT_Loop0_TestCase7, ERROR, 2574)
(Incorrect_Return_1_NT_Loop0_TestCase6, ERROR, 2940)
(Incorrect_Return_1_NT_Loop0_TestCase4, ERROR, 2531)
(Incorrect_Return_1_NT_Loop0_TestCase5, ERROR, 2607)</t>
  </si>
  <si>
    <t>(Incorrect_Return_1_NT_Loop0_TestCase8, ERROR, 4503)
(Incorrect_Return_1_NT_Loop0_TestCase9, ERROR, 4299)
(Incorrect_Return_1_NT_Loop0_TestCase10, ERROR, 4275)
(Incorrect_Return_1_NT_Loop0_TestCase1, ERROR, 4295)
(Incorrect_Return_1_NT_Loop0_TestCase2, ERROR, 4369)
(Incorrect_Return_1_NT_Loop0_TestCase3, ERROR, 4319)
(Incorrect_Return_1_NT_Loop0_TestCase7, ERROR, 4332)
(Incorrect_Return_1_NT_Loop0_TestCase6, ERROR, 4333)
(Incorrect_Return_1_NT_Loop0_TestCase4, ERROR, 4273)
(Incorrect_Return_1_NT_Loop0_TestCase5, ERROR, 4321)</t>
  </si>
  <si>
    <t>(Incorrect_Return_1_NT_Loop0_TestCase0, ERROR, 2686)</t>
  </si>
  <si>
    <t>(Incorrect_Return_1_NT_Loop0_TestCase0, ERROR, 4228)</t>
  </si>
  <si>
    <t>(Incorrect_Cyclic_Invoking_3_T_Loop0_TestCase0, ERROR, 2451)</t>
  </si>
  <si>
    <t>(Incorrect_Cyclic_Invoking_3_T_Loop0_TestCase0, ERROR, 2460)</t>
  </si>
  <si>
    <t>(Incorrect_Cyclic_Invoking_3_T_Loop0_TestCase0, ERROR, 2438)</t>
  </si>
  <si>
    <t>(Incorrect_Cyclic_Invoking_3_NT_Loop0_TestCase0, ERROR, 2445)</t>
  </si>
  <si>
    <t>(Incorrect_Cyclic_Invoking_3_NT_Loop0_TestCase0, ERROR, 2451)</t>
  </si>
  <si>
    <t>(Incorrect_Cyclic_Invoking_3_NT_Loop0_TestCase0, ERROR, 2447)</t>
  </si>
  <si>
    <t>(Incorrect_Cyclic_Invoking_3_NT_Loop0_TestCase0, ERROR, 2434)</t>
  </si>
  <si>
    <t>(Incorrect_Cyclic_Invoking_2_T_Loop0_TestCase5, ERROR, 2522)
(Incorrect_Cyclic_Invoking_2_T_Loop0_TestCase4, ERROR, 2514)
(Incorrect_Cyclic_Invoking_2_T_Loop0_TestCase6, ERROR, 2549)
(Incorrect_Cyclic_Invoking_2_T_Loop0_TestCase7, ERROR, 2514)
(Incorrect_Cyclic_Invoking_2_T_Loop0_TestCase3, ERROR, 2497)
(Incorrect_Cyclic_Invoking_2_T_Loop0_TestCase2, ERROR, 2525)
(Incorrect_Cyclic_Invoking_2_T_Loop0_TestCase1, ERROR, 2526)
(Incorrect_Cyclic_Invoking_2_T_Loop0_TestCase10, ERROR, 2531)
(Incorrect_Cyclic_Invoking_2_T_Loop0_TestCase9, ERROR, 2549)
(Incorrect_Cyclic_Invoking_2_T_Loop0_TestCase8, ERROR, 2551)</t>
  </si>
  <si>
    <t>(Incorrect_Cyclic_Invoking_2_T_Loop0_TestCase5, ERROR, 4327)
(Incorrect_Cyclic_Invoking_2_T_Loop0_TestCase4, ERROR, 4230)
(Incorrect_Cyclic_Invoking_2_T_Loop0_TestCase6, ERROR, 4281)
(Incorrect_Cyclic_Invoking_2_T_Loop0_TestCase7, ERROR, 4301)
(Incorrect_Cyclic_Invoking_2_T_Loop0_TestCase3, ERROR, 4279)
(Incorrect_Cyclic_Invoking_2_T_Loop0_TestCase2, ERROR, 4282)
(Incorrect_Cyclic_Invoking_2_T_Loop0_TestCase1, ERROR, 4283)
(Incorrect_Cyclic_Invoking_2_T_Loop0_TestCase10, ERROR, 4278)
(Incorrect_Cyclic_Invoking_2_T_Loop0_TestCase9, ERROR, 4263)
(Incorrect_Cyclic_Invoking_2_T_Loop0_TestCase8, ERROR, 4248)</t>
  </si>
  <si>
    <t>(Incorrect_Cyclic_Invoking_2_T_Loop0_TestCase0, ERROR, 2488)</t>
  </si>
  <si>
    <t>(Incorrect_Cyclic_Invoking_2_T_Loop0_TestCase0, ERROR, 4162)</t>
  </si>
  <si>
    <t>(Incorrect_Cyclic_Invoking_2_NT_Loop0_TestCase1, ERROR, 2496)
(Incorrect_Cyclic_Invoking_2_NT_Loop0_TestCase3, ERROR, 2521)
(Incorrect_Cyclic_Invoking_2_NT_Loop0_TestCase2, ERROR, 2484)
(Incorrect_Cyclic_Invoking_2_NT_Loop0_TestCase6, ERROR, 2536)
(Incorrect_Cyclic_Invoking_2_NT_Loop0_TestCase7, ERROR, 2523)
(Incorrect_Cyclic_Invoking_2_NT_Loop0_TestCase5, ERROR, 2492)
(Incorrect_Cyclic_Invoking_2_NT_Loop0_TestCase4, ERROR, 2527)
(Incorrect_Cyclic_Invoking_2_NT_Loop0_TestCase9, ERROR, 2512)
(Incorrect_Cyclic_Invoking_2_NT_Loop0_TestCase8, ERROR, 2511)
(Incorrect_Cyclic_Invoking_2_NT_Loop0_TestCase10, ERROR, 2532)</t>
  </si>
  <si>
    <t>(Incorrect_Cyclic_Invoking_2_NT_Loop0_TestCase1, ERROR, 4231)
(Incorrect_Cyclic_Invoking_2_NT_Loop0_TestCase3, ERROR, 4237)
(Incorrect_Cyclic_Invoking_2_NT_Loop0_TestCase2, ERROR, 4243)
(Incorrect_Cyclic_Invoking_2_NT_Loop0_TestCase6, ERROR, 4218)
(Incorrect_Cyclic_Invoking_2_NT_Loop0_TestCase7, ERROR, 4214)
(Incorrect_Cyclic_Invoking_2_NT_Loop0_TestCase5, ERROR, 4172)
(Incorrect_Cyclic_Invoking_2_NT_Loop0_TestCase4, ERROR, 4250)
(Incorrect_Cyclic_Invoking_2_NT_Loop0_TestCase9, ERROR, 4210)
(Incorrect_Cyclic_Invoking_2_NT_Loop0_TestCase8, ERROR, 4209)
(Incorrect_Cyclic_Invoking_2_NT_Loop0_TestCase10, ERROR, 4264)</t>
  </si>
  <si>
    <t>(Incorrect_Cyclic_Invoking_2_NT_Loop0_TestCase0, ERROR, 2493)</t>
  </si>
  <si>
    <t>(Incorrect_Cyclic_Invoking_2_NT_Loop0_TestCase0, ERROR, 4144)</t>
  </si>
  <si>
    <t>(Incorrect_Cyclic_Invoking_1_T_Loop0_TestCase8, ERROR, 2532)
(Incorrect_Cyclic_Invoking_1_T_Loop0_TestCase9, ERROR, 2523)
(Incorrect_Cyclic_Invoking_1_T_Loop0_TestCase1, ERROR, 2510)
(Incorrect_Cyclic_Invoking_1_T_Loop0_TestCase2, ERROR, 2541)
(Incorrect_Cyclic_Invoking_1_T_Loop0_TestCase3, ERROR, 2547)
(Incorrect_Cyclic_Invoking_1_T_Loop0_TestCase7, ERROR, 2525)
(Incorrect_Cyclic_Invoking_1_T_Loop0_TestCase6, ERROR, 2539)
(Incorrect_Cyclic_Invoking_1_T_Loop0_TestCase4, ERROR, 2498)
(Incorrect_Cyclic_Invoking_1_T_Loop0_TestCase5, ERROR, 2558)
(Incorrect_Cyclic_Invoking_1_T_Loop0_TestCase10, ERROR, 2560)</t>
  </si>
  <si>
    <t>(Incorrect_Cyclic_Invoking_1_T_Loop0_TestCase8, ERROR, 4136)
(Incorrect_Cyclic_Invoking_1_T_Loop0_TestCase9, ERROR, 4180)
(Incorrect_Cyclic_Invoking_1_T_Loop0_TestCase1, ERROR, 4150)
(Incorrect_Cyclic_Invoking_1_T_Loop0_TestCase2, ERROR, 4159)
(Incorrect_Cyclic_Invoking_1_T_Loop0_TestCase3, ERROR, 4167)
(Incorrect_Cyclic_Invoking_1_T_Loop0_TestCase7, ERROR, 4219)
(Incorrect_Cyclic_Invoking_1_T_Loop0_TestCase6, ERROR, 4145)
(Incorrect_Cyclic_Invoking_1_T_Loop0_TestCase4, ERROR, 4109)
(Incorrect_Cyclic_Invoking_1_T_Loop0_TestCase5, ERROR, 4180)
(Incorrect_Cyclic_Invoking_1_T_Loop0_TestCase10, ERROR, 4199)</t>
  </si>
  <si>
    <t>(Incorrect_Cyclic_Invoking_1_T_Loop0_TestCase0, ERROR, 2480)</t>
  </si>
  <si>
    <t>(Incorrect_Cyclic_Invoking_1_T_Loop0_TestCase0, ERROR, 4142)</t>
  </si>
  <si>
    <t>(Incorrect_Cyclic_Invoking_1_NT_Loop0_TestCase5, ERROR, 2521)
(Incorrect_Cyclic_Invoking_1_NT_Loop0_TestCase4, ERROR, 2500)
(Incorrect_Cyclic_Invoking_1_NT_Loop0_TestCase6, ERROR, 2508)
(Incorrect_Cyclic_Invoking_1_NT_Loop0_TestCase7, ERROR, 2504)
(Incorrect_Cyclic_Invoking_1_NT_Loop0_TestCase3, ERROR, 2513)
(Incorrect_Cyclic_Invoking_1_NT_Loop0_TestCase2, ERROR, 2526)
(Incorrect_Cyclic_Invoking_1_NT_Loop0_TestCase1, ERROR, 2531)
(Incorrect_Cyclic_Invoking_1_NT_Loop0_TestCase10, ERROR, 2520)
(Incorrect_Cyclic_Invoking_1_NT_Loop0_TestCase9, ERROR, 2518)
(Incorrect_Cyclic_Invoking_1_NT_Loop0_TestCase8, ERROR, 2524)</t>
  </si>
  <si>
    <t>(Incorrect_Cyclic_Invoking_1_NT_Loop0_TestCase5, ERROR, 4086)
(Incorrect_Cyclic_Invoking_1_NT_Loop0_TestCase4, ERROR, 4047)
(Incorrect_Cyclic_Invoking_1_NT_Loop0_TestCase6, ERROR, 4127)
(Incorrect_Cyclic_Invoking_1_NT_Loop0_TestCase7, ERROR, 4084)
(Incorrect_Cyclic_Invoking_1_NT_Loop0_TestCase3, ERROR, 4131)
(Incorrect_Cyclic_Invoking_1_NT_Loop0_TestCase2, ERROR, 4133)
(Incorrect_Cyclic_Invoking_1_NT_Loop0_TestCase1, ERROR, 4154)
(Incorrect_Cyclic_Invoking_1_NT_Loop0_TestCase10, ERROR, 4131)
(Incorrect_Cyclic_Invoking_1_NT_Loop0_TestCase9, ERROR, 4126)
(Incorrect_Cyclic_Invoking_1_NT_Loop0_TestCase8, ERROR, 4140)</t>
  </si>
  <si>
    <t>(Incorrect_Cyclic_Invoking_1_NT_Loop0_TestCase0, ERROR, 2488)</t>
  </si>
  <si>
    <t>(Incorrect_Cyclic_Invoking_1_NT_Loop0_TestCase0, ERROR, 4189)</t>
  </si>
  <si>
    <t>(Incorrect_Arguments_1_T_Loop0_TestCase1, ERROR, 2531)
(Incorrect_Arguments_1_T_Loop0_TestCase3, ERROR, 2528)
(Incorrect_Arguments_1_T_Loop0_TestCase2, ERROR, 2525)
(Incorrect_Arguments_1_T_Loop0_TestCase6, ERROR, 2518)
(Incorrect_Arguments_1_T_Loop0_TestCase7, ERROR, 2507)
(Incorrect_Arguments_1_T_Loop0_TestCase5, ERROR, 2531)
(Incorrect_Arguments_1_T_Loop0_TestCase4, ERROR, 2494)
(Incorrect_Arguments_1_T_Loop0_TestCase9, ERROR, 2546)
(Incorrect_Arguments_1_T_Loop0_TestCase8, ERROR, 2522)
(Incorrect_Arguments_1_T_Loop0_TestCase10, ERROR, 2478)</t>
  </si>
  <si>
    <t>(Incorrect_Arguments_1_T_Loop0_TestCase1, ERROR, 2553)
(Incorrect_Arguments_1_T_Loop0_TestCase3, ERROR, 2505)
(Incorrect_Arguments_1_T_Loop0_TestCase2, ERROR, 2521)
(Incorrect_Arguments_1_T_Loop0_TestCase6, ERROR, 2530)
(Incorrect_Arguments_1_T_Loop0_TestCase7, ERROR, 2532)
(Incorrect_Arguments_1_T_Loop0_TestCase5, ERROR, 2501)
(Incorrect_Arguments_1_T_Loop0_TestCase4, ERROR, 2540)
(Incorrect_Arguments_1_T_Loop0_TestCase9, ERROR, 2506)
(Incorrect_Arguments_1_T_Loop0_TestCase8, ERROR, 2540)
(Incorrect_Arguments_1_T_Loop0_TestCase10, ERROR, 2497)</t>
  </si>
  <si>
    <t>(Incorrect_Arguments_1_T_Loop0_TestCase0, ERROR, 2499)</t>
  </si>
  <si>
    <t>(Incorrect_Arguments_1_T_Loop0_TestCase0, ERROR, 2480)</t>
  </si>
  <si>
    <t>(Incorrect_Arguments_1_NT_Loop0_TestCase1, ERROR, 2529)
(Incorrect_Arguments_1_NT_Loop0_TestCase2, ERROR, 2514)
(Incorrect_Arguments_1_NT_Loop0_TestCase3, ERROR, 2540)
(Incorrect_Arguments_1_NT_Loop0_TestCase7, ERROR, 2498)
(Incorrect_Arguments_1_NT_Loop0_TestCase6, ERROR, 2521)
(Incorrect_Arguments_1_NT_Loop0_TestCase4, ERROR, 2549)
(Incorrect_Arguments_1_NT_Loop0_TestCase5, ERROR, 2538)
(Incorrect_Arguments_1_NT_Loop0_TestCase8, ERROR, 2516)
(Incorrect_Arguments_1_NT_Loop0_TestCase9, ERROR, 2554)
(Incorrect_Arguments_1_NT_Loop0_TestCase10, ERROR, 2513)</t>
  </si>
  <si>
    <t>(Incorrect_Arguments_1_NT_Loop0_TestCase1, ERROR, 2566)
(Incorrect_Arguments_1_NT_Loop0_TestCase2, ERROR, 2513)
(Incorrect_Arguments_1_NT_Loop0_TestCase3, ERROR, 2528)
(Incorrect_Arguments_1_NT_Loop0_TestCase7, ERROR, 2490)
(Incorrect_Arguments_1_NT_Loop0_TestCase6, ERROR, 2509)
(Incorrect_Arguments_1_NT_Loop0_TestCase4, ERROR, 2538)
(Incorrect_Arguments_1_NT_Loop0_TestCase5, ERROR, 2552)
(Incorrect_Arguments_1_NT_Loop0_TestCase8, ERROR, 2563)
(Incorrect_Arguments_1_NT_Loop0_TestCase9, ERROR, 2538)
(Incorrect_Arguments_1_NT_Loop0_TestCase10, ERROR, 2541)</t>
  </si>
  <si>
    <t>(Incorrect_Arguments_1_NT_Loop0_TestCase0, ERROR, 2492)</t>
  </si>
  <si>
    <t>(Incorrect_Arguments_1_NT_Loop0_TestCase0, ERROR, 2649)</t>
  </si>
  <si>
    <t>(Misusing_Method_Overloading_4_T_Loop0_TestCase0, error, 260)</t>
  </si>
  <si>
    <t>(Misusing_Method_Overloading_4_T_Loop0_TestCase0, error, 279)</t>
  </si>
  <si>
    <t>(Misusing_Method_Overloading_4_T_Loop0_TestCase0, error, 252)</t>
  </si>
  <si>
    <t>(Misusing_Method_Overloading_4_NT_Loop0_TestCase0, error, 276)</t>
  </si>
  <si>
    <t>(Misusing_Method_Overloading_4_NT_Loop0_TestCase0, error, 275)</t>
  </si>
  <si>
    <t>(Misusing_Method_Overloading_4_NT_Loop0_TestCase0, error, 278)</t>
  </si>
  <si>
    <t>(Misusing_Method_Overloading_4_NT_Loop0_TestCase0, error, 260)</t>
  </si>
  <si>
    <t>(Misusing_Method_Overloading_3_T_Loop0_TestCase0, error, 272)</t>
  </si>
  <si>
    <t>(Misusing_Method_Overloading_3_T_Loop0_TestCase0, error, 285)</t>
  </si>
  <si>
    <t>(Misusing_Method_Overloading_3_T_Loop0_TestCase0, error, 260)</t>
  </si>
  <si>
    <t>(Misusing_Method_Overloading_3_T_Loop0_TestCase0, error, 278)</t>
  </si>
  <si>
    <t>(Misusing_Method_Overloading_3_NT_Loop0_TestCase0, error, 265)</t>
  </si>
  <si>
    <t>(Misusing_Method_Overloading_3_NT_Loop0_TestCase0, error, 263)</t>
  </si>
  <si>
    <t>(Misusing_Method_Overloading_3_NT_Loop0_TestCase0, error, 251)</t>
  </si>
  <si>
    <t>(Misusing_Method_Overloading_2_T_Loop0_TestCase0, error, 246)</t>
  </si>
  <si>
    <t>(Misusing_Method_Overloading_2_T_Loop0_TestCase0, error, 256)</t>
  </si>
  <si>
    <t>(Misusing_Method_Overloading_2_T_Loop0_TestCase0, error, 259)</t>
  </si>
  <si>
    <t>(Misusing_Method_Overloading_2_T_Loop0_TestCase0, error, 283)</t>
  </si>
  <si>
    <t>(Misusing_Method_Overloading_2_NT_Loop0_TestCase0, error, 275)</t>
  </si>
  <si>
    <t>(Misusing_Method_Overloading_2_NT_Loop0_TestCase0, error, 291)</t>
  </si>
  <si>
    <t>(Misusing_Method_Overloading_2_NT_Loop0_TestCase0, error, 293)</t>
  </si>
  <si>
    <t>(Misusing_Method_Overloading_2_NT_Loop0_TestCase0, error, 273)</t>
  </si>
  <si>
    <t>(Misusing_Method_Overloading_1_T_Loop0_TestCase0, error, 298)</t>
  </si>
  <si>
    <t>(Misusing_Method_Overloading_1_T_Loop0_TestCase0, error, 273)</t>
  </si>
  <si>
    <t>(Misusing_Method_Overloading_1_T_Loop0_TestCase0, error, 258)</t>
  </si>
  <si>
    <t>(Misusing_Method_Overloading_1_T_Loop0_TestCase0, error, 277)</t>
  </si>
  <si>
    <t>(Misusing_Method_Overloading_1_NT_Loop0_TestCase0, error, 272)</t>
  </si>
  <si>
    <t>(Misusing_Method_Overloading_1_NT_Loop0_TestCase0, error, 280)</t>
  </si>
  <si>
    <t>(Misusing_Method_Overloading_1_NT_Loop0_TestCase0, error, 279)</t>
  </si>
  <si>
    <t>(Misusing_Method_Overloading_1_NT_Loop0_TestCase0, error, 262)</t>
  </si>
  <si>
    <t>(Missing_undef_Instruction_1_T_Loop0_TestCase0, yes, 398)</t>
  </si>
  <si>
    <t>(Missing_undef_Instruction_1_T_Loop0_TestCase0, yes, 369)</t>
  </si>
  <si>
    <t>(Missing_undef_Instruction_1_T_Loop0_TestCase0, yes, 386)</t>
  </si>
  <si>
    <t>(Missing_undef_Instruction_1_T_Loop0_TestCase0, yes, 362)</t>
  </si>
  <si>
    <t>(Missing_undef_Instruction_1_NT_Loop0_TestCase0, yes, 328)</t>
  </si>
  <si>
    <t>(Missing_undef_Instruction_1_NT_Loop0_TestCase0, yes, 340)</t>
  </si>
  <si>
    <t>(Missing_undef_Instruction_1_NT_Loop0_TestCase0, yes, 319)</t>
  </si>
  <si>
    <t>(Miscalling_Inherited_Method_1_T_Loop0_TestCase0, error, 261)</t>
  </si>
  <si>
    <t>(Miscalling_Inherited_Method_1_T_Loop0_TestCase0, error, 257)</t>
  </si>
  <si>
    <t>(Miscalling_Inherited_Method_1_T_Loop0_TestCase0, error, 260)</t>
  </si>
  <si>
    <t>(Miscalling_Inherited_Method_1_NT_Loop0_TestCase0, error, 273)</t>
  </si>
  <si>
    <t>(Miscalling_Inherited_Method_1_NT_Loop0_TestCase0, error, 279)</t>
  </si>
  <si>
    <t>(Miscalling_Inherited_Method_1_NT_Loop0_TestCase0, error, 271)</t>
  </si>
  <si>
    <t>(Miscalling_Inherited_Method_1_NT_Loop0_TestCase0, error, 272)</t>
  </si>
  <si>
    <t>(Incorrect_Return_2_T_Loop0_TestCase5, error, 338)
(Incorrect_Return_2_T_Loop0_TestCase4, error, 336)
(Incorrect_Return_2_T_Loop0_TestCase6, error, 354)
(Incorrect_Return_2_T_Loop0_TestCase7, error, 325)
(Incorrect_Return_2_T_Loop0_TestCase3, error, 323)
(Incorrect_Return_2_T_Loop0_TestCase2, error, 324)
(Incorrect_Return_2_T_Loop0_TestCase1, error, 351)
(Incorrect_Return_2_T_Loop0_TestCase10, error, 317)
(Incorrect_Return_2_T_Loop0_TestCase9, error, 282)
(Incorrect_Return_2_T_Loop0_TestCase8, error, 383)</t>
  </si>
  <si>
    <t>(Incorrect_Return_2_T_Loop0_TestCase5, error, 328)
(Incorrect_Return_2_T_Loop0_TestCase4, error, 326)
(Incorrect_Return_2_T_Loop0_TestCase6, error, 323)
(Incorrect_Return_2_T_Loop0_TestCase7, error, 338)
(Incorrect_Return_2_T_Loop0_TestCase3, error, 328)
(Incorrect_Return_2_T_Loop0_TestCase2, error, 322)
(Incorrect_Return_2_T_Loop0_TestCase1, error, 332)
(Incorrect_Return_2_T_Loop0_TestCase10, error, 342)
(Incorrect_Return_2_T_Loop0_TestCase9, error, 263)
(Incorrect_Return_2_T_Loop0_TestCase8, error, 338)</t>
  </si>
  <si>
    <t>(Incorrect_Return_2_T_Loop0_TestCase0, error, 281)</t>
  </si>
  <si>
    <t>(Incorrect_Return_2_T_Loop0_TestCase0, error, 265)</t>
  </si>
  <si>
    <t>(Incorrect_Return_2_NT_Loop0_TestCase8, error, 352)
(Incorrect_Return_2_NT_Loop0_TestCase9, error, 356)
(Incorrect_Return_2_NT_Loop0_TestCase4, error, 332)
(Incorrect_Return_2_NT_Loop0_TestCase5, error, 253)
(Incorrect_Return_2_NT_Loop0_TestCase7, error, 305)
(Incorrect_Return_2_NT_Loop0_TestCase10, error, 270)
(Incorrect_Return_2_NT_Loop0_TestCase6, error, 330)
(Incorrect_Return_2_NT_Loop0_TestCase2, error, 368)
(Incorrect_Return_2_NT_Loop0_TestCase3, error, 363)
(Incorrect_Return_2_NT_Loop0_TestCase1, error, 332)</t>
  </si>
  <si>
    <t>(Incorrect_Return_2_NT_Loop0_TestCase8, error, 330)
(Incorrect_Return_2_NT_Loop0_TestCase9, error, 344)
(Incorrect_Return_2_NT_Loop0_TestCase4, error, 343)
(Incorrect_Return_2_NT_Loop0_TestCase5, error, 324)
(Incorrect_Return_2_NT_Loop0_TestCase7, error, 326)
(Incorrect_Return_2_NT_Loop0_TestCase10, error, 255)
(Incorrect_Return_2_NT_Loop0_TestCase6, error, 341)
(Incorrect_Return_2_NT_Loop0_TestCase2, error, 344)
(Incorrect_Return_2_NT_Loop0_TestCase3, error, 346)
(Incorrect_Return_2_NT_Loop0_TestCase1, error, 387)</t>
  </si>
  <si>
    <t>(Incorrect_Return_2_NT_Loop0_TestCase0, error, 252)</t>
  </si>
  <si>
    <t>(Incorrect_Return_2_NT_Loop0_TestCase0, error, 261)</t>
  </si>
  <si>
    <t>(Incorrect_Return_1_T_Loop0_TestCase8, yes, 666)
(Incorrect_Return_1_T_Loop0_TestCase9, yes, 660)
(Incorrect_Return_1_T_Loop0_TestCase10, yes, 653)
(Incorrect_Return_1_T_Loop0_TestCase1, yes, 596)
(Incorrect_Return_1_T_Loop0_TestCase2, yes, 780)
(Incorrect_Return_1_T_Loop0_TestCase3, yes, 637)
(Incorrect_Return_1_T_Loop0_TestCase7, yes, 644)
(Incorrect_Return_1_T_Loop0_TestCase6, yes, 639)
(Incorrect_Return_1_T_Loop0_TestCase4, yes, 640)
(Incorrect_Return_1_T_Loop0_TestCase5, yes, 645)</t>
  </si>
  <si>
    <t>(Incorrect_Return_1_T_Loop0_TestCase8, yes, 663)
(Incorrect_Return_1_T_Loop0_TestCase9, yes, 666)
(Incorrect_Return_1_T_Loop0_TestCase10, yes, 645)
(Incorrect_Return_1_T_Loop0_TestCase1, yes, 606)
(Incorrect_Return_1_T_Loop0_TestCase2, yes, 642)
(Incorrect_Return_1_T_Loop0_TestCase3, yes, 645)
(Incorrect_Return_1_T_Loop0_TestCase7, yes, 633)
(Incorrect_Return_1_T_Loop0_TestCase6, yes, 643)
(Incorrect_Return_1_T_Loop0_TestCase4, yes, 641)
(Incorrect_Return_1_T_Loop0_TestCase5, yes, 637)</t>
  </si>
  <si>
    <t>(Incorrect_Return_1_T_Loop0_TestCase0, yes, 563)</t>
  </si>
  <si>
    <t>(Incorrect_Return_1_T_Loop0_TestCase0, yes, 532)</t>
  </si>
  <si>
    <t>(Incorrect_Return_1_NT_Loop0_TestCase8, yes, 663)
(Incorrect_Return_1_NT_Loop0_TestCase9, yes, 757)
(Incorrect_Return_1_NT_Loop0_TestCase10, yes, 661)
(Incorrect_Return_1_NT_Loop0_TestCase1, yes, 666)
(Incorrect_Return_1_NT_Loop0_TestCase2, yes, 613)
(Incorrect_Return_1_NT_Loop0_TestCase3, yes, 684)
(Incorrect_Return_1_NT_Loop0_TestCase7, yes, 671)
(Incorrect_Return_1_NT_Loop0_TestCase6, yes, 649)
(Incorrect_Return_1_NT_Loop0_TestCase4, yes, 722)
(Incorrect_Return_1_NT_Loop0_TestCase5, yes, 649)</t>
  </si>
  <si>
    <t>(Incorrect_Return_1_NT_Loop0_TestCase8, yes, 699)
(Incorrect_Return_1_NT_Loop0_TestCase9, yes, 650)
(Incorrect_Return_1_NT_Loop0_TestCase10, yes, 662)
(Incorrect_Return_1_NT_Loop0_TestCase1, yes, 639)
(Incorrect_Return_1_NT_Loop0_TestCase2, yes, 593)
(Incorrect_Return_1_NT_Loop0_TestCase3, yes, 664)
(Incorrect_Return_1_NT_Loop0_TestCase7, yes, 661)
(Incorrect_Return_1_NT_Loop0_TestCase6, yes, 666)
(Incorrect_Return_1_NT_Loop0_TestCase4, yes, 751)
(Incorrect_Return_1_NT_Loop0_TestCase5, yes, 768)</t>
  </si>
  <si>
    <t>(Incorrect_Return_1_NT_Loop0_TestCase0, yes, 624)</t>
  </si>
  <si>
    <t>(Incorrect_Return_1_NT_Loop0_TestCase0, yes, 544)</t>
  </si>
  <si>
    <t>(Incorrect_Cyclic_Invoking_3_T_Loop0_TestCase0, error, 273)</t>
  </si>
  <si>
    <t>(Incorrect_Cyclic_Invoking_3_T_Loop0_TestCase0, error, 277)</t>
  </si>
  <si>
    <t>(Incorrect_Cyclic_Invoking_3_T_Loop0_TestCase0, error, 286)</t>
  </si>
  <si>
    <t>(Incorrect_Cyclic_Invoking_3_T_Loop0_TestCase0, error, 267)</t>
  </si>
  <si>
    <t>(Incorrect_Cyclic_Invoking_3_NT_Loop0_TestCase0, error, 264)</t>
  </si>
  <si>
    <t>(Incorrect_Cyclic_Invoking_3_NT_Loop0_TestCase0, error, 257)</t>
  </si>
  <si>
    <t>(Incorrect_Cyclic_Invoking_3_NT_Loop0_TestCase0, error, 280)</t>
  </si>
  <si>
    <t>(Incorrect_Cyclic_Invoking_2_T_Loop0_TestCase5, yes, 407)
(Incorrect_Cyclic_Invoking_2_T_Loop0_TestCase4, yes, 364)
(Incorrect_Cyclic_Invoking_2_T_Loop0_TestCase6, yes, 403)
(Incorrect_Cyclic_Invoking_2_T_Loop0_TestCase7, yes, 402)
(Incorrect_Cyclic_Invoking_2_T_Loop0_TestCase3, yes, 433)
(Incorrect_Cyclic_Invoking_2_T_Loop0_TestCase2, yes, 412)
(Incorrect_Cyclic_Invoking_2_T_Loop0_TestCase1, yes, 409)
(Incorrect_Cyclic_Invoking_2_T_Loop0_TestCase10, yes, 396)
(Incorrect_Cyclic_Invoking_2_T_Loop0_TestCase9, yes, 419)
(Incorrect_Cyclic_Invoking_2_T_Loop0_TestCase8, yes, 421)</t>
  </si>
  <si>
    <t>(Incorrect_Cyclic_Invoking_2_T_Loop0_TestCase5, yes, 419)
(Incorrect_Cyclic_Invoking_2_T_Loop0_TestCase4, yes, 326)
(Incorrect_Cyclic_Invoking_2_T_Loop0_TestCase6, yes, 419)
(Incorrect_Cyclic_Invoking_2_T_Loop0_TestCase7, yes, 404)
(Incorrect_Cyclic_Invoking_2_T_Loop0_TestCase3, yes, 421)
(Incorrect_Cyclic_Invoking_2_T_Loop0_TestCase2, yes, 403)
(Incorrect_Cyclic_Invoking_2_T_Loop0_TestCase1, yes, 416)
(Incorrect_Cyclic_Invoking_2_T_Loop0_TestCase10, yes, 410)
(Incorrect_Cyclic_Invoking_2_T_Loop0_TestCase9, yes, 410)
(Incorrect_Cyclic_Invoking_2_T_Loop0_TestCase8, yes, 391)</t>
  </si>
  <si>
    <t>(Incorrect_Cyclic_Invoking_2_T_Loop0_TestCase0, yes, 355)</t>
  </si>
  <si>
    <t>(Incorrect_Cyclic_Invoking_2_T_Loop0_TestCase0, yes, 341)</t>
  </si>
  <si>
    <t>(Incorrect_Cyclic_Invoking_2_NT_Loop0_TestCase1, yes, 359)
(Incorrect_Cyclic_Invoking_2_NT_Loop0_TestCase3, yes, 387)
(Incorrect_Cyclic_Invoking_2_NT_Loop0_TestCase2, yes, 380)
(Incorrect_Cyclic_Invoking_2_NT_Loop0_TestCase6, yes, 387)
(Incorrect_Cyclic_Invoking_2_NT_Loop0_TestCase7, yes, 380)
(Incorrect_Cyclic_Invoking_2_NT_Loop0_TestCase5, yes, 330)
(Incorrect_Cyclic_Invoking_2_NT_Loop0_TestCase4, yes, 360)
(Incorrect_Cyclic_Invoking_2_NT_Loop0_TestCase9, yes, 376)
(Incorrect_Cyclic_Invoking_2_NT_Loop0_TestCase8, yes, 369)
(Incorrect_Cyclic_Invoking_2_NT_Loop0_TestCase10, yes, 374)</t>
  </si>
  <si>
    <t>(Incorrect_Cyclic_Invoking_2_NT_Loop0_TestCase1, yes, 374)
(Incorrect_Cyclic_Invoking_2_NT_Loop0_TestCase3, yes, 385)
(Incorrect_Cyclic_Invoking_2_NT_Loop0_TestCase2, yes, 369)
(Incorrect_Cyclic_Invoking_2_NT_Loop0_TestCase6, yes, 369)
(Incorrect_Cyclic_Invoking_2_NT_Loop0_TestCase7, yes, 375)
(Incorrect_Cyclic_Invoking_2_NT_Loop0_TestCase5, yes, 320)
(Incorrect_Cyclic_Invoking_2_NT_Loop0_TestCase4, yes, 369)
(Incorrect_Cyclic_Invoking_2_NT_Loop0_TestCase9, yes, 353)
(Incorrect_Cyclic_Invoking_2_NT_Loop0_TestCase8, yes, 443)
(Incorrect_Cyclic_Invoking_2_NT_Loop0_TestCase10, yes, 356)</t>
  </si>
  <si>
    <t>(Incorrect_Cyclic_Invoking_2_NT_Loop0_TestCase0, yes, 303)</t>
  </si>
  <si>
    <t>(Incorrect_Cyclic_Invoking_2_NT_Loop0_TestCase0, yes, 308)</t>
  </si>
  <si>
    <t>(Incorrect_Cyclic_Invoking_1_T_Loop0_TestCase8, yes, 454)
(Incorrect_Cyclic_Invoking_1_T_Loop0_TestCase9, yes, 465)
(Incorrect_Cyclic_Invoking_1_T_Loop0_TestCase1, yes, 471)
(Incorrect_Cyclic_Invoking_1_T_Loop0_TestCase2, yes, 475)
(Incorrect_Cyclic_Invoking_1_T_Loop0_TestCase3, yes, 450)
(Incorrect_Cyclic_Invoking_1_T_Loop0_TestCase7, yes, 465)
(Incorrect_Cyclic_Invoking_1_T_Loop0_TestCase6, yes, 454)
(Incorrect_Cyclic_Invoking_1_T_Loop0_TestCase4, yes, 441)
(Incorrect_Cyclic_Invoking_1_T_Loop0_TestCase5, yes, 468)
(Incorrect_Cyclic_Invoking_1_T_Loop0_TestCase10, yes, 465)</t>
  </si>
  <si>
    <t>(Incorrect_Cyclic_Invoking_1_T_Loop0_TestCase8, yes, 463)
(Incorrect_Cyclic_Invoking_1_T_Loop0_TestCase9, yes, 454)
(Incorrect_Cyclic_Invoking_1_T_Loop0_TestCase1, yes, 457)
(Incorrect_Cyclic_Invoking_1_T_Loop0_TestCase2, yes, 476)
(Incorrect_Cyclic_Invoking_1_T_Loop0_TestCase3, yes, 458)
(Incorrect_Cyclic_Invoking_1_T_Loop0_TestCase7, yes, 461)
(Incorrect_Cyclic_Invoking_1_T_Loop0_TestCase6, yes, 447)
(Incorrect_Cyclic_Invoking_1_T_Loop0_TestCase4, yes, 428)
(Incorrect_Cyclic_Invoking_1_T_Loop0_TestCase5, yes, 437)
(Incorrect_Cyclic_Invoking_1_T_Loop0_TestCase10, yes, 459)</t>
  </si>
  <si>
    <t>(Incorrect_Cyclic_Invoking_1_T_Loop0_TestCase0, yes, 424)</t>
  </si>
  <si>
    <t>(Incorrect_Cyclic_Invoking_1_T_Loop0_TestCase0, yes, 397)</t>
  </si>
  <si>
    <t>(Incorrect_Cyclic_Invoking_1_NT_Loop0_TestCase5, error, 2019)
(Incorrect_Cyclic_Invoking_1_NT_Loop0_TestCase4, error, 1938)
(Incorrect_Cyclic_Invoking_1_NT_Loop0_TestCase6, error, 2003)
(Incorrect_Cyclic_Invoking_1_NT_Loop0_TestCase7, error, 2031)
(Incorrect_Cyclic_Invoking_1_NT_Loop0_TestCase3, error, 1988)
(Incorrect_Cyclic_Invoking_1_NT_Loop0_TestCase2, error, 2014)
(Incorrect_Cyclic_Invoking_1_NT_Loop0_TestCase1, error, 1998)
(Incorrect_Cyclic_Invoking_1_NT_Loop0_TestCase10, error, 2004)
(Incorrect_Cyclic_Invoking_1_NT_Loop0_TestCase9, error, 2011)
(Incorrect_Cyclic_Invoking_1_NT_Loop0_TestCase8, error, 2036)</t>
  </si>
  <si>
    <t>(Incorrect_Cyclic_Invoking_1_NT_Loop0_TestCase5, error, 2006)
(Incorrect_Cyclic_Invoking_1_NT_Loop0_TestCase4, error, 1959)
(Incorrect_Cyclic_Invoking_1_NT_Loop0_TestCase6, error, 2009)
(Incorrect_Cyclic_Invoking_1_NT_Loop0_TestCase7, error, 1984)
(Incorrect_Cyclic_Invoking_1_NT_Loop0_TestCase3, error, 2005)
(Incorrect_Cyclic_Invoking_1_NT_Loop0_TestCase2, error, 1994)
(Incorrect_Cyclic_Invoking_1_NT_Loop0_TestCase1, error, 2020)
(Incorrect_Cyclic_Invoking_1_NT_Loop0_TestCase10, error, 2018)
(Incorrect_Cyclic_Invoking_1_NT_Loop0_TestCase9, error, 2008)
(Incorrect_Cyclic_Invoking_1_NT_Loop0_TestCase8, error, 2011)</t>
  </si>
  <si>
    <t>(Incorrect_Cyclic_Invoking_1_NT_Loop0_TestCase0, error, 1985)</t>
  </si>
  <si>
    <t>(Incorrect_Cyclic_Invoking_1_NT_Loop0_TestCase0, error, 1967)</t>
  </si>
  <si>
    <t>(Incorrect_Arguments_1_T_Loop0_TestCase1, error, 2349)
(Incorrect_Arguments_1_T_Loop0_TestCase3, error, 2328)
(Incorrect_Arguments_1_T_Loop0_TestCase2, error, 2343)
(Incorrect_Arguments_1_T_Loop0_TestCase6, error, 2341)
(Incorrect_Arguments_1_T_Loop0_TestCase7, error, 2337)
(Incorrect_Arguments_1_T_Loop0_TestCase5, error, 2369)
(Incorrect_Arguments_1_T_Loop0_TestCase4, error, 2343)
(Incorrect_Arguments_1_T_Loop0_TestCase9, error, 2340)
(Incorrect_Arguments_1_T_Loop0_TestCase8, error, 2324)
(Incorrect_Arguments_1_T_Loop0_TestCase10, error, 2293)</t>
  </si>
  <si>
    <t>(Incorrect_Arguments_1_T_Loop0_TestCase1, error, 2381)
(Incorrect_Arguments_1_T_Loop0_TestCase3, error, 2365)
(Incorrect_Arguments_1_T_Loop0_TestCase2, error, 2382)
(Incorrect_Arguments_1_T_Loop0_TestCase6, error, 2357)
(Incorrect_Arguments_1_T_Loop0_TestCase7, error, 2373)
(Incorrect_Arguments_1_T_Loop0_TestCase5, error, 2341)
(Incorrect_Arguments_1_T_Loop0_TestCase4, error, 2375)
(Incorrect_Arguments_1_T_Loop0_TestCase9, error, 2409)
(Incorrect_Arguments_1_T_Loop0_TestCase8, error, 2367)
(Incorrect_Arguments_1_T_Loop0_TestCase10, error, 2329)</t>
  </si>
  <si>
    <t>(Incorrect_Arguments_1_T_Loop0_TestCase0, error, 2333)</t>
  </si>
  <si>
    <t>(Incorrect_Arguments_1_T_Loop0_TestCase0, error, 2299)</t>
  </si>
  <si>
    <t>(Incorrect_Arguments_1_NT_Loop0_TestCase1, error, 2323)
(Incorrect_Arguments_1_NT_Loop0_TestCase2, error, 2327)
(Incorrect_Arguments_1_NT_Loop0_TestCase3, error, 2339)
(Incorrect_Arguments_1_NT_Loop0_TestCase7, error, 2301)
(Incorrect_Arguments_1_NT_Loop0_TestCase6, error, 2350)
(Incorrect_Arguments_1_NT_Loop0_TestCase4, error, 2367)
(Incorrect_Arguments_1_NT_Loop0_TestCase5, error, 2335)
(Incorrect_Arguments_1_NT_Loop0_TestCase8, error, 2337)
(Incorrect_Arguments_1_NT_Loop0_TestCase9, error, 2336)
(Incorrect_Arguments_1_NT_Loop0_TestCase10, error, 2318)</t>
  </si>
  <si>
    <t>(Incorrect_Arguments_1_NT_Loop0_TestCase1, error, 2337)
(Incorrect_Arguments_1_NT_Loop0_TestCase2, error, 2335)
(Incorrect_Arguments_1_NT_Loop0_TestCase3, error, 2350)
(Incorrect_Arguments_1_NT_Loop0_TestCase7, error, 2156)
(Incorrect_Arguments_1_NT_Loop0_TestCase6, error, 2336)
(Incorrect_Arguments_1_NT_Loop0_TestCase4, error, 2337)
(Incorrect_Arguments_1_NT_Loop0_TestCase5, error, 2379)
(Incorrect_Arguments_1_NT_Loop0_TestCase8, error, 2326)
(Incorrect_Arguments_1_NT_Loop0_TestCase9, error, 2327)
(Incorrect_Arguments_1_NT_Loop0_TestCase10, error, 2375)</t>
  </si>
  <si>
    <t>(Incorrect_Arguments_1_NT_Loop0_TestCase0, error, 2322)</t>
  </si>
  <si>
    <t>(Incorrect_Arguments_1_NT_Loop0_TestCase0, error, 1879)</t>
  </si>
  <si>
    <t>14/30</t>
  </si>
  <si>
    <t>(FSE_Bitvector_Mode_Using_Erroneous_Condition_3_T_Loop17_TestCase10, YES, 1763)
(FSE_Bitvector_Mode_Using_Erroneous_Condition_3_T_Loop17_TestCase8, YES, 1766)
(FSE_Bitvector_Mode_Using_Erroneous_Condition_3_T_Loop17_TestCase9, YES, 1793)
(FSE_Bitvector_Mode_Using_Erroneous_Condition_3_T_Loop27_TestCase9, TIMEOUT, 301764)
(FSE_Bitvector_Mode_Using_Erroneous_Condition_3_T_Loop27_TestCase8, TIMEOUT, 302304)
(FSE_Bitvector_Mode_Using_Erroneous_Condition_3_T_Loop24_TestCase9, TIMEOUT, 301745)
(FSE_Bitvector_Mode_Using_Erroneous_Condition_3_T_Loop24_TestCase8, TIMEOUT, 301878)
(FSE_Bitvector_Mode_Using_Erroneous_Condition_3_T_Loop24_TestCase5, TIMEOUT, 302409)
(FSE_Bitvector_Mode_Using_Erroneous_Condition_3_T_Loop24_TestCase4, TIMEOUT, 302157)
(FSE_Bitvector_Mode_Using_Erroneous_Condition_3_T_Loop27_TestCase1, TIMEOUT, 301859)
(FSE_Bitvector_Mode_Using_Erroneous_Condition_3_T_Loop27_TestCase3, YES, 1763)
(FSE_Bitvector_Mode_Using_Erroneous_Condition_3_T_Loop24_TestCase6, TIMEOUT, 301824)
(FSE_Bitvector_Mode_Using_Erroneous_Condition_3_T_Loop24_TestCase7, TIMEOUT, 301771)
(FSE_Bitvector_Mode_Using_Erroneous_Condition_3_T_Loop27_TestCase2, YES, 3314)
(FSE_Bitvector_Mode_Using_Erroneous_Condition_3_T_Loop27_TestCase6, TIMEOUT, 301743)
(FSE_Bitvector_Mode_Using_Erroneous_Condition_3_T_Loop24_TestCase3, YES, 1982)
(FSE_Bitvector_Mode_Using_Erroneous_Condition_3_T_Loop24_TestCase2, YES, 1802)
(FSE_Bitvector_Mode_Using_Erroneous_Condition_3_T_Loop27_TestCase10, TIMEOUT, 301770)
(FSE_Bitvector_Mode_Using_Erroneous_Condition_3_T_Loop27_TestCase7, TIMEOUT, 301744)
(FSE_Bitvector_Mode_Using_Erroneous_Condition_3_T_Loop27_TestCase5, TIMEOUT, 301918)
(FSE_Bitvector_Mode_Using_Erroneous_Condition_3_T_Loop24_TestCase1, TIMEOUT, 301761)
(FSE_Bitvector_Mode_Using_Erroneous_Condition_3_T_Loop27_TestCase4, TIMEOUT, 301743)
(FSE_Bitvector_Mode_Using_Erroneous_Condition_3_T_Loop17_TestCase1, YES, 1758)
(FSE_Bitvector_Mode_Using_Erroneous_Condition_3_T_Loop17_TestCase2, YES, 1771)
(FSE_Bitvector_Mode_Using_Erroneous_Condition_3_T_Loop17_TestCase3, YES, 1805)
(FSE_Bitvector_Mode_Using_Erroneous_Condition_3_T_Loop24_TestCase10, TIMEOUT, 302262)
(FSE_Bitvector_Mode_Using_Erroneous_Condition_3_T_Loop17_TestCase7, YES, 2053)
(FSE_Bitvector_Mode_Using_Erroneous_Condition_3_T_Loop17_TestCase6, YES, 1777)
(FSE_Bitvector_Mode_Using_Erroneous_Condition_3_T_Loop17_TestCase4, YES, 1934)
(FSE_Bitvector_Mode_Using_Erroneous_Condition_3_T_Loop17_TestCase5, YES, 4824)</t>
  </si>
  <si>
    <t>2/10</t>
  </si>
  <si>
    <t>(FSE_Bitvector_Mode_Using_Erroneous_Condition_3_T_Loop0_TestCase3, YES, 1822)
(FSE_Bitvector_Mode_Using_Erroneous_Condition_3_T_Loop0_TestCase2, YES, 1765)
(FSE_Bitvector_Mode_Using_Erroneous_Condition_3_T_Loop0_TestCase1, TIMEOUT, 301876)
(FSE_Bitvector_Mode_Using_Erroneous_Condition_3_T_Loop0_TestCase5, TIMEOUT, 301849)
(FSE_Bitvector_Mode_Using_Erroneous_Condition_3_T_Loop0_TestCase4, TIMEOUT, 301714)
(FSE_Bitvector_Mode_Using_Erroneous_Condition_3_T_Loop0_TestCase6, TIMEOUT, 301896)
(FSE_Bitvector_Mode_Using_Erroneous_Condition_3_T_Loop0_TestCase7, TIMEOUT, 301719)
(FSE_Bitvector_Mode_Using_Erroneous_Condition_3_T_Loop0_TestCase10, TIMEOUT, 301689)
(FSE_Bitvector_Mode_Using_Erroneous_Condition_3_T_Loop0_TestCase9, TIMEOUT, 301701)
(FSE_Bitvector_Mode_Using_Erroneous_Condition_3_T_Loop0_TestCase8, TIMEOUT, 301952)</t>
  </si>
  <si>
    <t>1/3</t>
  </si>
  <si>
    <t>(FSE_Bitvector_Mode_Using_Erroneous_Condition_3_T_Loop27_TestCase0, TIMEOUT, 301770)
(FSE_Bitvector_Mode_Using_Erroneous_Condition_3_T_Loop24_TestCase0, TIMEOUT, 302048)
(FSE_Bitvector_Mode_Using_Erroneous_Condition_3_T_Loop17_TestCase0, YES, 1957)</t>
  </si>
  <si>
    <t>(FSE_Bitvector_Mode_Using_Erroneous_Condition_3_T_Loop0_TestCase0, TIMEOUT, 301832)</t>
  </si>
  <si>
    <t>20/30</t>
  </si>
  <si>
    <t>10/20</t>
  </si>
  <si>
    <t>(FSE_Bitvector_Mode_Using_Erroneous_Condition_3_NT_Loop27_TestCase2, NO, 2918)
(FSE_Bitvector_Mode_Using_Erroneous_Condition_3_NT_Loop24_TestCase7, NO, 7195)
(FSE_Bitvector_Mode_Using_Erroneous_Condition_3_NT_Loop24_TestCase6, NO, 3074)
(FSE_Bitvector_Mode_Using_Erroneous_Condition_3_NT_Loop27_TestCase3, NO, 3348)
(FSE_Bitvector_Mode_Using_Erroneous_Condition_3_NT_Loop27_TestCase1, NO, 2856)
(FSE_Bitvector_Mode_Using_Erroneous_Condition_3_NT_Loop24_TestCase4, NO, 2821)
(FSE_Bitvector_Mode_Using_Erroneous_Condition_3_NT_Loop24_TestCase5, NO, 7110)
(FSE_Bitvector_Mode_Using_Erroneous_Condition_3_NT_Loop27_TestCase4, NO, 2276)
(FSE_Bitvector_Mode_Using_Erroneous_Condition_3_NT_Loop24_TestCase1, NO, 2203)
(FSE_Bitvector_Mode_Using_Erroneous_Condition_3_NT_Loop27_TestCase5, NO, 3450)
(FSE_Bitvector_Mode_Using_Erroneous_Condition_3_NT_Loop27_TestCase7, NO, 3294)
(FSE_Bitvector_Mode_Using_Erroneous_Condition_3_NT_Loop24_TestCase10, NO, 3338)
(FSE_Bitvector_Mode_Using_Erroneous_Condition_3_NT_Loop24_TestCase2, NO, 3115)
(FSE_Bitvector_Mode_Using_Erroneous_Condition_3_NT_Loop24_TestCase3, NO, 3539)
(FSE_Bitvector_Mode_Using_Erroneous_Condition_3_NT_Loop27_TestCase6, NO, 2945)
(FSE_Bitvector_Mode_Using_Erroneous_Condition_3_NT_Loop17_TestCase3, YES, 1781)
(FSE_Bitvector_Mode_Using_Erroneous_Condition_3_NT_Loop17_TestCase2, YES, 1727)
(FSE_Bitvector_Mode_Using_Erroneous_Condition_3_NT_Loop17_TestCase1, YES, 1746)
(FSE_Bitvector_Mode_Using_Erroneous_Condition_3_NT_Loop17_TestCase5, YES, 1770)
(FSE_Bitvector_Mode_Using_Erroneous_Condition_3_NT_Loop17_TestCase4, YES, 1759)
(FSE_Bitvector_Mode_Using_Erroneous_Condition_3_NT_Loop17_TestCase6, YES, 1737)
(FSE_Bitvector_Mode_Using_Erroneous_Condition_3_NT_Loop17_TestCase7, YES, 5399)
(FSE_Bitvector_Mode_Using_Erroneous_Condition_3_NT_Loop27_TestCase10, NO, 3180)
(FSE_Bitvector_Mode_Using_Erroneous_Condition_3_NT_Loop17_TestCase9, YES, 1804)
(FSE_Bitvector_Mode_Using_Erroneous_Condition_3_NT_Loop17_TestCase8, YES, 1730)
(FSE_Bitvector_Mode_Using_Erroneous_Condition_3_NT_Loop27_TestCase8, NO, 2121)
(FSE_Bitvector_Mode_Using_Erroneous_Condition_3_NT_Loop17_TestCase10, YES, 1735)
(FSE_Bitvector_Mode_Using_Erroneous_Condition_3_NT_Loop27_TestCase9, NO, 2926)
(FSE_Bitvector_Mode_Using_Erroneous_Condition_3_NT_Loop24_TestCase8, NO, 3448)
(FSE_Bitvector_Mode_Using_Erroneous_Condition_3_NT_Loop24_TestCase9, NO, 2252)</t>
  </si>
  <si>
    <t>(FSE_Bitvector_Mode_Using_Erroneous_Condition_3_NT_Loop0_TestCase8, NO, 2707)
(FSE_Bitvector_Mode_Using_Erroneous_Condition_3_NT_Loop0_TestCase9, NO, 2943)
(FSE_Bitvector_Mode_Using_Erroneous_Condition_3_NT_Loop0_TestCase4, NO, 2818)
(FSE_Bitvector_Mode_Using_Erroneous_Condition_3_NT_Loop0_TestCase5, NO, 3012)
(FSE_Bitvector_Mode_Using_Erroneous_Condition_3_NT_Loop0_TestCase10, NO, 2102)
(FSE_Bitvector_Mode_Using_Erroneous_Condition_3_NT_Loop0_TestCase7, NO, 2590)
(FSE_Bitvector_Mode_Using_Erroneous_Condition_3_NT_Loop0_TestCase6, NO, 2537)
(FSE_Bitvector_Mode_Using_Erroneous_Condition_3_NT_Loop0_TestCase2, NO, 3286)
(FSE_Bitvector_Mode_Using_Erroneous_Condition_3_NT_Loop0_TestCase3, NO, 3402)
(FSE_Bitvector_Mode_Using_Erroneous_Condition_3_NT_Loop0_TestCase1, NO, 3236)</t>
  </si>
  <si>
    <t>0/2</t>
  </si>
  <si>
    <t>(FSE_Bitvector_Mode_Using_Erroneous_Condition_3_NT_Loop27_TestCase0, TIMEOUT, 301729)
(FSE_Bitvector_Mode_Using_Erroneous_Condition_3_NT_Loop24_TestCase0, TIMEOUT, 301786)
(FSE_Bitvector_Mode_Using_Erroneous_Condition_3_NT_Loop17_TestCase0, YES, 1789)</t>
  </si>
  <si>
    <t>(FSE_Bitvector_Mode_Using_Erroneous_Condition_3_NT_Loop0_TestCase0, TIMEOUT, 301783)</t>
  </si>
  <si>
    <t>(FSE_Bitvector_Mode_Using_Erroneous_Condition_2_T_Loop15_TestCase7, YES, 1714)
(FSE_Bitvector_Mode_Using_Erroneous_Condition_2_T_Loop15_TestCase6, YES, 1752)
(FSE_Bitvector_Mode_Using_Erroneous_Condition_2_T_Loop15_TestCase4, YES, 1727)
(FSE_Bitvector_Mode_Using_Erroneous_Condition_2_T_Loop15_TestCase5, YES, 1717)
(FSE_Bitvector_Mode_Using_Erroneous_Condition_2_T_Loop15_TestCase1, YES, 1699)
(FSE_Bitvector_Mode_Using_Erroneous_Condition_2_T_Loop15_TestCase2, YES, 1764)
(FSE_Bitvector_Mode_Using_Erroneous_Condition_2_T_Loop15_TestCase3, YES, 1710)
(FSE_Bitvector_Mode_Using_Erroneous_Condition_2_T_Loop15_TestCase8, YES, 1746)
(FSE_Bitvector_Mode_Using_Erroneous_Condition_2_T_Loop15_TestCase9, YES, 1737)
(FSE_Bitvector_Mode_Using_Erroneous_Condition_2_T_Loop15_TestCase10, YES, 5042)</t>
  </si>
  <si>
    <t>(FSE_Bitvector_Mode_Using_Erroneous_Condition_2_T_Loop0_TestCase10, YES, 1700)
(FSE_Bitvector_Mode_Using_Erroneous_Condition_2_T_Loop0_TestCase9, YES, 1678)
(FSE_Bitvector_Mode_Using_Erroneous_Condition_2_T_Loop0_TestCase8, YES, 1681)
(FSE_Bitvector_Mode_Using_Erroneous_Condition_2_T_Loop0_TestCase1, YES, 1708)
(FSE_Bitvector_Mode_Using_Erroneous_Condition_2_T_Loop0_TestCase3, YES, 1683)
(FSE_Bitvector_Mode_Using_Erroneous_Condition_2_T_Loop0_TestCase2, YES, 1686)
(FSE_Bitvector_Mode_Using_Erroneous_Condition_2_T_Loop0_TestCase6, YES, 1723)
(FSE_Bitvector_Mode_Using_Erroneous_Condition_2_T_Loop0_TestCase7, YES, 1723)
(FSE_Bitvector_Mode_Using_Erroneous_Condition_2_T_Loop0_TestCase5, YES, 1710)
(FSE_Bitvector_Mode_Using_Erroneous_Condition_2_T_Loop0_TestCase4, YES, 1734)</t>
  </si>
  <si>
    <t>(FSE_Bitvector_Mode_Using_Erroneous_Condition_2_T_Loop15_TestCase0, YES, 1895)</t>
  </si>
  <si>
    <t>(FSE_Bitvector_Mode_Using_Erroneous_Condition_2_T_Loop0_TestCase0, YES, 1835)</t>
  </si>
  <si>
    <t>(FSE_Bitvector_Mode_Using_Erroneous_Condition_2_NT_Loop16_TestCase1, YES, 1996)
(FSE_Bitvector_Mode_Using_Erroneous_Condition_2_NT_Loop16_TestCase3, YES, 1728)
(FSE_Bitvector_Mode_Using_Erroneous_Condition_2_NT_Loop16_TestCase2, YES, 1685)
(FSE_Bitvector_Mode_Using_Erroneous_Condition_2_NT_Loop16_TestCase6, NO, 1737)
(FSE_Bitvector_Mode_Using_Erroneous_Condition_2_NT_Loop16_TestCase7, NO, 1709)
(FSE_Bitvector_Mode_Using_Erroneous_Condition_2_NT_Loop16_TestCase5, YES, 1732)
(FSE_Bitvector_Mode_Using_Erroneous_Condition_2_NT_Loop16_TestCase4, YES, 1732)
(FSE_Bitvector_Mode_Using_Erroneous_Condition_2_NT_Loop16_TestCase10, NO, 1689)
(FSE_Bitvector_Mode_Using_Erroneous_Condition_2_NT_Loop16_TestCase9, NO, 1724)
(FSE_Bitvector_Mode_Using_Erroneous_Condition_2_NT_Loop16_TestCase8, NO, 1748)</t>
  </si>
  <si>
    <t>(FSE_Bitvector_Mode_Using_Erroneous_Condition_2_NT_Loop0_TestCase9, NO, 1701)
(FSE_Bitvector_Mode_Using_Erroneous_Condition_2_NT_Loop0_TestCase8, NO, 1681)
(FSE_Bitvector_Mode_Using_Erroneous_Condition_2_NT_Loop0_TestCase10, NO, 1735)
(FSE_Bitvector_Mode_Using_Erroneous_Condition_2_NT_Loop0_TestCase1, YES, 1732)
(FSE_Bitvector_Mode_Using_Erroneous_Condition_2_NT_Loop0_TestCase3, YES, 1715)
(FSE_Bitvector_Mode_Using_Erroneous_Condition_2_NT_Loop0_TestCase2, YES, 1701)
(FSE_Bitvector_Mode_Using_Erroneous_Condition_2_NT_Loop0_TestCase6, NO, 1695)
(FSE_Bitvector_Mode_Using_Erroneous_Condition_2_NT_Loop0_TestCase7, NO, 1704)
(FSE_Bitvector_Mode_Using_Erroneous_Condition_2_NT_Loop0_TestCase5, YES, 1752)
(FSE_Bitvector_Mode_Using_Erroneous_Condition_2_NT_Loop0_TestCase4, YES, 1698)</t>
  </si>
  <si>
    <t>(FSE_Bitvector_Mode_Using_Erroneous_Condition_2_NT_Loop16_TestCase0, NO, 2070)</t>
  </si>
  <si>
    <t>(FSE_Bitvector_Mode_Using_Erroneous_Condition_2_NT_Loop0_TestCase0, NO, 1918)</t>
  </si>
  <si>
    <t>(FSE_Bitvector_Mode_Using_Erroneous_Condition_1_T_Loop39_TestCase10, YES, 250752)
(FSE_Bitvector_Mode_Using_Erroneous_Condition_1_T_Loop39_TestCase9, YES, 1925)
(FSE_Bitvector_Mode_Using_Erroneous_Condition_1_T_Loop39_TestCase8, YES, 54015)
(FSE_Bitvector_Mode_Using_Erroneous_Condition_1_T_Loop39_TestCase1, YES, 2081)
(FSE_Bitvector_Mode_Using_Erroneous_Condition_1_T_Loop39_TestCase3, YES, 67161)
(FSE_Bitvector_Mode_Using_Erroneous_Condition_1_T_Loop39_TestCase2, YES, 211690)
(FSE_Bitvector_Mode_Using_Erroneous_Condition_1_T_Loop39_TestCase6, YES, 49535)
(FSE_Bitvector_Mode_Using_Erroneous_Condition_1_T_Loop39_TestCase7, YES, 2030)
(FSE_Bitvector_Mode_Using_Erroneous_Condition_1_T_Loop39_TestCase5, YES, 249682)
(FSE_Bitvector_Mode_Using_Erroneous_Condition_1_T_Loop39_TestCase4, YES, 55076)</t>
  </si>
  <si>
    <t>9/10</t>
  </si>
  <si>
    <t>(FSE_Bitvector_Mode_Using_Erroneous_Condition_1_T_Loop0_TestCase4, YES, 88044)
(FSE_Bitvector_Mode_Using_Erroneous_Condition_1_T_Loop0_TestCase5, YES, 285174)
(FSE_Bitvector_Mode_Using_Erroneous_Condition_1_T_Loop0_TestCase7, YES, 1918)
(FSE_Bitvector_Mode_Using_Erroneous_Condition_1_T_Loop0_TestCase10, TIMEOUT, 302000)
(FSE_Bitvector_Mode_Using_Erroneous_Condition_1_T_Loop0_TestCase6, YES, 201734)
(FSE_Bitvector_Mode_Using_Erroneous_Condition_1_T_Loop0_TestCase2, YES, 128059)
(FSE_Bitvector_Mode_Using_Erroneous_Condition_1_T_Loop0_TestCase3, YES, 101983)
(FSE_Bitvector_Mode_Using_Erroneous_Condition_1_T_Loop0_TestCase1, YES, 2120)
(FSE_Bitvector_Mode_Using_Erroneous_Condition_1_T_Loop0_TestCase8, YES, 28789)
(FSE_Bitvector_Mode_Using_Erroneous_Condition_1_T_Loop0_TestCase9, YES, 1898)</t>
  </si>
  <si>
    <t>(FSE_Bitvector_Mode_Using_Erroneous_Condition_1_T_Loop39_TestCase0, TIMEOUT, 301982)</t>
  </si>
  <si>
    <t>(FSE_Bitvector_Mode_Using_Erroneous_Condition_1_T_Loop0_TestCase0, TIMEOUT, 302029)</t>
  </si>
  <si>
    <t>(FSE_Bitvector_Mode_Using_Erroneous_Condition_1_NT_Loop39_TestCase8, NO, 8155)
(FSE_Bitvector_Mode_Using_Erroneous_Condition_1_NT_Loop39_TestCase9, NO, 5525)
(FSE_Bitvector_Mode_Using_Erroneous_Condition_1_NT_Loop39_TestCase2, YES, 4016)
(FSE_Bitvector_Mode_Using_Erroneous_Condition_1_NT_Loop39_TestCase3, YES, 46426)
(FSE_Bitvector_Mode_Using_Erroneous_Condition_1_NT_Loop39_TestCase1, YES, 2178)
(FSE_Bitvector_Mode_Using_Erroneous_Condition_1_NT_Loop39_TestCase4, YES, 25518)
(FSE_Bitvector_Mode_Using_Erroneous_Condition_1_NT_Loop39_TestCase5, YES, 221416)
(FSE_Bitvector_Mode_Using_Erroneous_Condition_1_NT_Loop39_TestCase7, NO, 3958)
(FSE_Bitvector_Mode_Using_Erroneous_Condition_1_NT_Loop39_TestCase6, NO, 3307)
(FSE_Bitvector_Mode_Using_Erroneous_Condition_1_NT_Loop39_TestCase10, NO, 4712)</t>
  </si>
  <si>
    <t>(FSE_Bitvector_Mode_Using_Erroneous_Condition_1_NT_Loop0_TestCase10, NO, 3671)
(FSE_Bitvector_Mode_Using_Erroneous_Condition_1_NT_Loop0_TestCase9, NO, 3978)
(FSE_Bitvector_Mode_Using_Erroneous_Condition_1_NT_Loop0_TestCase8, NO, 7197)
(FSE_Bitvector_Mode_Using_Erroneous_Condition_1_NT_Loop0_TestCase5, YES, 255685)
(FSE_Bitvector_Mode_Using_Erroneous_Condition_1_NT_Loop0_TestCase4, YES, 4619)
(FSE_Bitvector_Mode_Using_Erroneous_Condition_1_NT_Loop0_TestCase6, NO, 3155)
(FSE_Bitvector_Mode_Using_Erroneous_Condition_1_NT_Loop0_TestCase7, NO, 4014)
(FSE_Bitvector_Mode_Using_Erroneous_Condition_1_NT_Loop0_TestCase3, YES, 67779)
(FSE_Bitvector_Mode_Using_Erroneous_Condition_1_NT_Loop0_TestCase2, YES, 3691)
(FSE_Bitvector_Mode_Using_Erroneous_Condition_1_NT_Loop0_TestCase1, YES, 1858)</t>
  </si>
  <si>
    <t>(FSE_Bitvector_Mode_Using_Erroneous_Condition_1_NT_Loop39_TestCase0, NO, 2490)</t>
  </si>
  <si>
    <t>(FSE_Bitvector_Mode_Using_Erroneous_Condition_1_NT_Loop0_TestCase0, NO, 2951)</t>
  </si>
  <si>
    <t>(FSE_Bitvector_Mode_Unsigned_Wraparound_Error_4_T_Loop13_TestCase2, YES, 1744)
(FSE_Bitvector_Mode_Unsigned_Wraparound_Error_4_T_Loop13_TestCase3, YES, 1764)
(FSE_Bitvector_Mode_Unsigned_Wraparound_Error_4_T_Loop13_TestCase1, YES, 1781)
(FSE_Bitvector_Mode_Unsigned_Wraparound_Error_4_T_Loop13_TestCase4, YES, 4643)
(FSE_Bitvector_Mode_Unsigned_Wraparound_Error_4_T_Loop13_TestCase5, YES, 3804)
(FSE_Bitvector_Mode_Unsigned_Wraparound_Error_4_T_Loop13_TestCase7, YES, 2065)
(FSE_Bitvector_Mode_Unsigned_Wraparound_Error_4_T_Loop13_TestCase6, YES, 1790)
(FSE_Bitvector_Mode_Unsigned_Wraparound_Error_4_T_Loop13_TestCase10, YES, 1849)
(FSE_Bitvector_Mode_Unsigned_Wraparound_Error_4_T_Loop13_TestCase8, YES, 1834)
(FSE_Bitvector_Mode_Unsigned_Wraparound_Error_4_T_Loop13_TestCase9, YES, 1827)</t>
  </si>
  <si>
    <t>(FSE_Bitvector_Mode_Unsigned_Wraparound_Error_4_T_Loop0_TestCase8, YES, 1841)
(FSE_Bitvector_Mode_Unsigned_Wraparound_Error_4_T_Loop0_TestCase9, YES, 1871)
(FSE_Bitvector_Mode_Unsigned_Wraparound_Error_4_T_Loop0_TestCase1, YES, 1701)
(FSE_Bitvector_Mode_Unsigned_Wraparound_Error_4_T_Loop0_TestCase10, YES, 2011)
(FSE_Bitvector_Mode_Unsigned_Wraparound_Error_4_T_Loop0_TestCase2, YES, 1736)
(FSE_Bitvector_Mode_Unsigned_Wraparound_Error_4_T_Loop0_TestCase3, YES, 1733)
(FSE_Bitvector_Mode_Unsigned_Wraparound_Error_4_T_Loop0_TestCase7, YES, 1732)
(FSE_Bitvector_Mode_Unsigned_Wraparound_Error_4_T_Loop0_TestCase6, YES, 1739)
(FSE_Bitvector_Mode_Unsigned_Wraparound_Error_4_T_Loop0_TestCase4, YES, 1821)
(FSE_Bitvector_Mode_Unsigned_Wraparound_Error_4_T_Loop0_TestCase5, YES, 4464)</t>
  </si>
  <si>
    <t>(FSE_Bitvector_Mode_Unsigned_Wraparound_Error_4_T_Loop13_TestCase0, YES, 3731)</t>
  </si>
  <si>
    <t>(FSE_Bitvector_Mode_Unsigned_Wraparound_Error_4_T_Loop0_TestCase0, YES, 3124)</t>
  </si>
  <si>
    <t>6/10</t>
  </si>
  <si>
    <t>3/5</t>
  </si>
  <si>
    <t>(FSE_Bitvector_Mode_Unsigned_Wraparound_Error_4_NT_Loop15_TestCase3, YES, 1750)
(FSE_Bitvector_Mode_Unsigned_Wraparound_Error_4_NT_Loop15_TestCase2, YES, 1793)
(FSE_Bitvector_Mode_Unsigned_Wraparound_Error_4_NT_Loop15_TestCase1, YES, 1756)
(FSE_Bitvector_Mode_Unsigned_Wraparound_Error_4_NT_Loop15_TestCase5, TIMEOUT, 301741)
(FSE_Bitvector_Mode_Unsigned_Wraparound_Error_4_NT_Loop15_TestCase4, TIMEOUT, 301733)
(FSE_Bitvector_Mode_Unsigned_Wraparound_Error_4_NT_Loop15_TestCase6, NO, 1810)
(FSE_Bitvector_Mode_Unsigned_Wraparound_Error_4_NT_Loop15_TestCase7, NO, 1786)
(FSE_Bitvector_Mode_Unsigned_Wraparound_Error_4_NT_Loop15_TestCase10, NO, 1725)
(FSE_Bitvector_Mode_Unsigned_Wraparound_Error_4_NT_Loop15_TestCase9, TIMEOUT, 301750)
(FSE_Bitvector_Mode_Unsigned_Wraparound_Error_4_NT_Loop15_TestCase8, TIMEOUT, 301719)</t>
  </si>
  <si>
    <t>(FSE_Bitvector_Mode_Unsigned_Wraparound_Error_4_NT_Loop0_TestCase6, NO, 1789)
(FSE_Bitvector_Mode_Unsigned_Wraparound_Error_4_NT_Loop0_TestCase7, NO, 1734)
(FSE_Bitvector_Mode_Unsigned_Wraparound_Error_4_NT_Loop0_TestCase5, TIMEOUT, 301634)
(FSE_Bitvector_Mode_Unsigned_Wraparound_Error_4_NT_Loop0_TestCase10, NO, 1740)
(FSE_Bitvector_Mode_Unsigned_Wraparound_Error_4_NT_Loop0_TestCase4, TIMEOUT, 301642)
(FSE_Bitvector_Mode_Unsigned_Wraparound_Error_4_NT_Loop0_TestCase1, YES, 1770)
(FSE_Bitvector_Mode_Unsigned_Wraparound_Error_4_NT_Loop0_TestCase3, YES, 1870)
(FSE_Bitvector_Mode_Unsigned_Wraparound_Error_4_NT_Loop0_TestCase2, YES, 1795)
(FSE_Bitvector_Mode_Unsigned_Wraparound_Error_4_NT_Loop0_TestCase9, TIMEOUT, 301769)
(FSE_Bitvector_Mode_Unsigned_Wraparound_Error_4_NT_Loop0_TestCase8, TIMEOUT, 301609)</t>
  </si>
  <si>
    <t>(FSE_Bitvector_Mode_Unsigned_Wraparound_Error_4_NT_Loop15_TestCase0, NO, 1789)</t>
  </si>
  <si>
    <t>(FSE_Bitvector_Mode_Unsigned_Wraparound_Error_4_NT_Loop0_TestCase0, NO, 1777)</t>
  </si>
  <si>
    <t>(FSE_Bitvector_Mode_Unsigned_Wraparound_Error_3_T_Loop19_TestCase5, YES, 1742)
(FSE_Bitvector_Mode_Unsigned_Wraparound_Error_3_T_Loop19_TestCase4, YES, 1752)
(FSE_Bitvector_Mode_Unsigned_Wraparound_Error_3_T_Loop19_TestCase6, YES, 3604)
(FSE_Bitvector_Mode_Unsigned_Wraparound_Error_3_T_Loop19_TestCase7, YES, 3374)
(FSE_Bitvector_Mode_Unsigned_Wraparound_Error_3_T_Loop19_TestCase3, YES, 1747)
(FSE_Bitvector_Mode_Unsigned_Wraparound_Error_3_T_Loop19_TestCase2, YES, 2326)
(FSE_Bitvector_Mode_Unsigned_Wraparound_Error_3_T_Loop19_TestCase1, YES, 2252)
(FSE_Bitvector_Mode_Unsigned_Wraparound_Error_3_T_Loop19_TestCase10, YES, 3731)
(FSE_Bitvector_Mode_Unsigned_Wraparound_Error_3_T_Loop19_TestCase9, YES, 3355)
(FSE_Bitvector_Mode_Unsigned_Wraparound_Error_3_T_Loop19_TestCase8, YES, 3359)</t>
  </si>
  <si>
    <t>(FSE_Bitvector_Mode_Unsigned_Wraparound_Error_3_T_Loop0_TestCase6, YES, 3031)
(FSE_Bitvector_Mode_Unsigned_Wraparound_Error_3_T_Loop0_TestCase7, YES, 3585)
(FSE_Bitvector_Mode_Unsigned_Wraparound_Error_3_T_Loop0_TestCase5, YES, 1710)
(FSE_Bitvector_Mode_Unsigned_Wraparound_Error_3_T_Loop0_TestCase4, YES, 1918)
(FSE_Bitvector_Mode_Unsigned_Wraparound_Error_3_T_Loop0_TestCase1, YES, 2133)
(FSE_Bitvector_Mode_Unsigned_Wraparound_Error_3_T_Loop0_TestCase3, YES, 1732)
(FSE_Bitvector_Mode_Unsigned_Wraparound_Error_3_T_Loop0_TestCase2, YES, 1719)
(FSE_Bitvector_Mode_Unsigned_Wraparound_Error_3_T_Loop0_TestCase10, YES, 3355)
(FSE_Bitvector_Mode_Unsigned_Wraparound_Error_3_T_Loop0_TestCase9, YES, 3368)
(FSE_Bitvector_Mode_Unsigned_Wraparound_Error_3_T_Loop0_TestCase8, YES, 3544)</t>
  </si>
  <si>
    <t>(FSE_Bitvector_Mode_Unsigned_Wraparound_Error_3_T_Loop19_TestCase0, YES, 7684)</t>
  </si>
  <si>
    <t>(FSE_Bitvector_Mode_Unsigned_Wraparound_Error_3_T_Loop0_TestCase0, YES, 6500)</t>
  </si>
  <si>
    <t>7/10</t>
  </si>
  <si>
    <t>2/5</t>
  </si>
  <si>
    <t>(FSE_Bitvector_Mode_Unsigned_Wraparound_Error_3_NT_Loop20_TestCase9, TIMEOUT, 301780)
(FSE_Bitvector_Mode_Unsigned_Wraparound_Error_3_NT_Loop20_TestCase8, TIMEOUT, 301831)
(FSE_Bitvector_Mode_Unsigned_Wraparound_Error_3_NT_Loop20_TestCase6, NO, 2477)
(FSE_Bitvector_Mode_Unsigned_Wraparound_Error_3_NT_Loop20_TestCase7, NO, 64428)
(FSE_Bitvector_Mode_Unsigned_Wraparound_Error_3_NT_Loop20_TestCase5, YES, 1747)
(FSE_Bitvector_Mode_Unsigned_Wraparound_Error_3_NT_Loop20_TestCase4, YES, 1785)
(FSE_Bitvector_Mode_Unsigned_Wraparound_Error_3_NT_Loop20_TestCase1, YES, 2183)
(FSE_Bitvector_Mode_Unsigned_Wraparound_Error_3_NT_Loop20_TestCase3, YES, 1768)
(FSE_Bitvector_Mode_Unsigned_Wraparound_Error_3_NT_Loop20_TestCase2, YES, 1878)
(FSE_Bitvector_Mode_Unsigned_Wraparound_Error_3_NT_Loop20_TestCase10, TIMEOUT, 301738)</t>
  </si>
  <si>
    <t>(FSE_Bitvector_Mode_Unsigned_Wraparound_Error_3_NT_Loop0_TestCase5, YES, 1734)
(FSE_Bitvector_Mode_Unsigned_Wraparound_Error_3_NT_Loop0_TestCase4, YES, 1751)
(FSE_Bitvector_Mode_Unsigned_Wraparound_Error_3_NT_Loop0_TestCase6, NO, 2437)
(FSE_Bitvector_Mode_Unsigned_Wraparound_Error_3_NT_Loop0_TestCase7, NO, 71711)
(FSE_Bitvector_Mode_Unsigned_Wraparound_Error_3_NT_Loop0_TestCase3, YES, 1758)
(FSE_Bitvector_Mode_Unsigned_Wraparound_Error_3_NT_Loop0_TestCase2, YES, 1836)
(FSE_Bitvector_Mode_Unsigned_Wraparound_Error_3_NT_Loop0_TestCase1, YES, 2136)
(FSE_Bitvector_Mode_Unsigned_Wraparound_Error_3_NT_Loop0_TestCase10, TIMEOUT, 301626)
(FSE_Bitvector_Mode_Unsigned_Wraparound_Error_3_NT_Loop0_TestCase9, TIMEOUT, 301661)
(FSE_Bitvector_Mode_Unsigned_Wraparound_Error_3_NT_Loop0_TestCase8, TIMEOUT, 301654)</t>
  </si>
  <si>
    <t>(FSE_Bitvector_Mode_Unsigned_Wraparound_Error_3_NT_Loop20_TestCase0, TIMEOUT, 301678)</t>
  </si>
  <si>
    <t>(FSE_Bitvector_Mode_Unsigned_Wraparound_Error_3_NT_Loop0_TestCase0, TIMEOUT, 301700)</t>
  </si>
  <si>
    <t>(FSE_Bitvector_Mode_Unsigned_Wraparound_Error_2_T_Loop18_TestCase10, YES, 1871)
(FSE_Bitvector_Mode_Unsigned_Wraparound_Error_2_T_Loop18_TestCase9, YES, 1853)
(FSE_Bitvector_Mode_Unsigned_Wraparound_Error_2_T_Loop18_TestCase8, YES, 1740)
(FSE_Bitvector_Mode_Unsigned_Wraparound_Error_2_T_Loop18_TestCase6, YES, 1732)
(FSE_Bitvector_Mode_Unsigned_Wraparound_Error_2_T_Loop18_TestCase7, YES, 1760)
(FSE_Bitvector_Mode_Unsigned_Wraparound_Error_2_T_Loop18_TestCase5, YES, 1823)
(FSE_Bitvector_Mode_Unsigned_Wraparound_Error_2_T_Loop18_TestCase4, YES, 1773)
(FSE_Bitvector_Mode_Unsigned_Wraparound_Error_2_T_Loop18_TestCase1, YES, 2168)
(FSE_Bitvector_Mode_Unsigned_Wraparound_Error_2_T_Loop18_TestCase3, YES, 1851)
(FSE_Bitvector_Mode_Unsigned_Wraparound_Error_2_T_Loop18_TestCase2, YES, 1845)</t>
  </si>
  <si>
    <t>(FSE_Bitvector_Mode_Unsigned_Wraparound_Error_2_T_Loop0_TestCase9, YES, 1820)
(FSE_Bitvector_Mode_Unsigned_Wraparound_Error_2_T_Loop0_TestCase8, YES, 1701)
(FSE_Bitvector_Mode_Unsigned_Wraparound_Error_2_T_Loop0_TestCase5, YES, 1801)
(FSE_Bitvector_Mode_Unsigned_Wraparound_Error_2_T_Loop0_TestCase4, YES, 1728)
(FSE_Bitvector_Mode_Unsigned_Wraparound_Error_2_T_Loop0_TestCase6, YES, 1738)
(FSE_Bitvector_Mode_Unsigned_Wraparound_Error_2_T_Loop0_TestCase7, YES, 1722)
(FSE_Bitvector_Mode_Unsigned_Wraparound_Error_2_T_Loop0_TestCase10, YES, 1703)
(FSE_Bitvector_Mode_Unsigned_Wraparound_Error_2_T_Loop0_TestCase3, YES, 1819)
(FSE_Bitvector_Mode_Unsigned_Wraparound_Error_2_T_Loop0_TestCase2, YES, 1814)
(FSE_Bitvector_Mode_Unsigned_Wraparound_Error_2_T_Loop0_TestCase1, YES, 1701)</t>
  </si>
  <si>
    <t>(FSE_Bitvector_Mode_Unsigned_Wraparound_Error_2_T_Loop18_TestCase0, YES, 1847)</t>
  </si>
  <si>
    <t>(FSE_Bitvector_Mode_Unsigned_Wraparound_Error_2_T_Loop0_TestCase0, YES, 1968)</t>
  </si>
  <si>
    <t>(FSE_Bitvector_Mode_Unsigned_Wraparound_Error_2_NT_Loop18_TestCase9, YES, 2187)
(FSE_Bitvector_Mode_Unsigned_Wraparound_Error_2_NT_Loop18_TestCase10, NO, 1721)
(FSE_Bitvector_Mode_Unsigned_Wraparound_Error_2_NT_Loop18_TestCase8, NO, 2940)
(FSE_Bitvector_Mode_Unsigned_Wraparound_Error_2_NT_Loop18_TestCase5, YES, 2137)
(FSE_Bitvector_Mode_Unsigned_Wraparound_Error_2_NT_Loop18_TestCase4, YES, 2356)
(FSE_Bitvector_Mode_Unsigned_Wraparound_Error_2_NT_Loop18_TestCase6, YES, 1745)
(FSE_Bitvector_Mode_Unsigned_Wraparound_Error_2_NT_Loop18_TestCase7, YES, 4714)
(FSE_Bitvector_Mode_Unsigned_Wraparound_Error_2_NT_Loop18_TestCase3, YES, 2181)
(FSE_Bitvector_Mode_Unsigned_Wraparound_Error_2_NT_Loop18_TestCase2, YES, 2698)
(FSE_Bitvector_Mode_Unsigned_Wraparound_Error_2_NT_Loop18_TestCase1, YES, 1707)</t>
  </si>
  <si>
    <t>(FSE_Bitvector_Mode_Unsigned_Wraparound_Error_2_NT_Loop0_TestCase1, YES, 1710)
(FSE_Bitvector_Mode_Unsigned_Wraparound_Error_2_NT_Loop0_TestCase2, YES, 2084)
(FSE_Bitvector_Mode_Unsigned_Wraparound_Error_2_NT_Loop0_TestCase3, YES, 2196)
(FSE_Bitvector_Mode_Unsigned_Wraparound_Error_2_NT_Loop0_TestCase7, YES, 1733)
(FSE_Bitvector_Mode_Unsigned_Wraparound_Error_2_NT_Loop0_TestCase6, YES, 1773)
(FSE_Bitvector_Mode_Unsigned_Wraparound_Error_2_NT_Loop0_TestCase4, YES, 2523)
(FSE_Bitvector_Mode_Unsigned_Wraparound_Error_2_NT_Loop0_TestCase5, YES, 2292)
(FSE_Bitvector_Mode_Unsigned_Wraparound_Error_2_NT_Loop0_TestCase8, NO, 2943)
(FSE_Bitvector_Mode_Unsigned_Wraparound_Error_2_NT_Loop0_TestCase9, YES, 2348)
(FSE_Bitvector_Mode_Unsigned_Wraparound_Error_2_NT_Loop0_TestCase10, NO, 1713)</t>
  </si>
  <si>
    <t>(FSE_Bitvector_Mode_Unsigned_Wraparound_Error_2_NT_Loop18_TestCase0, NO, 10250)</t>
  </si>
  <si>
    <t>(FSE_Bitvector_Mode_Unsigned_Wraparound_Error_2_NT_Loop0_TestCase0, NO, 10448)</t>
  </si>
  <si>
    <t>(FSE_Bitvector_Mode_Unsigned_Wraparound_Error_1_T_Loop22_TestCase9, YES, 1772)
(FSE_Bitvector_Mode_Unsigned_Wraparound_Error_1_T_Loop22_TestCase8, YES, 1712)
(FSE_Bitvector_Mode_Unsigned_Wraparound_Error_1_T_Loop22_TestCase10, YES, 1741)
(FSE_Bitvector_Mode_Unsigned_Wraparound_Error_1_T_Loop22_TestCase6, YES, 1756)
(FSE_Bitvector_Mode_Unsigned_Wraparound_Error_1_T_Loop22_TestCase7, YES, 1754)
(FSE_Bitvector_Mode_Unsigned_Wraparound_Error_1_T_Loop22_TestCase5, YES, 1801)
(FSE_Bitvector_Mode_Unsigned_Wraparound_Error_1_T_Loop22_TestCase4, YES, 2847)
(FSE_Bitvector_Mode_Unsigned_Wraparound_Error_1_T_Loop22_TestCase1, YES, 1755)
(FSE_Bitvector_Mode_Unsigned_Wraparound_Error_1_T_Loop22_TestCase3, YES, 1776)
(FSE_Bitvector_Mode_Unsigned_Wraparound_Error_1_T_Loop22_TestCase2, YES, 1741)</t>
  </si>
  <si>
    <t>(FSE_Bitvector_Mode_Unsigned_Wraparound_Error_1_T_Loop0_TestCase1, YES, 1772)
(FSE_Bitvector_Mode_Unsigned_Wraparound_Error_1_T_Loop0_TestCase2, YES, 1684)
(FSE_Bitvector_Mode_Unsigned_Wraparound_Error_1_T_Loop0_TestCase3, YES, 1725)
(FSE_Bitvector_Mode_Unsigned_Wraparound_Error_1_T_Loop0_TestCase7, YES, 1728)
(FSE_Bitvector_Mode_Unsigned_Wraparound_Error_1_T_Loop0_TestCase6, YES, 1708)
(FSE_Bitvector_Mode_Unsigned_Wraparound_Error_1_T_Loop0_TestCase4, YES, 1698)
(FSE_Bitvector_Mode_Unsigned_Wraparound_Error_1_T_Loop0_TestCase5, YES, 1710)
(FSE_Bitvector_Mode_Unsigned_Wraparound_Error_1_T_Loop0_TestCase8, YES, 1697)
(FSE_Bitvector_Mode_Unsigned_Wraparound_Error_1_T_Loop0_TestCase9, YES, 1743)
(FSE_Bitvector_Mode_Unsigned_Wraparound_Error_1_T_Loop0_TestCase10, YES, 1695)</t>
  </si>
  <si>
    <t>(FSE_Bitvector_Mode_Unsigned_Wraparound_Error_1_T_Loop22_TestCase0, YES, 18625)</t>
  </si>
  <si>
    <t>(FSE_Bitvector_Mode_Unsigned_Wraparound_Error_1_T_Loop0_TestCase0, YES, 15477)</t>
  </si>
  <si>
    <t>(FSE_Bitvector_Mode_Unsigned_Wraparound_Error_1_NT_Loop22_TestCase10, YES, 1717)
(FSE_Bitvector_Mode_Unsigned_Wraparound_Error_1_NT_Loop22_TestCase9, YES, 2283)
(FSE_Bitvector_Mode_Unsigned_Wraparound_Error_1_NT_Loop22_TestCase8, YES, 1729)
(FSE_Bitvector_Mode_Unsigned_Wraparound_Error_1_NT_Loop22_TestCase5, YES, 1756)
(FSE_Bitvector_Mode_Unsigned_Wraparound_Error_1_NT_Loop22_TestCase4, YES, 1742)
(FSE_Bitvector_Mode_Unsigned_Wraparound_Error_1_NT_Loop22_TestCase6, YES, 1725)
(FSE_Bitvector_Mode_Unsigned_Wraparound_Error_1_NT_Loop22_TestCase7, YES, 1764)
(FSE_Bitvector_Mode_Unsigned_Wraparound_Error_1_NT_Loop22_TestCase3, YES, 1742)
(FSE_Bitvector_Mode_Unsigned_Wraparound_Error_1_NT_Loop22_TestCase2, YES, 1733)
(FSE_Bitvector_Mode_Unsigned_Wraparound_Error_1_NT_Loop22_TestCase1, YES, 1747)</t>
  </si>
  <si>
    <t>(FSE_Bitvector_Mode_Unsigned_Wraparound_Error_1_NT_Loop0_TestCase4, YES, 1742)
(FSE_Bitvector_Mode_Unsigned_Wraparound_Error_1_NT_Loop0_TestCase5, YES, 1715)
(FSE_Bitvector_Mode_Unsigned_Wraparound_Error_1_NT_Loop0_TestCase7, YES, 1710)
(FSE_Bitvector_Mode_Unsigned_Wraparound_Error_1_NT_Loop0_TestCase6, YES, 1710)
(FSE_Bitvector_Mode_Unsigned_Wraparound_Error_1_NT_Loop0_TestCase2, YES, 1719)
(FSE_Bitvector_Mode_Unsigned_Wraparound_Error_1_NT_Loop0_TestCase3, YES, 1709)
(FSE_Bitvector_Mode_Unsigned_Wraparound_Error_1_NT_Loop0_TestCase1, YES, 1719)
(FSE_Bitvector_Mode_Unsigned_Wraparound_Error_1_NT_Loop0_TestCase10, YES, 1745)
(FSE_Bitvector_Mode_Unsigned_Wraparound_Error_1_NT_Loop0_TestCase8, YES, 1744)
(FSE_Bitvector_Mode_Unsigned_Wraparound_Error_1_NT_Loop0_TestCase9, YES, 1720)</t>
  </si>
  <si>
    <t>(FSE_Bitvector_Mode_Unsigned_Wraparound_Error_1_NT_Loop22_TestCase0, NO, 12146)</t>
  </si>
  <si>
    <t>(FSE_Bitvector_Mode_Unsigned_Wraparound_Error_1_NT_Loop0_TestCase0, NO, 29534)</t>
  </si>
  <si>
    <t>(FSE_Bitvector_Mode_Undefined_Behavior_3_T_Loop15_TestCase6, YES, 1722)
(FSE_Bitvector_Mode_Undefined_Behavior_3_T_Loop15_TestCase7, YES, 1790)
(FSE_Bitvector_Mode_Undefined_Behavior_3_T_Loop15_TestCase10, YES, 1757)
(FSE_Bitvector_Mode_Undefined_Behavior_3_T_Loop15_TestCase5, YES, 1768)
(FSE_Bitvector_Mode_Undefined_Behavior_3_T_Loop15_TestCase4, YES, 1823)
(FSE_Bitvector_Mode_Undefined_Behavior_3_T_Loop15_TestCase1, YES, 1736)
(FSE_Bitvector_Mode_Undefined_Behavior_3_T_Loop15_TestCase3, YES, 1976)
(FSE_Bitvector_Mode_Undefined_Behavior_3_T_Loop15_TestCase2, YES, 1769)
(FSE_Bitvector_Mode_Undefined_Behavior_3_T_Loop15_TestCase9, YES, 1762)
(FSE_Bitvector_Mode_Undefined_Behavior_3_T_Loop15_TestCase8, YES, 1756)</t>
  </si>
  <si>
    <t>(FSE_Bitvector_Mode_Undefined_Behavior_3_T_Loop0_TestCase6, YES, 1738)
(FSE_Bitvector_Mode_Undefined_Behavior_3_T_Loop0_TestCase7, YES, 1781)
(FSE_Bitvector_Mode_Undefined_Behavior_3_T_Loop0_TestCase5, YES, 1707)
(FSE_Bitvector_Mode_Undefined_Behavior_3_T_Loop0_TestCase4, YES, 1702)
(FSE_Bitvector_Mode_Undefined_Behavior_3_T_Loop0_TestCase10, YES, 1785)
(FSE_Bitvector_Mode_Undefined_Behavior_3_T_Loop0_TestCase1, YES, 1742)
(FSE_Bitvector_Mode_Undefined_Behavior_3_T_Loop0_TestCase3, YES, 1752)
(FSE_Bitvector_Mode_Undefined_Behavior_3_T_Loop0_TestCase2, YES, 1792)
(FSE_Bitvector_Mode_Undefined_Behavior_3_T_Loop0_TestCase9, YES, 1790)
(FSE_Bitvector_Mode_Undefined_Behavior_3_T_Loop0_TestCase8, YES, 1923)</t>
  </si>
  <si>
    <t>(FSE_Bitvector_Mode_Undefined_Behavior_3_T_Loop15_TestCase0, YES, 1875)</t>
  </si>
  <si>
    <t>(FSE_Bitvector_Mode_Undefined_Behavior_3_T_Loop0_TestCase0, YES, 1811)</t>
  </si>
  <si>
    <t>(FSE_Bitvector_Mode_Undefined_Behavior_3_Loop15_TestCase10, YES, 1747)
(FSE_Bitvector_Mode_Undefined_Behavior_3_Loop15_TestCase6, YES, 1741)
(FSE_Bitvector_Mode_Undefined_Behavior_3_Loop15_TestCase7, YES, 1755)
(FSE_Bitvector_Mode_Undefined_Behavior_3_Loop15_TestCase5, YES, 1774)
(FSE_Bitvector_Mode_Undefined_Behavior_3_Loop15_TestCase4, YES, 2094)
(FSE_Bitvector_Mode_Undefined_Behavior_3_Loop15_TestCase1, YES, 1745)
(FSE_Bitvector_Mode_Undefined_Behavior_3_Loop15_TestCase3, YES, 1755)
(FSE_Bitvector_Mode_Undefined_Behavior_3_Loop15_TestCase2, YES, 1750)
(FSE_Bitvector_Mode_Undefined_Behavior_3_Loop15_TestCase9, YES, 1766)
(FSE_Bitvector_Mode_Undefined_Behavior_3_Loop15_TestCase8, YES, 1767)</t>
  </si>
  <si>
    <t>(FSE_Bitvector_Mode_Undefined_Behavior_3_Loop0_TestCase10, YES, 1695)
(FSE_Bitvector_Mode_Undefined_Behavior_3_Loop0_TestCase8, YES, 1731)
(FSE_Bitvector_Mode_Undefined_Behavior_3_Loop0_TestCase9, YES, 1767)
(FSE_Bitvector_Mode_Undefined_Behavior_3_Loop0_TestCase4, YES, 1708)
(FSE_Bitvector_Mode_Undefined_Behavior_3_Loop0_TestCase5, YES, 1749)
(FSE_Bitvector_Mode_Undefined_Behavior_3_Loop0_TestCase7, YES, 1737)
(FSE_Bitvector_Mode_Undefined_Behavior_3_Loop0_TestCase6, YES, 1714)
(FSE_Bitvector_Mode_Undefined_Behavior_3_Loop0_TestCase2, YES, 1733)
(FSE_Bitvector_Mode_Undefined_Behavior_3_Loop0_TestCase3, YES, 1731)
(FSE_Bitvector_Mode_Undefined_Behavior_3_Loop0_TestCase1, YES, 1691)</t>
  </si>
  <si>
    <t>(FSE_Bitvector_Mode_Undefined_Behavior_3_Loop15_TestCase0, YES, 1843)</t>
  </si>
  <si>
    <t>(FSE_Bitvector_Mode_Undefined_Behavior_3_Loop0_TestCase0, YES, 2047)</t>
  </si>
  <si>
    <t>(FSE_Bitvector_Mode_Undefined_Behavior_2_T_Loop25_TestCase10, TIMEOUT, 301801)
(FSE_Bitvector_Mode_Undefined_Behavior_2_T_Loop25_TestCase3, YES, 21701)
(FSE_Bitvector_Mode_Undefined_Behavior_2_T_Loop25_TestCase2, YES, 3456)
(FSE_Bitvector_Mode_Undefined_Behavior_2_T_Loop25_TestCase1, YES, 1964)
(FSE_Bitvector_Mode_Undefined_Behavior_2_T_Loop25_TestCase5, TIMEOUT, 302094)
(FSE_Bitvector_Mode_Undefined_Behavior_2_T_Loop25_TestCase4, TIMEOUT, 301791)
(FSE_Bitvector_Mode_Undefined_Behavior_2_T_Loop25_TestCase6, TIMEOUT, 301847)
(FSE_Bitvector_Mode_Undefined_Behavior_2_T_Loop25_TestCase7, TIMEOUT, 301846)
(FSE_Bitvector_Mode_Undefined_Behavior_2_T_Loop14_TestCase9, TIMEOUT, 301909)
(FSE_Bitvector_Mode_Undefined_Behavior_2_T_Loop14_TestCase8, TIMEOUT, 301808)
(FSE_Bitvector_Mode_Undefined_Behavior_2_T_Loop14_TestCase5, TIMEOUT, 301838)
(FSE_Bitvector_Mode_Undefined_Behavior_2_T_Loop14_TestCase4, TIMEOUT, 301853)
(FSE_Bitvector_Mode_Undefined_Behavior_2_T_Loop14_TestCase10, TIMEOUT, 301818)
(FSE_Bitvector_Mode_Undefined_Behavior_2_T_Loop14_TestCase6, TIMEOUT, 301839)
(FSE_Bitvector_Mode_Undefined_Behavior_2_T_Loop14_TestCase7, TIMEOUT, 302130)
(FSE_Bitvector_Mode_Undefined_Behavior_2_T_Loop14_TestCase3, YES, 50189)
(FSE_Bitvector_Mode_Undefined_Behavior_2_T_Loop14_TestCase2, YES, 11990)
(FSE_Bitvector_Mode_Undefined_Behavior_2_T_Loop14_TestCase1, YES, 1972)
(FSE_Bitvector_Mode_Undefined_Behavior_2_T_Loop25_TestCase9, TIMEOUT, 301831)
(FSE_Bitvector_Mode_Undefined_Behavior_2_T_Loop25_TestCase8, TIMEOUT, 301798)</t>
  </si>
  <si>
    <t>3/10</t>
  </si>
  <si>
    <t>(FSE_Bitvector_Mode_Undefined_Behavior_2_T_Loop0_TestCase10, TIMEOUT, 301730)
(FSE_Bitvector_Mode_Undefined_Behavior_2_T_Loop0_TestCase9, TIMEOUT, 301760)
(FSE_Bitvector_Mode_Undefined_Behavior_2_T_Loop0_TestCase8, TIMEOUT, 301847)
(FSE_Bitvector_Mode_Undefined_Behavior_2_T_Loop0_TestCase5, TIMEOUT, 301810)
(FSE_Bitvector_Mode_Undefined_Behavior_2_T_Loop0_TestCase4, TIMEOUT, 301756)
(FSE_Bitvector_Mode_Undefined_Behavior_2_T_Loop0_TestCase6, TIMEOUT, 301710)
(FSE_Bitvector_Mode_Undefined_Behavior_2_T_Loop0_TestCase7, TIMEOUT, 301788)
(FSE_Bitvector_Mode_Undefined_Behavior_2_T_Loop0_TestCase3, YES, 90097)
(FSE_Bitvector_Mode_Undefined_Behavior_2_T_Loop0_TestCase2, YES, 12344)
(FSE_Bitvector_Mode_Undefined_Behavior_2_T_Loop0_TestCase1, YES, 2043)</t>
  </si>
  <si>
    <t>(FSE_Bitvector_Mode_Undefined_Behavior_2_T_Loop25_TestCase0, TIMEOUT, 301788)
(FSE_Bitvector_Mode_Undefined_Behavior_2_T_Loop14_TestCase0, TIMEOUT, 301754)</t>
  </si>
  <si>
    <t>(FSE_Bitvector_Mode_Undefined_Behavior_2_T_Loop0_TestCase0, TIMEOUT, 301759)</t>
  </si>
  <si>
    <t>5/20</t>
  </si>
  <si>
    <t>(FSE_Bitvector_Mode_Undefined_Behavior_2_Loop24_TestCase10, TIMEOUT, 301890)
(FSE_Bitvector_Mode_Undefined_Behavior_2_Loop13_TestCase9, TIMEOUT, 301859)
(FSE_Bitvector_Mode_Undefined_Behavior_2_Loop13_TestCase8, TIMEOUT, 302044)
(FSE_Bitvector_Mode_Undefined_Behavior_2_Loop24_TestCase9, TIMEOUT, 301873)
(FSE_Bitvector_Mode_Undefined_Behavior_2_Loop24_TestCase8, TIMEOUT, 301775)
(FSE_Bitvector_Mode_Undefined_Behavior_2_Loop24_TestCase3, TIMEOUT, 301889)
(FSE_Bitvector_Mode_Undefined_Behavior_2_Loop24_TestCase2, YES, 10946)
(FSE_Bitvector_Mode_Undefined_Behavior_2_Loop24_TestCase1, YES, 2065)
(FSE_Bitvector_Mode_Undefined_Behavior_2_Loop24_TestCase5, TIMEOUT, 302070)
(FSE_Bitvector_Mode_Undefined_Behavior_2_Loop13_TestCase10, TIMEOUT, 301811)
(FSE_Bitvector_Mode_Undefined_Behavior_2_Loop24_TestCase4, TIMEOUT, 302229)
(FSE_Bitvector_Mode_Undefined_Behavior_2_Loop24_TestCase6, TIMEOUT, 301805)
(FSE_Bitvector_Mode_Undefined_Behavior_2_Loop24_TestCase7, TIMEOUT, 301807)
(FSE_Bitvector_Mode_Undefined_Behavior_2_Loop13_TestCase6, TIMEOUT, 301855)
(FSE_Bitvector_Mode_Undefined_Behavior_2_Loop13_TestCase7, TIMEOUT, 301853)
(FSE_Bitvector_Mode_Undefined_Behavior_2_Loop13_TestCase5, TIMEOUT, 301833)
(FSE_Bitvector_Mode_Undefined_Behavior_2_Loop13_TestCase4, TIMEOUT, 301887)
(FSE_Bitvector_Mode_Undefined_Behavior_2_Loop13_TestCase1, YES, 2363)
(FSE_Bitvector_Mode_Undefined_Behavior_2_Loop13_TestCase3, YES, 149789)
(FSE_Bitvector_Mode_Undefined_Behavior_2_Loop13_TestCase2, YES, 14547)</t>
  </si>
  <si>
    <t>(FSE_Bitvector_Mode_Undefined_Behavior_2_Loop0_TestCase9, TIMEOUT, 301670)
(FSE_Bitvector_Mode_Undefined_Behavior_2_Loop0_TestCase8, TIMEOUT, 301727)
(FSE_Bitvector_Mode_Undefined_Behavior_2_Loop0_TestCase10, TIMEOUT, 301842)
(FSE_Bitvector_Mode_Undefined_Behavior_2_Loop0_TestCase5, TIMEOUT, 301724)
(FSE_Bitvector_Mode_Undefined_Behavior_2_Loop0_TestCase4, TIMEOUT, 301741)
(FSE_Bitvector_Mode_Undefined_Behavior_2_Loop0_TestCase6, TIMEOUT, 301711)
(FSE_Bitvector_Mode_Undefined_Behavior_2_Loop0_TestCase7, TIMEOUT, 301750)
(FSE_Bitvector_Mode_Undefined_Behavior_2_Loop0_TestCase3, YES, 30351)
(FSE_Bitvector_Mode_Undefined_Behavior_2_Loop0_TestCase2, YES, 9451)
(FSE_Bitvector_Mode_Undefined_Behavior_2_Loop0_TestCase1, YES, 2324)</t>
  </si>
  <si>
    <t>(FSE_Bitvector_Mode_Undefined_Behavior_2_Loop24_TestCase0, TIMEOUT, 301870)
(FSE_Bitvector_Mode_Undefined_Behavior_2_Loop13_TestCase0, TIMEOUT, 301742)</t>
  </si>
  <si>
    <t>(FSE_Bitvector_Mode_Undefined_Behavior_2_Loop0_TestCase0, TIMEOUT, 301762)</t>
  </si>
  <si>
    <t>(FSE_Bitvector_Mode_Undefined_Behavior_1_T_Loop15_TestCase7, YES, 4404)
(FSE_Bitvector_Mode_Undefined_Behavior_1_T_Loop15_TestCase6, YES, 1824)
(FSE_Bitvector_Mode_Undefined_Behavior_1_T_Loop15_TestCase4, YES, 1840)
(FSE_Bitvector_Mode_Undefined_Behavior_1_T_Loop15_TestCase5, YES, 1837)
(FSE_Bitvector_Mode_Undefined_Behavior_1_T_Loop15_TestCase1, YES, 1743)
(FSE_Bitvector_Mode_Undefined_Behavior_1_T_Loop15_TestCase2, YES, 1746)
(FSE_Bitvector_Mode_Undefined_Behavior_1_T_Loop15_TestCase3, YES, 1760)
(FSE_Bitvector_Mode_Undefined_Behavior_1_T_Loop15_TestCase8, YES, 1725)
(FSE_Bitvector_Mode_Undefined_Behavior_1_T_Loop15_TestCase9, YES, 1720)
(FSE_Bitvector_Mode_Undefined_Behavior_1_T_Loop15_TestCase10, YES, 1963)</t>
  </si>
  <si>
    <t>(FSE_Bitvector_Mode_Undefined_Behavior_1_T_Loop0_TestCase10, YES, 1713)
(FSE_Bitvector_Mode_Undefined_Behavior_1_T_Loop0_TestCase1, YES, 1786)
(FSE_Bitvector_Mode_Undefined_Behavior_1_T_Loop0_TestCase2, YES, 1741)
(FSE_Bitvector_Mode_Undefined_Behavior_1_T_Loop0_TestCase3, YES, 1744)
(FSE_Bitvector_Mode_Undefined_Behavior_1_T_Loop0_TestCase7, YES, 1823)
(FSE_Bitvector_Mode_Undefined_Behavior_1_T_Loop0_TestCase6, YES, 1816)
(FSE_Bitvector_Mode_Undefined_Behavior_1_T_Loop0_TestCase4, YES, 1800)
(FSE_Bitvector_Mode_Undefined_Behavior_1_T_Loop0_TestCase5, YES, 1710)
(FSE_Bitvector_Mode_Undefined_Behavior_1_T_Loop0_TestCase8, YES, 1809)
(FSE_Bitvector_Mode_Undefined_Behavior_1_T_Loop0_TestCase9, YES, 1817)</t>
  </si>
  <si>
    <t>(FSE_Bitvector_Mode_Undefined_Behavior_1_T_Loop15_TestCase0, YES, 1747)</t>
  </si>
  <si>
    <t>(FSE_Bitvector_Mode_Undefined_Behavior_1_T_Loop0_TestCase0, YES, 1900)</t>
  </si>
  <si>
    <t>(FSE_Bitvector_Mode_Undefined_Behavior_1_Loop14_TestCase10, YES, 1733)
(FSE_Bitvector_Mode_Undefined_Behavior_1_Loop14_TestCase6, YES, 1720)
(FSE_Bitvector_Mode_Undefined_Behavior_1_Loop14_TestCase7, YES, 1723)
(FSE_Bitvector_Mode_Undefined_Behavior_1_Loop14_TestCase5, YES, 1736)
(FSE_Bitvector_Mode_Undefined_Behavior_1_Loop14_TestCase4, YES, 1735)
(FSE_Bitvector_Mode_Undefined_Behavior_1_Loop14_TestCase1, YES, 1726)
(FSE_Bitvector_Mode_Undefined_Behavior_1_Loop14_TestCase3, YES, 1888)
(FSE_Bitvector_Mode_Undefined_Behavior_1_Loop14_TestCase2, YES, 1728)
(FSE_Bitvector_Mode_Undefined_Behavior_1_Loop14_TestCase9, YES, 1764)
(FSE_Bitvector_Mode_Undefined_Behavior_1_Loop14_TestCase8, YES, 1687)</t>
  </si>
  <si>
    <t>(FSE_Bitvector_Mode_Undefined_Behavior_1_Loop0_TestCase8, YES, 1742)
(FSE_Bitvector_Mode_Undefined_Behavior_1_Loop0_TestCase9, YES, 1715)
(FSE_Bitvector_Mode_Undefined_Behavior_1_Loop0_TestCase10, YES, 1714)
(FSE_Bitvector_Mode_Undefined_Behavior_1_Loop0_TestCase7, YES, 1712)
(FSE_Bitvector_Mode_Undefined_Behavior_1_Loop0_TestCase6, YES, 1729)
(FSE_Bitvector_Mode_Undefined_Behavior_1_Loop0_TestCase4, YES, 1727)
(FSE_Bitvector_Mode_Undefined_Behavior_1_Loop0_TestCase5, YES, 1729)
(FSE_Bitvector_Mode_Undefined_Behavior_1_Loop0_TestCase1, YES, 1704)
(FSE_Bitvector_Mode_Undefined_Behavior_1_Loop0_TestCase2, YES, 1707)
(FSE_Bitvector_Mode_Undefined_Behavior_1_Loop0_TestCase3, YES, 1720)</t>
  </si>
  <si>
    <t>(FSE_Bitvector_Mode_Undefined_Behavior_1_Loop14_TestCase0, YES, 1870)</t>
  </si>
  <si>
    <t>(FSE_Bitvector_Mode_Undefined_Behavior_1_Loop0_TestCase0, YES, 1866)</t>
  </si>
  <si>
    <t>(FSE_Bitvector_Mode_Type_Conversion_in_Comparison_2_T_Loop16_TestCase7, YES, 1866)
(FSE_Bitvector_Mode_Type_Conversion_in_Comparison_2_T_Loop16_TestCase6, YES, 1794)
(FSE_Bitvector_Mode_Type_Conversion_in_Comparison_2_T_Loop16_TestCase4, YES, 1861)
(FSE_Bitvector_Mode_Type_Conversion_in_Comparison_2_T_Loop16_TestCase5, TIMEOUT, 301783)
(FSE_Bitvector_Mode_Type_Conversion_in_Comparison_2_T_Loop16_TestCase1, YES, 1733)
(FSE_Bitvector_Mode_Type_Conversion_in_Comparison_2_T_Loop16_TestCase2, YES, 2177)
(FSE_Bitvector_Mode_Type_Conversion_in_Comparison_2_T_Loop16_TestCase3, YES, 1737)
(FSE_Bitvector_Mode_Type_Conversion_in_Comparison_2_T_Loop16_TestCase8, TIMEOUT, 301733)
(FSE_Bitvector_Mode_Type_Conversion_in_Comparison_2_T_Loop16_TestCase9, TIMEOUT, 303317)
(FSE_Bitvector_Mode_Type_Conversion_in_Comparison_2_T_Loop16_TestCase10, TIMEOUT, 301726)</t>
  </si>
  <si>
    <t>(FSE_Bitvector_Mode_Type_Conversion_in_Comparison_2_T_Loop0_TestCase3, YES, 1691)
(FSE_Bitvector_Mode_Type_Conversion_in_Comparison_2_T_Loop0_TestCase2, YES, 2127)
(FSE_Bitvector_Mode_Type_Conversion_in_Comparison_2_T_Loop0_TestCase10, TIMEOUT, 301623)
(FSE_Bitvector_Mode_Type_Conversion_in_Comparison_2_T_Loop0_TestCase1, YES, 1752)
(FSE_Bitvector_Mode_Type_Conversion_in_Comparison_2_T_Loop0_TestCase5, TIMEOUT, 301625)
(FSE_Bitvector_Mode_Type_Conversion_in_Comparison_2_T_Loop0_TestCase4, YES, 1835)
(FSE_Bitvector_Mode_Type_Conversion_in_Comparison_2_T_Loop0_TestCase6, YES, 1753)
(FSE_Bitvector_Mode_Type_Conversion_in_Comparison_2_T_Loop0_TestCase7, YES, 1823)
(FSE_Bitvector_Mode_Type_Conversion_in_Comparison_2_T_Loop0_TestCase9, TIMEOUT, 301606)
(FSE_Bitvector_Mode_Type_Conversion_in_Comparison_2_T_Loop0_TestCase8, TIMEOUT, 301611)</t>
  </si>
  <si>
    <t>(FSE_Bitvector_Mode_Type_Conversion_in_Comparison_2_T_Loop16_TestCase0, TIMEOUT, 301744)</t>
  </si>
  <si>
    <t>(FSE_Bitvector_Mode_Type_Conversion_in_Comparison_2_T_Loop0_TestCase0, TIMEOUT, 301741)</t>
  </si>
  <si>
    <t>(FSE_Bitvector_Mode_Type_Conversion_in_Comparison_2_NT_Loop17_TestCase8, NO, 1704)
(FSE_Bitvector_Mode_Type_Conversion_in_Comparison_2_NT_Loop17_TestCase9, NO, 1728)
(FSE_Bitvector_Mode_Type_Conversion_in_Comparison_2_NT_Loop17_TestCase2, YES, 2165)
(FSE_Bitvector_Mode_Type_Conversion_in_Comparison_2_NT_Loop17_TestCase3, YES, 1767)
(FSE_Bitvector_Mode_Type_Conversion_in_Comparison_2_NT_Loop17_TestCase1, YES, 1725)
(FSE_Bitvector_Mode_Type_Conversion_in_Comparison_2_NT_Loop17_TestCase10, NO, 1890)
(FSE_Bitvector_Mode_Type_Conversion_in_Comparison_2_NT_Loop17_TestCase4, YES, 1749)
(FSE_Bitvector_Mode_Type_Conversion_in_Comparison_2_NT_Loop17_TestCase5, TIMEOUT, 301700)
(FSE_Bitvector_Mode_Type_Conversion_in_Comparison_2_NT_Loop17_TestCase7, NO, 1744)
(FSE_Bitvector_Mode_Type_Conversion_in_Comparison_2_NT_Loop17_TestCase6, NO, 1709)</t>
  </si>
  <si>
    <t>(FSE_Bitvector_Mode_Type_Conversion_in_Comparison_2_NT_Loop0_TestCase10, NO, 1710)
(FSE_Bitvector_Mode_Type_Conversion_in_Comparison_2_NT_Loop0_TestCase9, NO, 1690)
(FSE_Bitvector_Mode_Type_Conversion_in_Comparison_2_NT_Loop0_TestCase8, NO, 1717)
(FSE_Bitvector_Mode_Type_Conversion_in_Comparison_2_NT_Loop0_TestCase5, TIMEOUT, 301657)
(FSE_Bitvector_Mode_Type_Conversion_in_Comparison_2_NT_Loop0_TestCase4, YES, 1749)
(FSE_Bitvector_Mode_Type_Conversion_in_Comparison_2_NT_Loop0_TestCase6, NO, 1728)
(FSE_Bitvector_Mode_Type_Conversion_in_Comparison_2_NT_Loop0_TestCase7, NO, 1673)
(FSE_Bitvector_Mode_Type_Conversion_in_Comparison_2_NT_Loop0_TestCase3, YES, 1702)
(FSE_Bitvector_Mode_Type_Conversion_in_Comparison_2_NT_Loop0_TestCase2, YES, 2122)
(FSE_Bitvector_Mode_Type_Conversion_in_Comparison_2_NT_Loop0_TestCase1, YES, 1753)</t>
  </si>
  <si>
    <t>(FSE_Bitvector_Mode_Type_Conversion_in_Comparison_2_NT_Loop17_TestCase0, NO, 1926)</t>
  </si>
  <si>
    <t>(FSE_Bitvector_Mode_Type_Conversion_in_Comparison_2_NT_Loop0_TestCase0, NO, 1897)</t>
  </si>
  <si>
    <t>(FSE_Bitvector_Mode_Type_Conversion_in_Comparison_1_T_Loop18_TestCase7, YES, 1664)
(FSE_Bitvector_Mode_Type_Conversion_in_Comparison_1_T_Loop18_TestCase6, YES, 4174)
(FSE_Bitvector_Mode_Type_Conversion_in_Comparison_1_T_Loop18_TestCase4, YES, 1810)
(FSE_Bitvector_Mode_Type_Conversion_in_Comparison_1_T_Loop18_TestCase5, YES, 1722)
(FSE_Bitvector_Mode_Type_Conversion_in_Comparison_1_T_Loop18_TestCase1, YES, 1727)
(FSE_Bitvector_Mode_Type_Conversion_in_Comparison_1_T_Loop18_TestCase2, YES, 1753)
(FSE_Bitvector_Mode_Type_Conversion_in_Comparison_1_T_Loop18_TestCase3, YES, 1734)
(FSE_Bitvector_Mode_Type_Conversion_in_Comparison_1_T_Loop18_TestCase8, YES, 1683)
(FSE_Bitvector_Mode_Type_Conversion_in_Comparison_1_T_Loop18_TestCase10, YES, 1731)
(FSE_Bitvector_Mode_Type_Conversion_in_Comparison_1_T_Loop18_TestCase9, YES, 1711)</t>
  </si>
  <si>
    <t>(FSE_Bitvector_Mode_Type_Conversion_in_Comparison_1_T_Loop0_TestCase10, YES, 1682)
(FSE_Bitvector_Mode_Type_Conversion_in_Comparison_1_T_Loop0_TestCase8, YES, 1902)
(FSE_Bitvector_Mode_Type_Conversion_in_Comparison_1_T_Loop0_TestCase9, YES, 1791)
(FSE_Bitvector_Mode_Type_Conversion_in_Comparison_1_T_Loop0_TestCase7, YES, 1800)
(FSE_Bitvector_Mode_Type_Conversion_in_Comparison_1_T_Loop0_TestCase6, YES, 1726)
(FSE_Bitvector_Mode_Type_Conversion_in_Comparison_1_T_Loop0_TestCase4, YES, 1784)
(FSE_Bitvector_Mode_Type_Conversion_in_Comparison_1_T_Loop0_TestCase5, YES, 1815)
(FSE_Bitvector_Mode_Type_Conversion_in_Comparison_1_T_Loop0_TestCase1, YES, 1664)
(FSE_Bitvector_Mode_Type_Conversion_in_Comparison_1_T_Loop0_TestCase2, YES, 1727)
(FSE_Bitvector_Mode_Type_Conversion_in_Comparison_1_T_Loop0_TestCase3, YES, 1805)</t>
  </si>
  <si>
    <t>(FSE_Bitvector_Mode_Type_Conversion_in_Comparison_1_T_Loop18_TestCase0, YES, 1846)</t>
  </si>
  <si>
    <t>(FSE_Bitvector_Mode_Type_Conversion_in_Comparison_1_T_Loop0_TestCase0, YES, 1868)</t>
  </si>
  <si>
    <t>(FSE_Bitvector_Mode_Type_Conversion_in_Comparison_1_NT_Loop16_TestCase1, YES, 1724)
(FSE_Bitvector_Mode_Type_Conversion_in_Comparison_1_NT_Loop16_TestCase3, YES, 1814)
(FSE_Bitvector_Mode_Type_Conversion_in_Comparison_1_NT_Loop16_TestCase2, YES, 1847)
(FSE_Bitvector_Mode_Type_Conversion_in_Comparison_1_NT_Loop16_TestCase6, NO, 1738)
(FSE_Bitvector_Mode_Type_Conversion_in_Comparison_1_NT_Loop16_TestCase10, NO, 1961)
(FSE_Bitvector_Mode_Type_Conversion_in_Comparison_1_NT_Loop16_TestCase7, NO, 1699)
(FSE_Bitvector_Mode_Type_Conversion_in_Comparison_1_NT_Loop16_TestCase5, YES, 3541)
(FSE_Bitvector_Mode_Type_Conversion_in_Comparison_1_NT_Loop16_TestCase4, YES, 1850)
(FSE_Bitvector_Mode_Type_Conversion_in_Comparison_1_NT_Loop16_TestCase9, NO, 1716)
(FSE_Bitvector_Mode_Type_Conversion_in_Comparison_1_NT_Loop16_TestCase8, NO, 1754)</t>
  </si>
  <si>
    <t>(FSE_Bitvector_Mode_Type_Conversion_in_Comparison_1_NT_Loop0_TestCase10, NO, 1668)
(FSE_Bitvector_Mode_Type_Conversion_in_Comparison_1_NT_Loop0_TestCase9, NO, 1678)
(FSE_Bitvector_Mode_Type_Conversion_in_Comparison_1_NT_Loop0_TestCase8, NO, 1697)
(FSE_Bitvector_Mode_Type_Conversion_in_Comparison_1_NT_Loop0_TestCase1, YES, 1691)
(FSE_Bitvector_Mode_Type_Conversion_in_Comparison_1_NT_Loop0_TestCase3, YES, 1778)
(FSE_Bitvector_Mode_Type_Conversion_in_Comparison_1_NT_Loop0_TestCase2, YES, 1806)
(FSE_Bitvector_Mode_Type_Conversion_in_Comparison_1_NT_Loop0_TestCase6, NO, 1698)
(FSE_Bitvector_Mode_Type_Conversion_in_Comparison_1_NT_Loop0_TestCase7, NO, 1695)
(FSE_Bitvector_Mode_Type_Conversion_in_Comparison_1_NT_Loop0_TestCase5, YES, 1818)
(FSE_Bitvector_Mode_Type_Conversion_in_Comparison_1_NT_Loop0_TestCase4, YES, 1796)</t>
  </si>
  <si>
    <t>(FSE_Bitvector_Mode_Type_Conversion_in_Comparison_1_NT_Loop16_TestCase0, NO, 3007)</t>
  </si>
  <si>
    <t>(FSE_Bitvector_Mode_Type_Conversion_in_Comparison_1_NT_Loop0_TestCase0, NO, 2545)</t>
  </si>
  <si>
    <t>(FSE_Bitvector_Mode_Type_Conversion_in_Assignment_1_T_Loop26_TestCase9, MAYBE, 585)
(FSE_Bitvector_Mode_Type_Conversion_in_Assignment_1_T_Loop26_TestCase8, MAYBE, 862)
(FSE_Bitvector_Mode_Type_Conversion_in_Assignment_1_T_Loop26_TestCase6, MAYBE, 594)
(FSE_Bitvector_Mode_Type_Conversion_in_Assignment_1_T_Loop26_TestCase7, MAYBE, 579)
(FSE_Bitvector_Mode_Type_Conversion_in_Assignment_1_T_Loop26_TestCase5, MAYBE, 575)
(FSE_Bitvector_Mode_Type_Conversion_in_Assignment_1_T_Loop26_TestCase4, MAYBE, 571)
(FSE_Bitvector_Mode_Type_Conversion_in_Assignment_1_T_Loop26_TestCase1, MAYBE, 582)
(FSE_Bitvector_Mode_Type_Conversion_in_Assignment_1_T_Loop26_TestCase10, MAYBE, 586)
(FSE_Bitvector_Mode_Type_Conversion_in_Assignment_1_T_Loop26_TestCase3, MAYBE, 586)
(FSE_Bitvector_Mode_Type_Conversion_in_Assignment_1_T_Loop26_TestCase2, MAYBE, 571)</t>
  </si>
  <si>
    <t>(FSE_Bitvector_Mode_Type_Conversion_in_Assignment_1_T_Loop0_TestCase3, YES, 1753)
(FSE_Bitvector_Mode_Type_Conversion_in_Assignment_1_T_Loop0_TestCase2, YES, 1763)
(FSE_Bitvector_Mode_Type_Conversion_in_Assignment_1_T_Loop0_TestCase1, YES, 1743)
(FSE_Bitvector_Mode_Type_Conversion_in_Assignment_1_T_Loop0_TestCase5, YES, 1771)
(FSE_Bitvector_Mode_Type_Conversion_in_Assignment_1_T_Loop0_TestCase4, YES, 1749)
(FSE_Bitvector_Mode_Type_Conversion_in_Assignment_1_T_Loop0_TestCase6, YES, 1715)
(FSE_Bitvector_Mode_Type_Conversion_in_Assignment_1_T_Loop0_TestCase7, YES, 1728)
(FSE_Bitvector_Mode_Type_Conversion_in_Assignment_1_T_Loop0_TestCase9, YES, 1743)
(FSE_Bitvector_Mode_Type_Conversion_in_Assignment_1_T_Loop0_TestCase8, YES, 1739)
(FSE_Bitvector_Mode_Type_Conversion_in_Assignment_1_T_Loop0_TestCase10, YES, 1801)</t>
  </si>
  <si>
    <t>(FSE_Bitvector_Mode_Type_Conversion_in_Assignment_1_T_Loop26_TestCase0, MAYBE, 571)</t>
  </si>
  <si>
    <t>(FSE_Bitvector_Mode_Type_Conversion_in_Assignment_1_T_Loop0_TestCase0, YES, 1829)</t>
  </si>
  <si>
    <t>(FSE_Bitvector_Mode_Type_Conversion_in_Assignment_1_NT_Loop27_TestCase4, MAYBE, 578)
(FSE_Bitvector_Mode_Type_Conversion_in_Assignment_1_NT_Loop27_TestCase5, MAYBE, 574)
(FSE_Bitvector_Mode_Type_Conversion_in_Assignment_1_NT_Loop27_TestCase7, MAYBE, 590)
(FSE_Bitvector_Mode_Type_Conversion_in_Assignment_1_NT_Loop27_TestCase6, MAYBE, 580)
(FSE_Bitvector_Mode_Type_Conversion_in_Assignment_1_NT_Loop27_TestCase2, MAYBE, 588)
(FSE_Bitvector_Mode_Type_Conversion_in_Assignment_1_NT_Loop27_TestCase3, MAYBE, 578)
(FSE_Bitvector_Mode_Type_Conversion_in_Assignment_1_NT_Loop27_TestCase1, MAYBE, 614)
(FSE_Bitvector_Mode_Type_Conversion_in_Assignment_1_NT_Loop27_TestCase10, MAYBE, 575)
(FSE_Bitvector_Mode_Type_Conversion_in_Assignment_1_NT_Loop27_TestCase8, MAYBE, 588)
(FSE_Bitvector_Mode_Type_Conversion_in_Assignment_1_NT_Loop27_TestCase9, MAYBE, 569)</t>
  </si>
  <si>
    <t>(FSE_Bitvector_Mode_Type_Conversion_in_Assignment_1_NT_Loop0_TestCase5, YES, 1837)
(FSE_Bitvector_Mode_Type_Conversion_in_Assignment_1_NT_Loop0_TestCase4, YES, 1929)
(FSE_Bitvector_Mode_Type_Conversion_in_Assignment_1_NT_Loop0_TestCase6, NO, 1822)
(FSE_Bitvector_Mode_Type_Conversion_in_Assignment_1_NT_Loop0_TestCase7, NO, 1776)
(FSE_Bitvector_Mode_Type_Conversion_in_Assignment_1_NT_Loop0_TestCase3, YES, 1784)
(FSE_Bitvector_Mode_Type_Conversion_in_Assignment_1_NT_Loop0_TestCase2, YES, 1757)
(FSE_Bitvector_Mode_Type_Conversion_in_Assignment_1_NT_Loop0_TestCase1, YES, 1764)
(FSE_Bitvector_Mode_Type_Conversion_in_Assignment_1_NT_Loop0_TestCase10, NO, 1766)
(FSE_Bitvector_Mode_Type_Conversion_in_Assignment_1_NT_Loop0_TestCase9, NO, 1762)
(FSE_Bitvector_Mode_Type_Conversion_in_Assignment_1_NT_Loop0_TestCase8, NO, 1766)</t>
  </si>
  <si>
    <t>(FSE_Bitvector_Mode_Type_Conversion_in_Assignment_1_NT_Loop27_TestCase0, MAYBE, 579)</t>
  </si>
  <si>
    <t>(FSE_Bitvector_Mode_Type_Conversion_in_Assignment_1_NT_Loop0_TestCase0, NO, 2065)</t>
  </si>
  <si>
    <t>(FSE_Bitvector_Mode_Signed_Overflow_Error_3_T_Loop14_TestCase10, YES, 1828)
(FSE_Bitvector_Mode_Signed_Overflow_Error_3_T_Loop14_TestCase5, YES, 1799)
(FSE_Bitvector_Mode_Signed_Overflow_Error_3_T_Loop14_TestCase4, YES, 1744)
(FSE_Bitvector_Mode_Signed_Overflow_Error_3_T_Loop14_TestCase6, YES, 1890)
(FSE_Bitvector_Mode_Signed_Overflow_Error_3_T_Loop14_TestCase7, YES, 1846)
(FSE_Bitvector_Mode_Signed_Overflow_Error_3_T_Loop14_TestCase3, YES, 1910)
(FSE_Bitvector_Mode_Signed_Overflow_Error_3_T_Loop14_TestCase2, YES, 4047)
(FSE_Bitvector_Mode_Signed_Overflow_Error_3_T_Loop14_TestCase1, MAYBE, 544)
(FSE_Bitvector_Mode_Signed_Overflow_Error_3_T_Loop14_TestCase9, YES, 1801)
(FSE_Bitvector_Mode_Signed_Overflow_Error_3_T_Loop14_TestCase8, YES, 1839)</t>
  </si>
  <si>
    <t>(FSE_Bitvector_Mode_Signed_Overflow_Error_3_T_Loop0_TestCase3, YES, 1701)
(FSE_Bitvector_Mode_Signed_Overflow_Error_3_T_Loop0_TestCase2, YES, 1672)
(FSE_Bitvector_Mode_Signed_Overflow_Error_3_T_Loop0_TestCase1, MAYBE, 553)
(FSE_Bitvector_Mode_Signed_Overflow_Error_3_T_Loop0_TestCase5, YES, 1916)
(FSE_Bitvector_Mode_Signed_Overflow_Error_3_T_Loop0_TestCase4, YES, 1805)
(FSE_Bitvector_Mode_Signed_Overflow_Error_3_T_Loop0_TestCase6, YES, 1902)
(FSE_Bitvector_Mode_Signed_Overflow_Error_3_T_Loop0_TestCase7, YES, 2158)
(FSE_Bitvector_Mode_Signed_Overflow_Error_3_T_Loop0_TestCase9, YES, 1938)
(FSE_Bitvector_Mode_Signed_Overflow_Error_3_T_Loop0_TestCase8, YES, 1938)
(FSE_Bitvector_Mode_Signed_Overflow_Error_3_T_Loop0_TestCase10, YES, 1984)</t>
  </si>
  <si>
    <t>(FSE_Bitvector_Mode_Signed_Overflow_Error_3_T_Loop14_TestCase0, YES, 1899)</t>
  </si>
  <si>
    <t>(FSE_Bitvector_Mode_Signed_Overflow_Error_3_T_Loop0_TestCase0, YES, 2042)</t>
  </si>
  <si>
    <t>1/5</t>
  </si>
  <si>
    <t>(FSE_Bitvector_Mode_Signed_Overflow_Error_3_NT_Loop15_TestCase9, TIMEOUT, 301699)
(FSE_Bitvector_Mode_Signed_Overflow_Error_3_NT_Loop15_TestCase8, TIMEOUT, 301729)
(FSE_Bitvector_Mode_Signed_Overflow_Error_3_NT_Loop15_TestCase1, MAYBE, 549)
(FSE_Bitvector_Mode_Signed_Overflow_Error_3_NT_Loop15_TestCase3, YES, 1723)
(FSE_Bitvector_Mode_Signed_Overflow_Error_3_NT_Loop15_TestCase2, YES, 1742)
(FSE_Bitvector_Mode_Signed_Overflow_Error_3_NT_Loop15_TestCase6, NO, 1830)
(FSE_Bitvector_Mode_Signed_Overflow_Error_3_NT_Loop15_TestCase10, TIMEOUT, 301744)
(FSE_Bitvector_Mode_Signed_Overflow_Error_3_NT_Loop15_TestCase7, TIMEOUT, 301687)
(FSE_Bitvector_Mode_Signed_Overflow_Error_3_NT_Loop15_TestCase5, YES, 2453)
(FSE_Bitvector_Mode_Signed_Overflow_Error_3_NT_Loop15_TestCase4, YES, 2011)</t>
  </si>
  <si>
    <t>(FSE_Bitvector_Mode_Signed_Overflow_Error_3_NT_Loop0_TestCase5, YES, 145599)
(FSE_Bitvector_Mode_Signed_Overflow_Error_3_NT_Loop0_TestCase4, YES, 5016)
(FSE_Bitvector_Mode_Signed_Overflow_Error_3_NT_Loop0_TestCase6, NO, 1826)
(FSE_Bitvector_Mode_Signed_Overflow_Error_3_NT_Loop0_TestCase7, TIMEOUT, 301636)
(FSE_Bitvector_Mode_Signed_Overflow_Error_3_NT_Loop0_TestCase3, YES, 1854)
(FSE_Bitvector_Mode_Signed_Overflow_Error_3_NT_Loop0_TestCase2, YES, 1709)
(FSE_Bitvector_Mode_Signed_Overflow_Error_3_NT_Loop0_TestCase1, MAYBE, 558)
(FSE_Bitvector_Mode_Signed_Overflow_Error_3_NT_Loop0_TestCase10, TIMEOUT, 301600)
(FSE_Bitvector_Mode_Signed_Overflow_Error_3_NT_Loop0_TestCase9, TIMEOUT, 301606)
(FSE_Bitvector_Mode_Signed_Overflow_Error_3_NT_Loop0_TestCase8, TIMEOUT, 301622)</t>
  </si>
  <si>
    <t>(FSE_Bitvector_Mode_Signed_Overflow_Error_3_NT_Loop15_TestCase0, NO, 7594)</t>
  </si>
  <si>
    <t>(FSE_Bitvector_Mode_Signed_Overflow_Error_3_NT_Loop0_TestCase0, NO, 8477)</t>
  </si>
  <si>
    <t>(FSE_Bitvector_Mode_Signed_Overflow_Error_2_T_Loop14_TestCase1, YES, 1757)
(FSE_Bitvector_Mode_Signed_Overflow_Error_2_T_Loop14_TestCase2, YES, 1726)
(FSE_Bitvector_Mode_Signed_Overflow_Error_2_T_Loop14_TestCase3, YES, 1778)
(FSE_Bitvector_Mode_Signed_Overflow_Error_2_T_Loop14_TestCase7, TIMEOUT, 301768)
(FSE_Bitvector_Mode_Signed_Overflow_Error_2_T_Loop14_TestCase6, TIMEOUT, 301752)
(FSE_Bitvector_Mode_Signed_Overflow_Error_2_T_Loop14_TestCase4, YES, 1838)
(FSE_Bitvector_Mode_Signed_Overflow_Error_2_T_Loop14_TestCase5, YES, 1771)
(FSE_Bitvector_Mode_Signed_Overflow_Error_2_T_Loop14_TestCase10, TIMEOUT, 301726)
(FSE_Bitvector_Mode_Signed_Overflow_Error_2_T_Loop14_TestCase8, YES, 3684)
(FSE_Bitvector_Mode_Signed_Overflow_Error_2_T_Loop14_TestCase9, TIMEOUT, 301752)</t>
  </si>
  <si>
    <t>(FSE_Bitvector_Mode_Signed_Overflow_Error_2_T_Loop0_TestCase9, TIMEOUT, 301665)
(FSE_Bitvector_Mode_Signed_Overflow_Error_2_T_Loop0_TestCase8, YES, 7669)
(FSE_Bitvector_Mode_Signed_Overflow_Error_2_T_Loop0_TestCase1, YES, 1722)
(FSE_Bitvector_Mode_Signed_Overflow_Error_2_T_Loop0_TestCase3, YES, 1692)
(FSE_Bitvector_Mode_Signed_Overflow_Error_2_T_Loop0_TestCase2, YES, 1707)
(FSE_Bitvector_Mode_Signed_Overflow_Error_2_T_Loop0_TestCase6, TIMEOUT, 301647)
(FSE_Bitvector_Mode_Signed_Overflow_Error_2_T_Loop0_TestCase10, TIMEOUT, 301632)
(FSE_Bitvector_Mode_Signed_Overflow_Error_2_T_Loop0_TestCase7, TIMEOUT, 301687)
(FSE_Bitvector_Mode_Signed_Overflow_Error_2_T_Loop0_TestCase5, YES, 1723)
(FSE_Bitvector_Mode_Signed_Overflow_Error_2_T_Loop0_TestCase4, YES, 1712)</t>
  </si>
  <si>
    <t>(FSE_Bitvector_Mode_Signed_Overflow_Error_2_T_Loop14_TestCase0, TIMEOUT, 301647)</t>
  </si>
  <si>
    <t>(FSE_Bitvector_Mode_Signed_Overflow_Error_2_T_Loop0_TestCase0, TIMEOUT, 301668)</t>
  </si>
  <si>
    <t>(FSE_Bitvector_Mode_Signed_Overflow_Error_2_NT_Loop15_TestCase4, YES, 1964)
(FSE_Bitvector_Mode_Signed_Overflow_Error_2_NT_Loop15_TestCase5, YES, 1919)
(FSE_Bitvector_Mode_Signed_Overflow_Error_2_NT_Loop15_TestCase7, NO, 100099)
(FSE_Bitvector_Mode_Signed_Overflow_Error_2_NT_Loop15_TestCase6, NO, 1728)
(FSE_Bitvector_Mode_Signed_Overflow_Error_2_NT_Loop15_TestCase2, YES, 1757)
(FSE_Bitvector_Mode_Signed_Overflow_Error_2_NT_Loop15_TestCase3, YES, 1786)
(FSE_Bitvector_Mode_Signed_Overflow_Error_2_NT_Loop15_TestCase1, YES, 1713)
(FSE_Bitvector_Mode_Signed_Overflow_Error_2_NT_Loop15_TestCase10, TIMEOUT, 302228)
(FSE_Bitvector_Mode_Signed_Overflow_Error_2_NT_Loop15_TestCase8, TIMEOUT, 301711)
(FSE_Bitvector_Mode_Signed_Overflow_Error_2_NT_Loop15_TestCase9, TIMEOUT, 301765)</t>
  </si>
  <si>
    <t>(FSE_Bitvector_Mode_Signed_Overflow_Error_2_NT_Loop0_TestCase1, YES, 1694)
(FSE_Bitvector_Mode_Signed_Overflow_Error_2_NT_Loop0_TestCase2, YES, 1768)
(FSE_Bitvector_Mode_Signed_Overflow_Error_2_NT_Loop0_TestCase3, YES, 1737)
(FSE_Bitvector_Mode_Signed_Overflow_Error_2_NT_Loop0_TestCase7, TIMEOUT, 301600)
(FSE_Bitvector_Mode_Signed_Overflow_Error_2_NT_Loop0_TestCase6, NO, 1712)
(FSE_Bitvector_Mode_Signed_Overflow_Error_2_NT_Loop0_TestCase4, YES, 2016)
(FSE_Bitvector_Mode_Signed_Overflow_Error_2_NT_Loop0_TestCase5, YES, 1840)
(FSE_Bitvector_Mode_Signed_Overflow_Error_2_NT_Loop0_TestCase10, TIMEOUT, 301592)
(FSE_Bitvector_Mode_Signed_Overflow_Error_2_NT_Loop0_TestCase8, TIMEOUT, 301667)
(FSE_Bitvector_Mode_Signed_Overflow_Error_2_NT_Loop0_TestCase9, TIMEOUT, 301609)</t>
  </si>
  <si>
    <t>(FSE_Bitvector_Mode_Signed_Overflow_Error_2_NT_Loop15_TestCase0, NO, 7054)</t>
  </si>
  <si>
    <t>(FSE_Bitvector_Mode_Signed_Overflow_Error_2_NT_Loop0_TestCase0, NO, 7851)</t>
  </si>
  <si>
    <t>(FSE_Bitvector_Mode_Signed_Overflow_Error_1_T_Loop14_TestCase0, YES, 2282)</t>
  </si>
  <si>
    <t>(FSE_Bitvector_Mode_Signed_Overflow_Error_1_T_Loop0_TestCase0, YES, 2234)</t>
  </si>
  <si>
    <t>(FSE_Bitvector_Mode_Signed_Overflow_Error_1_T_Loop14_TestCase0, YES, 2215)</t>
  </si>
  <si>
    <t>(FSE_Bitvector_Mode_Signed_Overflow_Error_1_T_Loop0_TestCase0, YES, 2257)</t>
  </si>
  <si>
    <t>(FSE_Bitvector_Mode_Signed_Overflow_Error_1_NT_Loop13_TestCase0, YES, 2540)</t>
  </si>
  <si>
    <t>(FSE_Bitvector_Mode_Signed_Overflow_Error_1_NT_Loop0_TestCase0, YES, 2205)</t>
  </si>
  <si>
    <t>(FSE_Bitvector_Mode_Signed_Overflow_Error_1_NT_Loop13_TestCase0, YES, 2401)</t>
  </si>
  <si>
    <t>(FSE_Bitvector_Mode_Signed_Overflow_Error_1_NT_Loop0_TestCase0, YES, 2251)</t>
  </si>
  <si>
    <t>20/20</t>
  </si>
  <si>
    <t>(FSE_Bitvector_Mode_Reusing_Same_Loop_Iterator_2_T_Loop17_TestCase4, YES, 2127)
(FSE_Bitvector_Mode_Reusing_Same_Loop_Iterator_2_T_Loop17_TestCase5, YES, 4171)
(FSE_Bitvector_Mode_Reusing_Same_Loop_Iterator_2_T_Loop17_TestCase7, YES, 1710)
(FSE_Bitvector_Mode_Reusing_Same_Loop_Iterator_2_T_Loop17_TestCase6, YES, 1708)
(FSE_Bitvector_Mode_Reusing_Same_Loop_Iterator_2_T_Loop17_TestCase2, YES, 1723)
(FSE_Bitvector_Mode_Reusing_Same_Loop_Iterator_2_T_Loop17_TestCase3, YES, 1740)
(FSE_Bitvector_Mode_Reusing_Same_Loop_Iterator_2_T_Loop17_TestCase1, YES, 1754)
(FSE_Bitvector_Mode_Reusing_Same_Loop_Iterator_2_T_Loop17_TestCase10, YES, 1748)
(FSE_Bitvector_Mode_Reusing_Same_Loop_Iterator_2_T_Loop20_TestCase1, YES, 1710)
(FSE_Bitvector_Mode_Reusing_Same_Loop_Iterator_2_T_Loop20_TestCase2, YES, 1701)
(FSE_Bitvector_Mode_Reusing_Same_Loop_Iterator_2_T_Loop20_TestCase3, YES, 1729)
(FSE_Bitvector_Mode_Reusing_Same_Loop_Iterator_2_T_Loop20_TestCase7, YES, 3662)
(FSE_Bitvector_Mode_Reusing_Same_Loop_Iterator_2_T_Loop20_TestCase6, YES, 3906)
(FSE_Bitvector_Mode_Reusing_Same_Loop_Iterator_2_T_Loop20_TestCase4, YES, 1752)
(FSE_Bitvector_Mode_Reusing_Same_Loop_Iterator_2_T_Loop20_TestCase5, YES, 1749)
(FSE_Bitvector_Mode_Reusing_Same_Loop_Iterator_2_T_Loop20_TestCase8, YES, 4360)
(FSE_Bitvector_Mode_Reusing_Same_Loop_Iterator_2_T_Loop20_TestCase9, YES, 4072)
(FSE_Bitvector_Mode_Reusing_Same_Loop_Iterator_2_T_Loop20_TestCase10, YES, 5175)
(FSE_Bitvector_Mode_Reusing_Same_Loop_Iterator_2_T_Loop17_TestCase8, YES, 1710)
(FSE_Bitvector_Mode_Reusing_Same_Loop_Iterator_2_T_Loop17_TestCase9, YES, 1723)</t>
  </si>
  <si>
    <t>(FSE_Bitvector_Mode_Reusing_Same_Loop_Iterator_2_T_Loop0_TestCase8, YES, 4518)
(FSE_Bitvector_Mode_Reusing_Same_Loop_Iterator_2_T_Loop0_TestCase9, YES, 5669)
(FSE_Bitvector_Mode_Reusing_Same_Loop_Iterator_2_T_Loop0_TestCase7, YES, 4612)
(FSE_Bitvector_Mode_Reusing_Same_Loop_Iterator_2_T_Loop0_TestCase6, YES, 4763)
(FSE_Bitvector_Mode_Reusing_Same_Loop_Iterator_2_T_Loop0_TestCase4, YES, 1675)
(FSE_Bitvector_Mode_Reusing_Same_Loop_Iterator_2_T_Loop0_TestCase5, YES, 1708)
(FSE_Bitvector_Mode_Reusing_Same_Loop_Iterator_2_T_Loop0_TestCase1, YES, 1710)
(FSE_Bitvector_Mode_Reusing_Same_Loop_Iterator_2_T_Loop0_TestCase10, YES, 6812)
(FSE_Bitvector_Mode_Reusing_Same_Loop_Iterator_2_T_Loop0_TestCase2, YES, 1729)
(FSE_Bitvector_Mode_Reusing_Same_Loop_Iterator_2_T_Loop0_TestCase3, YES, 1693)</t>
  </si>
  <si>
    <t>2/2</t>
  </si>
  <si>
    <t>(FSE_Bitvector_Mode_Reusing_Same_Loop_Iterator_2_T_Loop17_TestCase0, YES, 1850)
(FSE_Bitvector_Mode_Reusing_Same_Loop_Iterator_2_T_Loop20_TestCase0, YES, 34274)</t>
  </si>
  <si>
    <t>(FSE_Bitvector_Mode_Reusing_Same_Loop_Iterator_2_T_Loop0_TestCase0, YES, 27037)</t>
  </si>
  <si>
    <t>(FSE_Bitvector_Mode_Reusing_Same_Loop_Iterator_2_NT_Loop18_TestCase8, NO, 2940)
(FSE_Bitvector_Mode_Reusing_Same_Loop_Iterator_2_NT_Loop18_TestCase9, NO, 1745)
(FSE_Bitvector_Mode_Reusing_Same_Loop_Iterator_2_NT_Loop16_TestCase8, NO, 3029)
(FSE_Bitvector_Mode_Reusing_Same_Loop_Iterator_2_NT_Loop16_TestCase9, NO, 1702)
(FSE_Bitvector_Mode_Reusing_Same_Loop_Iterator_2_NT_Loop16_TestCase1, YES, 1726)
(FSE_Bitvector_Mode_Reusing_Same_Loop_Iterator_2_NT_Loop16_TestCase10, NO, 3048)
(FSE_Bitvector_Mode_Reusing_Same_Loop_Iterator_2_NT_Loop16_TestCase2, YES, 2774)
(FSE_Bitvector_Mode_Reusing_Same_Loop_Iterator_2_NT_Loop16_TestCase3, YES, 1711)
(FSE_Bitvector_Mode_Reusing_Same_Loop_Iterator_2_NT_Loop16_TestCase7, NO, 2845)
(FSE_Bitvector_Mode_Reusing_Same_Loop_Iterator_2_NT_Loop18_TestCase10, NO, 2865)
(FSE_Bitvector_Mode_Reusing_Same_Loop_Iterator_2_NT_Loop16_TestCase6, NO, 2131)
(FSE_Bitvector_Mode_Reusing_Same_Loop_Iterator_2_NT_Loop16_TestCase4, YES, 1803)
(FSE_Bitvector_Mode_Reusing_Same_Loop_Iterator_2_NT_Loop16_TestCase5, YES, 1743)
(FSE_Bitvector_Mode_Reusing_Same_Loop_Iterator_2_NT_Loop18_TestCase4, YES, 1754)
(FSE_Bitvector_Mode_Reusing_Same_Loop_Iterator_2_NT_Loop18_TestCase5, YES, 2261)
(FSE_Bitvector_Mode_Reusing_Same_Loop_Iterator_2_NT_Loop18_TestCase7, NO, 2554)
(FSE_Bitvector_Mode_Reusing_Same_Loop_Iterator_2_NT_Loop18_TestCase6, NO, 2079)
(FSE_Bitvector_Mode_Reusing_Same_Loop_Iterator_2_NT_Loop18_TestCase2, YES, 1784)
(FSE_Bitvector_Mode_Reusing_Same_Loop_Iterator_2_NT_Loop18_TestCase3, YES, 1724)
(FSE_Bitvector_Mode_Reusing_Same_Loop_Iterator_2_NT_Loop18_TestCase1, YES, 1711)</t>
  </si>
  <si>
    <t>8/10</t>
  </si>
  <si>
    <t>3/3</t>
  </si>
  <si>
    <t>(FSE_Bitvector_Mode_Reusing_Same_Loop_Iterator_2_NT_Loop0_TestCase1, YES, 1713)
(FSE_Bitvector_Mode_Reusing_Same_Loop_Iterator_2_NT_Loop0_TestCase2, YES, 1697)
(FSE_Bitvector_Mode_Reusing_Same_Loop_Iterator_2_NT_Loop0_TestCase3, YES, 1688)
(FSE_Bitvector_Mode_Reusing_Same_Loop_Iterator_2_NT_Loop0_TestCase7, NO, 2621)
(FSE_Bitvector_Mode_Reusing_Same_Loop_Iterator_2_NT_Loop0_TestCase6, NO, 2001)
(FSE_Bitvector_Mode_Reusing_Same_Loop_Iterator_2_NT_Loop0_TestCase4, YES, 1699)
(FSE_Bitvector_Mode_Reusing_Same_Loop_Iterator_2_NT_Loop0_TestCase5, YES, 1701)
(FSE_Bitvector_Mode_Reusing_Same_Loop_Iterator_2_NT_Loop0_TestCase8, NO, 2950)
(FSE_Bitvector_Mode_Reusing_Same_Loop_Iterator_2_NT_Loop0_TestCase9, NO, 1698)
(FSE_Bitvector_Mode_Reusing_Same_Loop_Iterator_2_NT_Loop0_TestCase10, NO, 2937)</t>
  </si>
  <si>
    <t>(FSE_Bitvector_Mode_Reusing_Same_Loop_Iterator_2_NT_Loop16_TestCase0, NO, 2166)
(FSE_Bitvector_Mode_Reusing_Same_Loop_Iterator_2_NT_Loop18_TestCase0, NO, 2090)</t>
  </si>
  <si>
    <t>(FSE_Bitvector_Mode_Reusing_Same_Loop_Iterator_2_NT_Loop0_TestCase0, NO, 2193)</t>
  </si>
  <si>
    <t>(FSE_Bitvector_Mode_Reusing_Same_Loop_Iterator_1_T_Loop17_TestCase1, YES, 1723)
(FSE_Bitvector_Mode_Reusing_Same_Loop_Iterator_1_T_Loop17_TestCase2, YES, 1793)
(FSE_Bitvector_Mode_Reusing_Same_Loop_Iterator_1_T_Loop17_TestCase3, YES, 1746)
(FSE_Bitvector_Mode_Reusing_Same_Loop_Iterator_1_T_Loop17_TestCase7, YES, 1708)
(FSE_Bitvector_Mode_Reusing_Same_Loop_Iterator_1_T_Loop17_TestCase6, YES, 1791)
(FSE_Bitvector_Mode_Reusing_Same_Loop_Iterator_1_T_Loop17_TestCase4, YES, 1737)
(FSE_Bitvector_Mode_Reusing_Same_Loop_Iterator_1_T_Loop17_TestCase5, YES, 1742)
(FSE_Bitvector_Mode_Reusing_Same_Loop_Iterator_1_T_Loop17_TestCase10, YES, 1713)
(FSE_Bitvector_Mode_Reusing_Same_Loop_Iterator_1_T_Loop19_TestCase4, YES, 1713)
(FSE_Bitvector_Mode_Reusing_Same_Loop_Iterator_1_T_Loop19_TestCase5, YES, 8596)
(FSE_Bitvector_Mode_Reusing_Same_Loop_Iterator_1_T_Loop19_TestCase7, YES, 7471)
(FSE_Bitvector_Mode_Reusing_Same_Loop_Iterator_1_T_Loop19_TestCase6, YES, 3459)
(FSE_Bitvector_Mode_Reusing_Same_Loop_Iterator_1_T_Loop19_TestCase10, YES, 7712)
(FSE_Bitvector_Mode_Reusing_Same_Loop_Iterator_1_T_Loop19_TestCase2, YES, 5694)
(FSE_Bitvector_Mode_Reusing_Same_Loop_Iterator_1_T_Loop19_TestCase3, YES, 1715)
(FSE_Bitvector_Mode_Reusing_Same_Loop_Iterator_1_T_Loop19_TestCase1, YES, 1989)
(FSE_Bitvector_Mode_Reusing_Same_Loop_Iterator_1_T_Loop19_TestCase8, YES, 7225)
(FSE_Bitvector_Mode_Reusing_Same_Loop_Iterator_1_T_Loop19_TestCase9, YES, 1848)
(FSE_Bitvector_Mode_Reusing_Same_Loop_Iterator_1_T_Loop17_TestCase8, YES, 1747)
(FSE_Bitvector_Mode_Reusing_Same_Loop_Iterator_1_T_Loop17_TestCase9, YES, 1721)</t>
  </si>
  <si>
    <t>(FSE_Bitvector_Mode_Reusing_Same_Loop_Iterator_1_T_Loop0_TestCase3, YES, 1719)
(FSE_Bitvector_Mode_Reusing_Same_Loop_Iterator_1_T_Loop0_TestCase2, YES, 5085)
(FSE_Bitvector_Mode_Reusing_Same_Loop_Iterator_1_T_Loop0_TestCase1, YES, 1704)
(FSE_Bitvector_Mode_Reusing_Same_Loop_Iterator_1_T_Loop0_TestCase5, YES, 6212)
(FSE_Bitvector_Mode_Reusing_Same_Loop_Iterator_1_T_Loop0_TestCase4, YES, 1711)
(FSE_Bitvector_Mode_Reusing_Same_Loop_Iterator_1_T_Loop0_TestCase6, YES, 5275)
(FSE_Bitvector_Mode_Reusing_Same_Loop_Iterator_1_T_Loop0_TestCase7, YES, 6273)
(FSE_Bitvector_Mode_Reusing_Same_Loop_Iterator_1_T_Loop0_TestCase10, ERROR, 4939)
(FSE_Bitvector_Mode_Reusing_Same_Loop_Iterator_1_T_Loop0_TestCase9, YES, 1710)
(FSE_Bitvector_Mode_Reusing_Same_Loop_Iterator_1_T_Loop0_TestCase8, YES, 5212)</t>
  </si>
  <si>
    <t>(FSE_Bitvector_Mode_Reusing_Same_Loop_Iterator_1_T_Loop17_TestCase0, YES, 1868)
(FSE_Bitvector_Mode_Reusing_Same_Loop_Iterator_1_T_Loop19_TestCase0, YES, 27566)</t>
  </si>
  <si>
    <t>(FSE_Bitvector_Mode_Reusing_Same_Loop_Iterator_1_T_Loop0_TestCase0, YES, 108992)</t>
  </si>
  <si>
    <t>(FSE_Bitvector_Mode_Reusing_Same_Loop_Iterator_1_NT_Loop17_TestCase3, YES, 1697)
(FSE_Bitvector_Mode_Reusing_Same_Loop_Iterator_1_NT_Loop17_TestCase10, NO, 2058)
(FSE_Bitvector_Mode_Reusing_Same_Loop_Iterator_1_NT_Loop17_TestCase2, YES, 1747)
(FSE_Bitvector_Mode_Reusing_Same_Loop_Iterator_1_NT_Loop17_TestCase1, YES, 1738)
(FSE_Bitvector_Mode_Reusing_Same_Loop_Iterator_1_NT_Loop17_TestCase5, YES, 2259)
(FSE_Bitvector_Mode_Reusing_Same_Loop_Iterator_1_NT_Loop19_TestCase10, NO, 2164)
(FSE_Bitvector_Mode_Reusing_Same_Loop_Iterator_1_NT_Loop17_TestCase4, YES, 1958)
(FSE_Bitvector_Mode_Reusing_Same_Loop_Iterator_1_NT_Loop17_TestCase6, NO, 3258)
(FSE_Bitvector_Mode_Reusing_Same_Loop_Iterator_1_NT_Loop17_TestCase7, NO, 2028)
(FSE_Bitvector_Mode_Reusing_Same_Loop_Iterator_1_NT_Loop19_TestCase6, NO, 3492)
(FSE_Bitvector_Mode_Reusing_Same_Loop_Iterator_1_NT_Loop19_TestCase7, NO, 2048)
(FSE_Bitvector_Mode_Reusing_Same_Loop_Iterator_1_NT_Loop19_TestCase5, YES, 1838)
(FSE_Bitvector_Mode_Reusing_Same_Loop_Iterator_1_NT_Loop19_TestCase4, YES, 1737)
(FSE_Bitvector_Mode_Reusing_Same_Loop_Iterator_1_NT_Loop19_TestCase1, YES, 1747)
(FSE_Bitvector_Mode_Reusing_Same_Loop_Iterator_1_NT_Loop19_TestCase3, YES, 1734)
(FSE_Bitvector_Mode_Reusing_Same_Loop_Iterator_1_NT_Loop19_TestCase2, YES, 2419)
(FSE_Bitvector_Mode_Reusing_Same_Loop_Iterator_1_NT_Loop19_TestCase9, NO, 1725)
(FSE_Bitvector_Mode_Reusing_Same_Loop_Iterator_1_NT_Loop19_TestCase8, NO, 1795)
(FSE_Bitvector_Mode_Reusing_Same_Loop_Iterator_1_NT_Loop17_TestCase9, NO, 1713)
(FSE_Bitvector_Mode_Reusing_Same_Loop_Iterator_1_NT_Loop17_TestCase8, NO, 1729)</t>
  </si>
  <si>
    <t>(FSE_Bitvector_Mode_Reusing_Same_Loop_Iterator_1_NT_Loop0_TestCase4, YES, 1752)
(FSE_Bitvector_Mode_Reusing_Same_Loop_Iterator_1_NT_Loop0_TestCase5, YES, 1768)
(FSE_Bitvector_Mode_Reusing_Same_Loop_Iterator_1_NT_Loop0_TestCase7, NO, 1998)
(FSE_Bitvector_Mode_Reusing_Same_Loop_Iterator_1_NT_Loop0_TestCase6, NO, 3224)
(FSE_Bitvector_Mode_Reusing_Same_Loop_Iterator_1_NT_Loop0_TestCase2, YES, 1741)
(FSE_Bitvector_Mode_Reusing_Same_Loop_Iterator_1_NT_Loop0_TestCase3, YES, 1699)
(FSE_Bitvector_Mode_Reusing_Same_Loop_Iterator_1_NT_Loop0_TestCase1, YES, 1706)
(FSE_Bitvector_Mode_Reusing_Same_Loop_Iterator_1_NT_Loop0_TestCase10, NO, 2044)
(FSE_Bitvector_Mode_Reusing_Same_Loop_Iterator_1_NT_Loop0_TestCase8, NO, 1732)
(FSE_Bitvector_Mode_Reusing_Same_Loop_Iterator_1_NT_Loop0_TestCase9, NO, 1722)</t>
  </si>
  <si>
    <t>(FSE_Bitvector_Mode_Reusing_Same_Loop_Iterator_1_NT_Loop17_TestCase0, NO, 1879)
(FSE_Bitvector_Mode_Reusing_Same_Loop_Iterator_1_NT_Loop19_TestCase0, NO, 1927)</t>
  </si>
  <si>
    <t>(FSE_Bitvector_Mode_Reusing_Same_Loop_Iterator_1_NT_Loop0_TestCase0, NO, 1984)</t>
  </si>
  <si>
    <t>(FSE_Bitvector_Mode_Misusing_Variable_Type_2_T_Loop23_TestCase9, YES, 4000)
(FSE_Bitvector_Mode_Misusing_Variable_Type_2_T_Loop23_TestCase8, YES, 1853)
(FSE_Bitvector_Mode_Misusing_Variable_Type_2_T_Loop23_TestCase10, YES, 1853)
(FSE_Bitvector_Mode_Misusing_Variable_Type_2_T_Loop23_TestCase3, YES, 1893)
(FSE_Bitvector_Mode_Misusing_Variable_Type_2_T_Loop23_TestCase2, YES, 1943)
(FSE_Bitvector_Mode_Misusing_Variable_Type_2_T_Loop23_TestCase1, YES, 1753)
(FSE_Bitvector_Mode_Misusing_Variable_Type_2_T_Loop23_TestCase5, YES, 1852)
(FSE_Bitvector_Mode_Misusing_Variable_Type_2_T_Loop23_TestCase4, YES, 1854)
(FSE_Bitvector_Mode_Misusing_Variable_Type_2_T_Loop23_TestCase6, YES, 1867)
(FSE_Bitvector_Mode_Misusing_Variable_Type_2_T_Loop23_TestCase7, YES, 1878)</t>
  </si>
  <si>
    <t>(FSE_Bitvector_Mode_Misusing_Variable_Type_2_T_Loop0_TestCase10, YES, 1816)
(FSE_Bitvector_Mode_Misusing_Variable_Type_2_T_Loop0_TestCase9, YES, 1875)
(FSE_Bitvector_Mode_Misusing_Variable_Type_2_T_Loop0_TestCase8, YES, 1823)
(FSE_Bitvector_Mode_Misusing_Variable_Type_2_T_Loop0_TestCase3, YES, 1864)
(FSE_Bitvector_Mode_Misusing_Variable_Type_2_T_Loop0_TestCase2, YES, 1710)
(FSE_Bitvector_Mode_Misusing_Variable_Type_2_T_Loop0_TestCase1, YES, 1707)
(FSE_Bitvector_Mode_Misusing_Variable_Type_2_T_Loop0_TestCase5, YES, 1875)
(FSE_Bitvector_Mode_Misusing_Variable_Type_2_T_Loop0_TestCase4, YES, 1823)
(FSE_Bitvector_Mode_Misusing_Variable_Type_2_T_Loop0_TestCase6, YES, 1843)
(FSE_Bitvector_Mode_Misusing_Variable_Type_2_T_Loop0_TestCase7, YES, 1827)</t>
  </si>
  <si>
    <t>(FSE_Bitvector_Mode_Misusing_Variable_Type_2_T_Loop23_TestCase0, YES, 1904)</t>
  </si>
  <si>
    <t>(FSE_Bitvector_Mode_Misusing_Variable_Type_2_T_Loop0_TestCase0, YES, 1919)</t>
  </si>
  <si>
    <t>(FSE_Bitvector_Mode_Misusing_Variable_Type_2_NT_Loop24_TestCase8, NO, 1798)
(FSE_Bitvector_Mode_Misusing_Variable_Type_2_NT_Loop24_TestCase9, NO, 1747)
(FSE_Bitvector_Mode_Misusing_Variable_Type_2_NT_Loop24_TestCase7, NO, 1769)
(FSE_Bitvector_Mode_Misusing_Variable_Type_2_NT_Loop24_TestCase6, NO, 1819)
(FSE_Bitvector_Mode_Misusing_Variable_Type_2_NT_Loop24_TestCase4, YES, 2076)
(FSE_Bitvector_Mode_Misusing_Variable_Type_2_NT_Loop24_TestCase5, YES, 1882)
(FSE_Bitvector_Mode_Misusing_Variable_Type_2_NT_Loop24_TestCase1, YES, 2248)
(FSE_Bitvector_Mode_Misusing_Variable_Type_2_NT_Loop24_TestCase2, YES, 1789)
(FSE_Bitvector_Mode_Misusing_Variable_Type_2_NT_Loop24_TestCase3, YES, 1781)
(FSE_Bitvector_Mode_Misusing_Variable_Type_2_NT_Loop24_TestCase10, NO, 1885)</t>
  </si>
  <si>
    <t>(FSE_Bitvector_Mode_Misusing_Variable_Type_2_NT_Loop0_TestCase10, NO, 1755)
(FSE_Bitvector_Mode_Misusing_Variable_Type_2_NT_Loop0_TestCase9, NO, 1769)
(FSE_Bitvector_Mode_Misusing_Variable_Type_2_NT_Loop0_TestCase8, NO, 1799)
(FSE_Bitvector_Mode_Misusing_Variable_Type_2_NT_Loop0_TestCase6, NO, 1744)
(FSE_Bitvector_Mode_Misusing_Variable_Type_2_NT_Loop0_TestCase7, NO, 1810)
(FSE_Bitvector_Mode_Misusing_Variable_Type_2_NT_Loop0_TestCase5, YES, 1813)
(FSE_Bitvector_Mode_Misusing_Variable_Type_2_NT_Loop0_TestCase4, YES, 1872)
(FSE_Bitvector_Mode_Misusing_Variable_Type_2_NT_Loop0_TestCase1, YES, 1793)
(FSE_Bitvector_Mode_Misusing_Variable_Type_2_NT_Loop0_TestCase3, YES, 1845)
(FSE_Bitvector_Mode_Misusing_Variable_Type_2_NT_Loop0_TestCase2, YES, 1771)</t>
  </si>
  <si>
    <t>(FSE_Bitvector_Mode_Misusing_Variable_Type_2_NT_Loop24_TestCase0, NO, 2143)</t>
  </si>
  <si>
    <t>(FSE_Bitvector_Mode_Misusing_Variable_Type_2_NT_Loop0_TestCase0, NO, 2098)</t>
  </si>
  <si>
    <t>(FSE_Bitvector_Mode_Misusing_Variable_Type_1_T_Loop18_TestCase0, YES, 42965)
(FSE_Bitvector_Mode_Misusing_Variable_Type_1_T_Loop16_TestCase0, YES, 3582)
(FSE_Bitvector_Mode_Misusing_Variable_Type_1_T_Loop14_TestCase0, YES, 1738)</t>
  </si>
  <si>
    <t>(FSE_Bitvector_Mode_Misusing_Variable_Type_1_T_Loop0_TestCase0, YES, 21439)</t>
  </si>
  <si>
    <t>(FSE_Bitvector_Mode_Misusing_Variable_Type_1_T_Loop18_TestCase0, YES, 17125)
(FSE_Bitvector_Mode_Misusing_Variable_Type_1_T_Loop16_TestCase0, YES, 3072)
(FSE_Bitvector_Mode_Misusing_Variable_Type_1_T_Loop14_TestCase0, YES, 1774)</t>
  </si>
  <si>
    <t>(FSE_Bitvector_Mode_Misusing_Variable_Type_1_T_Loop0_TestCase0, YES, 10442)</t>
  </si>
  <si>
    <t>(FSE_Bitvector_Mode_Misusing_Variable_Type_1_NT_Loop18_TestCase0, NO, 1712)
(FSE_Bitvector_Mode_Misusing_Variable_Type_1_NT_Loop16_TestCase0, NO, 1718)
(FSE_Bitvector_Mode_Misusing_Variable_Type_1_NT_Loop14_TestCase0, YES, 1727)</t>
  </si>
  <si>
    <t>(FSE_Bitvector_Mode_Misusing_Variable_Type_1_NT_Loop0_TestCase0, NO, 1697)</t>
  </si>
  <si>
    <t>(FSE_Bitvector_Mode_Misusing_Variable_Type_1_NT_Loop18_TestCase0, NO, 1746)
(FSE_Bitvector_Mode_Misusing_Variable_Type_1_NT_Loop16_TestCase0, NO, 1795)
(FSE_Bitvector_Mode_Misusing_Variable_Type_1_NT_Loop14_TestCase0, YES, 1771)</t>
  </si>
  <si>
    <t>(FSE_Bitvector_Mode_Misusing_Variable_Type_1_NT_Loop0_TestCase0, NO, 1693)</t>
  </si>
  <si>
    <t>(FSE_Bitvector_Mode_Missing_Iterator_Update_5_T_Loop17_TestCase9, MAYBE, 1198)
(FSE_Bitvector_Mode_Missing_Iterator_Update_5_T_Loop17_TestCase8, MAYBE, 1228)
(FSE_Bitvector_Mode_Missing_Iterator_Update_5_T_Loop22_TestCase1, YES, 1891)
(FSE_Bitvector_Mode_Missing_Iterator_Update_5_T_Loop22_TestCase2, YES, 2122)
(FSE_Bitvector_Mode_Missing_Iterator_Update_5_T_Loop22_TestCase3, YES, 2000)
(FSE_Bitvector_Mode_Missing_Iterator_Update_5_T_Loop22_TestCase7, YES, 2767)
(FSE_Bitvector_Mode_Missing_Iterator_Update_5_T_Loop22_TestCase6, YES, 2075)
(FSE_Bitvector_Mode_Missing_Iterator_Update_5_T_Loop22_TestCase10, YES, 2039)
(FSE_Bitvector_Mode_Missing_Iterator_Update_5_T_Loop22_TestCase4, YES, 2104)
(FSE_Bitvector_Mode_Missing_Iterator_Update_5_T_Loop22_TestCase5, YES, 1814)
(FSE_Bitvector_Mode_Missing_Iterator_Update_5_T_Loop22_TestCase8, YES, 3771)
(FSE_Bitvector_Mode_Missing_Iterator_Update_5_T_Loop22_TestCase9, YES, 2019)
(FSE_Bitvector_Mode_Missing_Iterator_Update_5_T_Loop17_TestCase10, MAYBE, 1211)
(FSE_Bitvector_Mode_Missing_Iterator_Update_5_T_Loop17_TestCase6, MAYBE, 1370)
(FSE_Bitvector_Mode_Missing_Iterator_Update_5_T_Loop17_TestCase7, MAYBE, 1227)
(FSE_Bitvector_Mode_Missing_Iterator_Update_5_T_Loop17_TestCase5, MAYBE, 1204)
(FSE_Bitvector_Mode_Missing_Iterator_Update_5_T_Loop17_TestCase4, MAYBE, 1216)
(FSE_Bitvector_Mode_Missing_Iterator_Update_5_T_Loop17_TestCase1, MAYBE, 1214)
(FSE_Bitvector_Mode_Missing_Iterator_Update_5_T_Loop17_TestCase3, MAYBE, 1223)
(FSE_Bitvector_Mode_Missing_Iterator_Update_5_T_Loop17_TestCase2, MAYBE, 1194)</t>
  </si>
  <si>
    <t>(FSE_Bitvector_Mode_Missing_Iterator_Update_5_T_Loop0_TestCase6, YES, 1840)
(FSE_Bitvector_Mode_Missing_Iterator_Update_5_T_Loop0_TestCase7, YES, 1849)
(FSE_Bitvector_Mode_Missing_Iterator_Update_5_T_Loop0_TestCase5, YES, 1741)
(FSE_Bitvector_Mode_Missing_Iterator_Update_5_T_Loop0_TestCase4, YES, 1882)
(FSE_Bitvector_Mode_Missing_Iterator_Update_5_T_Loop0_TestCase1, YES, 1751)
(FSE_Bitvector_Mode_Missing_Iterator_Update_5_T_Loop0_TestCase3, YES, 1719)
(FSE_Bitvector_Mode_Missing_Iterator_Update_5_T_Loop0_TestCase2, YES, 1846)
(FSE_Bitvector_Mode_Missing_Iterator_Update_5_T_Loop0_TestCase10, YES, 1858)
(FSE_Bitvector_Mode_Missing_Iterator_Update_5_T_Loop0_TestCase9, YES, 1839)
(FSE_Bitvector_Mode_Missing_Iterator_Update_5_T_Loop0_TestCase8, YES, 1859)</t>
  </si>
  <si>
    <t>1/2</t>
  </si>
  <si>
    <t>(FSE_Bitvector_Mode_Missing_Iterator_Update_5_T_Loop22_TestCase0, YES, 2342)
(FSE_Bitvector_Mode_Missing_Iterator_Update_5_T_Loop17_TestCase0, MAYBE, 1264)</t>
  </si>
  <si>
    <t>(FSE_Bitvector_Mode_Missing_Iterator_Update_5_T_Loop0_TestCase0, ERROR, 2164)</t>
  </si>
  <si>
    <t>6/20</t>
  </si>
  <si>
    <t>(FSE_Bitvector_Mode_Missing_Iterator_Update_5_NT_Loop23_TestCase10, NO, 89818)
(FSE_Bitvector_Mode_Missing_Iterator_Update_5_NT_Loop18_TestCase7, MAYBE, 1251)
(FSE_Bitvector_Mode_Missing_Iterator_Update_5_NT_Loop18_TestCase6, MAYBE, 1232)
(FSE_Bitvector_Mode_Missing_Iterator_Update_5_NT_Loop18_TestCase4, MAYBE, 1226)
(FSE_Bitvector_Mode_Missing_Iterator_Update_5_NT_Loop18_TestCase5, MAYBE, 1242)
(FSE_Bitvector_Mode_Missing_Iterator_Update_5_NT_Loop18_TestCase1, MAYBE, 1248)
(FSE_Bitvector_Mode_Missing_Iterator_Update_5_NT_Loop23_TestCase9, NO, 3784)
(FSE_Bitvector_Mode_Missing_Iterator_Update_5_NT_Loop18_TestCase2, MAYBE, 1465)
(FSE_Bitvector_Mode_Missing_Iterator_Update_5_NT_Loop18_TestCase3, MAYBE, 1237)
(FSE_Bitvector_Mode_Missing_Iterator_Update_5_NT_Loop23_TestCase8, TIMEOUT, 301875)
(FSE_Bitvector_Mode_Missing_Iterator_Update_5_NT_Loop23_TestCase5, YES, 1904)
(FSE_Bitvector_Mode_Missing_Iterator_Update_5_NT_Loop23_TestCase4, NO, 4498)
(FSE_Bitvector_Mode_Missing_Iterator_Update_5_NT_Loop23_TestCase6, NO, 2923)
(FSE_Bitvector_Mode_Missing_Iterator_Update_5_NT_Loop23_TestCase7, NO, 2867)
(FSE_Bitvector_Mode_Missing_Iterator_Update_5_NT_Loop23_TestCase3, YES, 1975)
(FSE_Bitvector_Mode_Missing_Iterator_Update_5_NT_Loop18_TestCase8, MAYBE, 1238)
(FSE_Bitvector_Mode_Missing_Iterator_Update_5_NT_Loop18_TestCase9, MAYBE, 1247)
(FSE_Bitvector_Mode_Missing_Iterator_Update_5_NT_Loop23_TestCase2, NO, 2112)
(FSE_Bitvector_Mode_Missing_Iterator_Update_5_NT_Loop23_TestCase1, YES, 2122)
(FSE_Bitvector_Mode_Missing_Iterator_Update_5_NT_Loop18_TestCase10, MAYBE, 1232)</t>
  </si>
  <si>
    <t>2/4</t>
  </si>
  <si>
    <t>(FSE_Bitvector_Mode_Missing_Iterator_Update_5_NT_Loop0_TestCase9, NO, 1764)
(FSE_Bitvector_Mode_Missing_Iterator_Update_5_NT_Loop0_TestCase8, NO, 1771)
(FSE_Bitvector_Mode_Missing_Iterator_Update_5_NT_Loop0_TestCase10, NO, 1731)
(FSE_Bitvector_Mode_Missing_Iterator_Update_5_NT_Loop0_TestCase3, YES, 1747)
(FSE_Bitvector_Mode_Missing_Iterator_Update_5_NT_Loop0_TestCase2, NO, 1732)
(FSE_Bitvector_Mode_Missing_Iterator_Update_5_NT_Loop0_TestCase1, YES, 1718)
(FSE_Bitvector_Mode_Missing_Iterator_Update_5_NT_Loop0_TestCase5, YES, 1722)
(FSE_Bitvector_Mode_Missing_Iterator_Update_5_NT_Loop0_TestCase4, NO, 1783)
(FSE_Bitvector_Mode_Missing_Iterator_Update_5_NT_Loop0_TestCase6, NO, 1784)
(FSE_Bitvector_Mode_Missing_Iterator_Update_5_NT_Loop0_TestCase7, NO, 1739)</t>
  </si>
  <si>
    <t>(FSE_Bitvector_Mode_Missing_Iterator_Update_5_NT_Loop18_TestCase0, MAYBE, 1265)
(FSE_Bitvector_Mode_Missing_Iterator_Update_5_NT_Loop23_TestCase0, NO, 31873)</t>
  </si>
  <si>
    <t>(FSE_Bitvector_Mode_Missing_Iterator_Update_5_NT_Loop0_TestCase0, NO, 2858)</t>
  </si>
  <si>
    <t>(FSE_Bitvector_Mode_Missing_Iterator_Update_4_T_Loop21_TestCase1, YES, 1771)
(FSE_Bitvector_Mode_Missing_Iterator_Update_4_T_Loop21_TestCase3, YES, 2011)
(FSE_Bitvector_Mode_Missing_Iterator_Update_4_T_Loop21_TestCase2, YES, 1763)
(FSE_Bitvector_Mode_Missing_Iterator_Update_4_T_Loop21_TestCase6, YES, 1750)
(FSE_Bitvector_Mode_Missing_Iterator_Update_4_T_Loop19_TestCase8, YES, 1733)
(FSE_Bitvector_Mode_Missing_Iterator_Update_4_T_Loop19_TestCase9, YES, 1745)
(FSE_Bitvector_Mode_Missing_Iterator_Update_4_T_Loop21_TestCase7, YES, 3526)
(FSE_Bitvector_Mode_Missing_Iterator_Update_4_T_Loop21_TestCase5, YES, 1805)
(FSE_Bitvector_Mode_Missing_Iterator_Update_4_T_Loop19_TestCase10, YES, 1775)
(FSE_Bitvector_Mode_Missing_Iterator_Update_4_T_Loop21_TestCase4, YES, 1732)
(FSE_Bitvector_Mode_Missing_Iterator_Update_4_T_Loop21_TestCase10, YES, 8287)
(FSE_Bitvector_Mode_Missing_Iterator_Update_4_T_Loop21_TestCase9, YES, 3566)
(FSE_Bitvector_Mode_Missing_Iterator_Update_4_T_Loop19_TestCase7, YES, 2202)
(FSE_Bitvector_Mode_Missing_Iterator_Update_4_T_Loop19_TestCase6, YES, 1751)
(FSE_Bitvector_Mode_Missing_Iterator_Update_4_T_Loop21_TestCase8, YES, 4430)
(FSE_Bitvector_Mode_Missing_Iterator_Update_4_T_Loop19_TestCase4, YES, 1771)
(FSE_Bitvector_Mode_Missing_Iterator_Update_4_T_Loop19_TestCase5, YES, 1741)
(FSE_Bitvector_Mode_Missing_Iterator_Update_4_T_Loop19_TestCase1, YES, 3787)
(FSE_Bitvector_Mode_Missing_Iterator_Update_4_T_Loop19_TestCase2, YES, 1756)
(FSE_Bitvector_Mode_Missing_Iterator_Update_4_T_Loop19_TestCase3, YES, 1768)</t>
  </si>
  <si>
    <t>(FSE_Bitvector_Mode_Missing_Iterator_Update_4_T_Loop0_TestCase10, YES, 63700)
(FSE_Bitvector_Mode_Missing_Iterator_Update_4_T_Loop0_TestCase9, YES, 14451)
(FSE_Bitvector_Mode_Missing_Iterator_Update_4_T_Loop0_TestCase8, YES, 27847)
(FSE_Bitvector_Mode_Missing_Iterator_Update_4_T_Loop0_TestCase5, YES, 1706)
(FSE_Bitvector_Mode_Missing_Iterator_Update_4_T_Loop0_TestCase4, YES, 1756)
(FSE_Bitvector_Mode_Missing_Iterator_Update_4_T_Loop0_TestCase6, YES, 1741)
(FSE_Bitvector_Mode_Missing_Iterator_Update_4_T_Loop0_TestCase7, YES, 3749)
(FSE_Bitvector_Mode_Missing_Iterator_Update_4_T_Loop0_TestCase3, YES, 1720)
(FSE_Bitvector_Mode_Missing_Iterator_Update_4_T_Loop0_TestCase2, YES, 1697)
(FSE_Bitvector_Mode_Missing_Iterator_Update_4_T_Loop0_TestCase1, YES, 1698)</t>
  </si>
  <si>
    <t>(FSE_Bitvector_Mode_Missing_Iterator_Update_4_T_Loop21_TestCase0, YES, 23828)
(FSE_Bitvector_Mode_Missing_Iterator_Update_4_T_Loop19_TestCase0, YES, 1803)</t>
  </si>
  <si>
    <t>(FSE_Bitvector_Mode_Missing_Iterator_Update_4_T_Loop0_TestCase0, YES, 33023)</t>
  </si>
  <si>
    <t>(FSE_Bitvector_Mode_Missing_Iterator_Update_4_NT_Loop19_TestCase4, YES, 1707)
(FSE_Bitvector_Mode_Missing_Iterator_Update_4_NT_Loop19_TestCase5, YES, 1683)
(FSE_Bitvector_Mode_Missing_Iterator_Update_4_NT_Loop21_TestCase10, NO, 1734)
(FSE_Bitvector_Mode_Missing_Iterator_Update_4_NT_Loop21_TestCase9, NO, 1713)
(FSE_Bitvector_Mode_Missing_Iterator_Update_4_NT_Loop19_TestCase7, NO, 1741)
(FSE_Bitvector_Mode_Missing_Iterator_Update_4_NT_Loop19_TestCase6, NO, 1883)
(FSE_Bitvector_Mode_Missing_Iterator_Update_4_NT_Loop21_TestCase8, NO, 1735)
(FSE_Bitvector_Mode_Missing_Iterator_Update_4_NT_Loop19_TestCase2, YES, 1730)
(FSE_Bitvector_Mode_Missing_Iterator_Update_4_NT_Loop19_TestCase3, YES, 1729)
(FSE_Bitvector_Mode_Missing_Iterator_Update_4_NT_Loop19_TestCase1, YES, 1706)
(FSE_Bitvector_Mode_Missing_Iterator_Update_4_NT_Loop19_TestCase10, NO, 1725)
(FSE_Bitvector_Mode_Missing_Iterator_Update_4_NT_Loop21_TestCase3, YES, 1746)
(FSE_Bitvector_Mode_Missing_Iterator_Update_4_NT_Loop21_TestCase2, YES, 1733)
(FSE_Bitvector_Mode_Missing_Iterator_Update_4_NT_Loop21_TestCase1, YES, 1777)
(FSE_Bitvector_Mode_Missing_Iterator_Update_4_NT_Loop21_TestCase5, YES, 1789)
(FSE_Bitvector_Mode_Missing_Iterator_Update_4_NT_Loop21_TestCase4, YES, 2236)
(FSE_Bitvector_Mode_Missing_Iterator_Update_4_NT_Loop21_TestCase6, NO, 2330)
(FSE_Bitvector_Mode_Missing_Iterator_Update_4_NT_Loop19_TestCase8, NO, 1701)
(FSE_Bitvector_Mode_Missing_Iterator_Update_4_NT_Loop19_TestCase9, NO, 1713)
(FSE_Bitvector_Mode_Missing_Iterator_Update_4_NT_Loop21_TestCase7, NO, 1746)</t>
  </si>
  <si>
    <t>(FSE_Bitvector_Mode_Missing_Iterator_Update_4_NT_Loop0_TestCase8, NO, 1704)
(FSE_Bitvector_Mode_Missing_Iterator_Update_4_NT_Loop0_TestCase9, NO, 1727)
(FSE_Bitvector_Mode_Missing_Iterator_Update_4_NT_Loop0_TestCase7, NO, 1751)
(FSE_Bitvector_Mode_Missing_Iterator_Update_4_NT_Loop0_TestCase6, NO, 1678)
(FSE_Bitvector_Mode_Missing_Iterator_Update_4_NT_Loop0_TestCase4, YES, 1685)
(FSE_Bitvector_Mode_Missing_Iterator_Update_4_NT_Loop0_TestCase5, YES, 1704)
(FSE_Bitvector_Mode_Missing_Iterator_Update_4_NT_Loop0_TestCase1, YES, 1694)
(FSE_Bitvector_Mode_Missing_Iterator_Update_4_NT_Loop0_TestCase2, YES, 1719)
(FSE_Bitvector_Mode_Missing_Iterator_Update_4_NT_Loop0_TestCase3, YES, 1720)
(FSE_Bitvector_Mode_Missing_Iterator_Update_4_NT_Loop0_TestCase10, NO, 1721)</t>
  </si>
  <si>
    <t>(FSE_Bitvector_Mode_Missing_Iterator_Update_4_NT_Loop19_TestCase0, NO, 1942)
(FSE_Bitvector_Mode_Missing_Iterator_Update_4_NT_Loop21_TestCase0, NO, 1886)</t>
  </si>
  <si>
    <t>(FSE_Bitvector_Mode_Missing_Iterator_Update_4_NT_Loop0_TestCase0, NO, 4192)</t>
  </si>
  <si>
    <t>(FSE_Bitvector_Mode_Missing_Iterator_Update_3_T_Loop36_TestCase3, MAYBE, 1276)
(FSE_Bitvector_Mode_Missing_Iterator_Update_3_T_Loop30_TestCase9, YES, 1809)
(FSE_Bitvector_Mode_Missing_Iterator_Update_3_T_Loop30_TestCase8, YES, 1906)
(FSE_Bitvector_Mode_Missing_Iterator_Update_3_T_Loop36_TestCase2, MAYBE, 1263)
(FSE_Bitvector_Mode_Missing_Iterator_Update_3_T_Loop36_TestCase1, MAYBE, 1264)
(FSE_Bitvector_Mode_Missing_Iterator_Update_3_T_Loop36_TestCase5, MAYBE, 1272)
(FSE_Bitvector_Mode_Missing_Iterator_Update_3_T_Loop36_TestCase4, MAYBE, 1280)
(FSE_Bitvector_Mode_Missing_Iterator_Update_3_T_Loop36_TestCase6, MAYBE, 1252)
(FSE_Bitvector_Mode_Missing_Iterator_Update_3_T_Loop36_TestCase7, MAYBE, 2319)
(FSE_Bitvector_Mode_Missing_Iterator_Update_3_T_Loop30_TestCase10, YES, 1958)
(FSE_Bitvector_Mode_Missing_Iterator_Update_3_T_Loop36_TestCase10, MAYBE, 1246)
(FSE_Bitvector_Mode_Missing_Iterator_Update_3_T_Loop30_TestCase1, YES, 1889)
(FSE_Bitvector_Mode_Missing_Iterator_Update_3_T_Loop36_TestCase9, MAYBE, 1246)
(FSE_Bitvector_Mode_Missing_Iterator_Update_3_T_Loop30_TestCase3, YES, 1889)
(FSE_Bitvector_Mode_Missing_Iterator_Update_3_T_Loop30_TestCase2, YES, 2361)
(FSE_Bitvector_Mode_Missing_Iterator_Update_3_T_Loop36_TestCase8, MAYBE, 1258)
(FSE_Bitvector_Mode_Missing_Iterator_Update_3_T_Loop30_TestCase6, YES, 1827)
(FSE_Bitvector_Mode_Missing_Iterator_Update_3_T_Loop30_TestCase7, YES, 1998)
(FSE_Bitvector_Mode_Missing_Iterator_Update_3_T_Loop30_TestCase5, YES, 2012)
(FSE_Bitvector_Mode_Missing_Iterator_Update_3_T_Loop30_TestCase4, YES, 2012)</t>
  </si>
  <si>
    <t>(FSE_Bitvector_Mode_Missing_Iterator_Update_3_T_Loop0_TestCase10, MAYBE, 1254)
(FSE_Bitvector_Mode_Missing_Iterator_Update_3_T_Loop0_TestCase2, MAYBE, 1210)
(FSE_Bitvector_Mode_Missing_Iterator_Update_3_T_Loop0_TestCase3, MAYBE, 1245)
(FSE_Bitvector_Mode_Missing_Iterator_Update_3_T_Loop0_TestCase1, MAYBE, 1247)
(FSE_Bitvector_Mode_Missing_Iterator_Update_3_T_Loop0_TestCase4, MAYBE, 1242)
(FSE_Bitvector_Mode_Missing_Iterator_Update_3_T_Loop0_TestCase5, MAYBE, 1229)
(FSE_Bitvector_Mode_Missing_Iterator_Update_3_T_Loop0_TestCase7, MAYBE, 1256)
(FSE_Bitvector_Mode_Missing_Iterator_Update_3_T_Loop0_TestCase6, MAYBE, 1244)
(FSE_Bitvector_Mode_Missing_Iterator_Update_3_T_Loop0_TestCase8, MAYBE, 1246)
(FSE_Bitvector_Mode_Missing_Iterator_Update_3_T_Loop0_TestCase9, MAYBE, 1253)</t>
  </si>
  <si>
    <t>(FSE_Bitvector_Mode_Missing_Iterator_Update_3_T_Loop36_TestCase0, MAYBE, 1298)
(FSE_Bitvector_Mode_Missing_Iterator_Update_3_T_Loop30_TestCase0, YES, 2059)</t>
  </si>
  <si>
    <t>(FSE_Bitvector_Mode_Missing_Iterator_Update_3_T_Loop0_TestCase0, TIMEOUT, 302318)</t>
  </si>
  <si>
    <t>10/15</t>
  </si>
  <si>
    <t>(FSE_Bitvector_Mode_Missing_Iterator_Update_3_NT_Loop29_TestCase7, YES, 2020)
(FSE_Bitvector_Mode_Missing_Iterator_Update_3_NT_Loop29_TestCase6, YES, 1882)
(FSE_Bitvector_Mode_Missing_Iterator_Update_3_NT_Loop29_TestCase4, YES, 1937)
(FSE_Bitvector_Mode_Missing_Iterator_Update_3_NT_Loop29_TestCase5, YES, 1924)
(FSE_Bitvector_Mode_Missing_Iterator_Update_3_NT_Loop29_TestCase1, YES, 1861)
(FSE_Bitvector_Mode_Missing_Iterator_Update_3_NT_Loop29_TestCase2, YES, 1808)
(FSE_Bitvector_Mode_Missing_Iterator_Update_3_NT_Loop29_TestCase3, YES, 1879)
(FSE_Bitvector_Mode_Missing_Iterator_Update_3_NT_Loop35_TestCase8, MAYBE, 1247)
(FSE_Bitvector_Mode_Missing_Iterator_Update_3_NT_Loop35_TestCase9, MAYBE, 1262)
(FSE_Bitvector_Mode_Missing_Iterator_Update_3_NT_Loop35_TestCase4, MAYBE, 2033)
(FSE_Bitvector_Mode_Missing_Iterator_Update_3_NT_Loop35_TestCase5, MAYBE, 1256)
(FSE_Bitvector_Mode_Missing_Iterator_Update_3_NT_Loop35_TestCase10, MAYBE, 1274)
(FSE_Bitvector_Mode_Missing_Iterator_Update_3_NT_Loop35_TestCase7, MAYBE, 1320)
(FSE_Bitvector_Mode_Missing_Iterator_Update_3_NT_Loop35_TestCase6, MAYBE, 1480)
(FSE_Bitvector_Mode_Missing_Iterator_Update_3_NT_Loop35_TestCase2, MAYBE, 1245)
(FSE_Bitvector_Mode_Missing_Iterator_Update_3_NT_Loop35_TestCase3, MAYBE, 1247)
(FSE_Bitvector_Mode_Missing_Iterator_Update_3_NT_Loop35_TestCase1, MAYBE, 1249)
(FSE_Bitvector_Mode_Missing_Iterator_Update_3_NT_Loop29_TestCase10, YES, 1967)
(FSE_Bitvector_Mode_Missing_Iterator_Update_3_NT_Loop29_TestCase8, YES, 1925)
(FSE_Bitvector_Mode_Missing_Iterator_Update_3_NT_Loop29_TestCase9, YES, 1821)</t>
  </si>
  <si>
    <t>(FSE_Bitvector_Mode_Missing_Iterator_Update_3_NT_Loop0_TestCase8, MAYBE, 1211)
(FSE_Bitvector_Mode_Missing_Iterator_Update_3_NT_Loop0_TestCase9, MAYBE, 1227)
(FSE_Bitvector_Mode_Missing_Iterator_Update_3_NT_Loop0_TestCase4, MAYBE, 1237)
(FSE_Bitvector_Mode_Missing_Iterator_Update_3_NT_Loop0_TestCase5, MAYBE, 1256)
(FSE_Bitvector_Mode_Missing_Iterator_Update_3_NT_Loop0_TestCase10, MAYBE, 1240)
(FSE_Bitvector_Mode_Missing_Iterator_Update_3_NT_Loop0_TestCase7, MAYBE, 1221)
(FSE_Bitvector_Mode_Missing_Iterator_Update_3_NT_Loop0_TestCase6, MAYBE, 1236)
(FSE_Bitvector_Mode_Missing_Iterator_Update_3_NT_Loop0_TestCase2, MAYBE, 1247)
(FSE_Bitvector_Mode_Missing_Iterator_Update_3_NT_Loop0_TestCase3, MAYBE, 1257)
(FSE_Bitvector_Mode_Missing_Iterator_Update_3_NT_Loop0_TestCase1, MAYBE, 1233)</t>
  </si>
  <si>
    <t>(FSE_Bitvector_Mode_Missing_Iterator_Update_3_NT_Loop29_TestCase0, YES, 2098)
(FSE_Bitvector_Mode_Missing_Iterator_Update_3_NT_Loop35_TestCase0, MAYBE, 1316)</t>
  </si>
  <si>
    <t>(FSE_Bitvector_Mode_Missing_Iterator_Update_3_NT_Loop0_TestCase0, TIMEOUT, 301958)</t>
  </si>
  <si>
    <t>(FSE_Bitvector_Mode_Missing_Iterator_Update_2_T_Loop28_TestCase6, YES, 13063)
(FSE_Bitvector_Mode_Missing_Iterator_Update_2_T_Loop28_TestCase7, YES, 10217)
(FSE_Bitvector_Mode_Missing_Iterator_Update_2_T_Loop28_TestCase5, YES, 6140)
(FSE_Bitvector_Mode_Missing_Iterator_Update_2_T_Loop28_TestCase4, YES, 1795)
(FSE_Bitvector_Mode_Missing_Iterator_Update_2_T_Loop28_TestCase1, YES, 1771)
(FSE_Bitvector_Mode_Missing_Iterator_Update_2_T_Loop28_TestCase3, YES, 5224)
(FSE_Bitvector_Mode_Missing_Iterator_Update_2_T_Loop28_TestCase2, YES, 8303)
(FSE_Bitvector_Mode_Missing_Iterator_Update_2_T_Loop28_TestCase10, YES, 10919)
(FSE_Bitvector_Mode_Missing_Iterator_Update_2_T_Loop28_TestCase9, YES, 13310)
(FSE_Bitvector_Mode_Missing_Iterator_Update_2_T_Loop28_TestCase8, YES, 12164)</t>
  </si>
  <si>
    <t>(FSE_Bitvector_Mode_Missing_Iterator_Update_2_T_Loop0_TestCase8, YES, 12541)
(FSE_Bitvector_Mode_Missing_Iterator_Update_2_T_Loop0_TestCase9, YES, 6703)
(FSE_Bitvector_Mode_Missing_Iterator_Update_2_T_Loop0_TestCase10, YES, 6720)
(FSE_Bitvector_Mode_Missing_Iterator_Update_2_T_Loop0_TestCase1, YES, 1718)
(FSE_Bitvector_Mode_Missing_Iterator_Update_2_T_Loop0_TestCase2, YES, 5428)
(FSE_Bitvector_Mode_Missing_Iterator_Update_2_T_Loop0_TestCase3, YES, 6037)
(FSE_Bitvector_Mode_Missing_Iterator_Update_2_T_Loop0_TestCase7, YES, 7770)
(FSE_Bitvector_Mode_Missing_Iterator_Update_2_T_Loop0_TestCase6, YES, 7278)
(FSE_Bitvector_Mode_Missing_Iterator_Update_2_T_Loop0_TestCase4, YES, 1712)
(FSE_Bitvector_Mode_Missing_Iterator_Update_2_T_Loop0_TestCase5, YES, 6431)</t>
  </si>
  <si>
    <t>(FSE_Bitvector_Mode_Missing_Iterator_Update_2_T_Loop28_TestCase0, YES, 10620)</t>
  </si>
  <si>
    <t>(FSE_Bitvector_Mode_Missing_Iterator_Update_2_T_Loop0_TestCase0, YES, 8406)</t>
  </si>
  <si>
    <t>(FSE_Bitvector_Mode_Missing_Iterator_Update_2_NT_Loop28_TestCase4, YES, 1760)
(FSE_Bitvector_Mode_Missing_Iterator_Update_2_NT_Loop28_TestCase5, YES, 4788)
(FSE_Bitvector_Mode_Missing_Iterator_Update_2_NT_Loop28_TestCase7, NO, 1869)
(FSE_Bitvector_Mode_Missing_Iterator_Update_2_NT_Loop28_TestCase6, NO, 1860)
(FSE_Bitvector_Mode_Missing_Iterator_Update_2_NT_Loop28_TestCase2, YES, 3576)
(FSE_Bitvector_Mode_Missing_Iterator_Update_2_NT_Loop28_TestCase3, YES, 5355)
(FSE_Bitvector_Mode_Missing_Iterator_Update_2_NT_Loop28_TestCase1, YES, 1760)
(FSE_Bitvector_Mode_Missing_Iterator_Update_2_NT_Loop28_TestCase8, NO, 1809)
(FSE_Bitvector_Mode_Missing_Iterator_Update_2_NT_Loop28_TestCase9, NO, 1777)
(FSE_Bitvector_Mode_Missing_Iterator_Update_2_NT_Loop28_TestCase10, NO, 1824)</t>
  </si>
  <si>
    <t>(FSE_Bitvector_Mode_Missing_Iterator_Update_2_NT_Loop0_TestCase9, NO, 1759)
(FSE_Bitvector_Mode_Missing_Iterator_Update_2_NT_Loop0_TestCase8, NO, 1761)
(FSE_Bitvector_Mode_Missing_Iterator_Update_2_NT_Loop0_TestCase10, NO, 1754)
(FSE_Bitvector_Mode_Missing_Iterator_Update_2_NT_Loop0_TestCase1, YES, 1751)
(FSE_Bitvector_Mode_Missing_Iterator_Update_2_NT_Loop0_TestCase3, YES, 6744)
(FSE_Bitvector_Mode_Missing_Iterator_Update_2_NT_Loop0_TestCase2, YES, 5919)
(FSE_Bitvector_Mode_Missing_Iterator_Update_2_NT_Loop0_TestCase6, NO, 1738)
(FSE_Bitvector_Mode_Missing_Iterator_Update_2_NT_Loop0_TestCase7, NO, 1765)
(FSE_Bitvector_Mode_Missing_Iterator_Update_2_NT_Loop0_TestCase5, YES, 4452)
(FSE_Bitvector_Mode_Missing_Iterator_Update_2_NT_Loop0_TestCase4, YES, 1742)</t>
  </si>
  <si>
    <t>(FSE_Bitvector_Mode_Missing_Iterator_Update_2_NT_Loop28_TestCase0, NO, 1989)</t>
  </si>
  <si>
    <t>(FSE_Bitvector_Mode_Missing_Iterator_Update_2_NT_Loop0_TestCase0, NO, 1982)</t>
  </si>
  <si>
    <t>(FSE_Bitvector_Mode_Missing_Iterator_Update_1_T_Loop17_TestCase9, YES, 1764)
(FSE_Bitvector_Mode_Missing_Iterator_Update_1_T_Loop17_TestCase8, YES, 1747)
(FSE_Bitvector_Mode_Missing_Iterator_Update_1_T_Loop35_TestCase10, YES, 1740)
(FSE_Bitvector_Mode_Missing_Iterator_Update_1_T_Loop35_TestCase7, YES, 2081)
(FSE_Bitvector_Mode_Missing_Iterator_Update_1_T_Loop35_TestCase6, YES, 1774)
(FSE_Bitvector_Mode_Missing_Iterator_Update_1_T_Loop35_TestCase4, YES, 1746)
(FSE_Bitvector_Mode_Missing_Iterator_Update_1_T_Loop35_TestCase5, YES, 2193)
(FSE_Bitvector_Mode_Missing_Iterator_Update_1_T_Loop35_TestCase1, YES, 1775)
(FSE_Bitvector_Mode_Missing_Iterator_Update_1_T_Loop35_TestCase2, YES, 1729)
(FSE_Bitvector_Mode_Missing_Iterator_Update_1_T_Loop35_TestCase3, YES, 1801)
(FSE_Bitvector_Mode_Missing_Iterator_Update_1_T_Loop17_TestCase10, YES, 1795)
(FSE_Bitvector_Mode_Missing_Iterator_Update_1_T_Loop35_TestCase8, YES, 1789)
(FSE_Bitvector_Mode_Missing_Iterator_Update_1_T_Loop35_TestCase9, YES, 1797)
(FSE_Bitvector_Mode_Missing_Iterator_Update_1_T_Loop17_TestCase1, YES, 1870)
(FSE_Bitvector_Mode_Missing_Iterator_Update_1_T_Loop17_TestCase3, YES, 1799)
(FSE_Bitvector_Mode_Missing_Iterator_Update_1_T_Loop17_TestCase2, YES, 1861)
(FSE_Bitvector_Mode_Missing_Iterator_Update_1_T_Loop17_TestCase6, YES, 1755)
(FSE_Bitvector_Mode_Missing_Iterator_Update_1_T_Loop17_TestCase7, YES, 1763)
(FSE_Bitvector_Mode_Missing_Iterator_Update_1_T_Loop17_TestCase5, YES, 1774)
(FSE_Bitvector_Mode_Missing_Iterator_Update_1_T_Loop17_TestCase4, YES, 1788)</t>
  </si>
  <si>
    <t>(FSE_Bitvector_Mode_Missing_Iterator_Update_1_T_Loop0_TestCase5, YES, 1711)
(FSE_Bitvector_Mode_Missing_Iterator_Update_1_T_Loop0_TestCase4, YES, 1744)
(FSE_Bitvector_Mode_Missing_Iterator_Update_1_T_Loop0_TestCase6, YES, 1735)
(FSE_Bitvector_Mode_Missing_Iterator_Update_1_T_Loop0_TestCase7, YES, 1737)
(FSE_Bitvector_Mode_Missing_Iterator_Update_1_T_Loop0_TestCase10, YES, 1722)
(FSE_Bitvector_Mode_Missing_Iterator_Update_1_T_Loop0_TestCase3, YES, 1754)
(FSE_Bitvector_Mode_Missing_Iterator_Update_1_T_Loop0_TestCase2, YES, 1753)
(FSE_Bitvector_Mode_Missing_Iterator_Update_1_T_Loop0_TestCase1, YES, 1719)
(FSE_Bitvector_Mode_Missing_Iterator_Update_1_T_Loop0_TestCase9, YES, 1753)
(FSE_Bitvector_Mode_Missing_Iterator_Update_1_T_Loop0_TestCase8, YES, 1746)</t>
  </si>
  <si>
    <t>(FSE_Bitvector_Mode_Missing_Iterator_Update_1_T_Loop35_TestCase0, YES, 4069)
(FSE_Bitvector_Mode_Missing_Iterator_Update_1_T_Loop17_TestCase0, YES, 1861)</t>
  </si>
  <si>
    <t>(FSE_Bitvector_Mode_Missing_Iterator_Update_1_T_Loop0_TestCase0, YES, 4862)</t>
  </si>
  <si>
    <t>(FSE_Bitvector_Mode_Missing_Iterator_Update_1_NT_Loop18_TestCase1, YES, 1821)
(FSE_Bitvector_Mode_Missing_Iterator_Update_1_NT_Loop18_TestCase3, YES, 1796)
(FSE_Bitvector_Mode_Missing_Iterator_Update_1_NT_Loop18_TestCase2, YES, 1757)
(FSE_Bitvector_Mode_Missing_Iterator_Update_1_NT_Loop18_TestCase6, YES, 1753)
(FSE_Bitvector_Mode_Missing_Iterator_Update_1_NT_Loop18_TestCase7, YES, 1792)
(FSE_Bitvector_Mode_Missing_Iterator_Update_1_NT_Loop18_TestCase5, YES, 1801)
(FSE_Bitvector_Mode_Missing_Iterator_Update_1_NT_Loop18_TestCase4, YES, 1781)
(FSE_Bitvector_Mode_Missing_Iterator_Update_1_NT_Loop18_TestCase9, YES, 1757)
(FSE_Bitvector_Mode_Missing_Iterator_Update_1_NT_Loop18_TestCase8, YES, 3003)
(FSE_Bitvector_Mode_Missing_Iterator_Update_1_NT_Loop18_TestCase10, YES, 1937)</t>
  </si>
  <si>
    <t>(FSE_Bitvector_Mode_Missing_Iterator_Update_1_NT_Loop0_TestCase9, NO, 1766)
(FSE_Bitvector_Mode_Missing_Iterator_Update_1_NT_Loop0_TestCase8, NO, 1774)
(FSE_Bitvector_Mode_Missing_Iterator_Update_1_NT_Loop0_TestCase10, NO, 1743)
(FSE_Bitvector_Mode_Missing_Iterator_Update_1_NT_Loop0_TestCase5, YES, 1700)
(FSE_Bitvector_Mode_Missing_Iterator_Update_1_NT_Loop0_TestCase4, YES, 1753)
(FSE_Bitvector_Mode_Missing_Iterator_Update_1_NT_Loop0_TestCase6, NO, 1716)
(FSE_Bitvector_Mode_Missing_Iterator_Update_1_NT_Loop0_TestCase7, NO, 1731)
(FSE_Bitvector_Mode_Missing_Iterator_Update_1_NT_Loop0_TestCase3, YES, 1751)
(FSE_Bitvector_Mode_Missing_Iterator_Update_1_NT_Loop0_TestCase2, YES, 1738)
(FSE_Bitvector_Mode_Missing_Iterator_Update_1_NT_Loop0_TestCase1, YES, 1725)</t>
  </si>
  <si>
    <t>(FSE_Bitvector_Mode_Missing_Iterator_Update_1_NT_Loop18_TestCase0, YES, 1903)</t>
  </si>
  <si>
    <t>(FSE_Bitvector_Mode_Missing_Iterator_Update_1_NT_Loop0_TestCase0, NO, 1886)</t>
  </si>
  <si>
    <t>(FSE_Bitvector_Mode_Missing_Initialization_1_T_Loop17_TestCase10, YES, 4672)
(FSE_Bitvector_Mode_Missing_Initialization_1_T_Loop17_TestCase8, YES, 1720)
(FSE_Bitvector_Mode_Missing_Initialization_1_T_Loop17_TestCase9, YES, 1764)
(FSE_Bitvector_Mode_Missing_Initialization_1_T_Loop14_TestCase8, YES, 1930)
(FSE_Bitvector_Mode_Missing_Initialization_1_T_Loop14_TestCase9, YES, 1867)
(FSE_Bitvector_Mode_Missing_Initialization_1_T_Loop14_TestCase10, YES, 3371)
(FSE_Bitvector_Mode_Missing_Initialization_1_T_Loop14_TestCase7, YES, 3908)
(FSE_Bitvector_Mode_Missing_Initialization_1_T_Loop17_TestCase2, YES, 1749)
(FSE_Bitvector_Mode_Missing_Initialization_1_T_Loop17_TestCase3, YES, 1723)
(FSE_Bitvector_Mode_Missing_Initialization_1_T_Loop14_TestCase6, YES, 4684)
(FSE_Bitvector_Mode_Missing_Initialization_1_T_Loop14_TestCase4, YES, 1722)
(FSE_Bitvector_Mode_Missing_Initialization_1_T_Loop17_TestCase1, YES, 1772)
(FSE_Bitvector_Mode_Missing_Initialization_1_T_Loop14_TestCase5, YES, 1747)
(FSE_Bitvector_Mode_Missing_Initialization_1_T_Loop14_TestCase1, YES, 1757)
(FSE_Bitvector_Mode_Missing_Initialization_1_T_Loop17_TestCase4, YES, 1720)
(FSE_Bitvector_Mode_Missing_Initialization_1_T_Loop17_TestCase5, YES, 1764)
(FSE_Bitvector_Mode_Missing_Initialization_1_T_Loop14_TestCase2, YES, 1746)
(FSE_Bitvector_Mode_Missing_Initialization_1_T_Loop17_TestCase7, YES, 3311)
(FSE_Bitvector_Mode_Missing_Initialization_1_T_Loop17_TestCase6, YES, 4816)
(FSE_Bitvector_Mode_Missing_Initialization_1_T_Loop14_TestCase3, YES, 2051)</t>
  </si>
  <si>
    <t>(FSE_Bitvector_Mode_Missing_Initialization_1_T_Loop0_TestCase5, YES, 1698)
(FSE_Bitvector_Mode_Missing_Initialization_1_T_Loop0_TestCase4, YES, 1694)
(FSE_Bitvector_Mode_Missing_Initialization_1_T_Loop0_TestCase6, YES, 4659)
(FSE_Bitvector_Mode_Missing_Initialization_1_T_Loop0_TestCase7, YES, 3151)
(FSE_Bitvector_Mode_Missing_Initialization_1_T_Loop0_TestCase3, YES, 1714)
(FSE_Bitvector_Mode_Missing_Initialization_1_T_Loop0_TestCase2, YES, 1707)
(FSE_Bitvector_Mode_Missing_Initialization_1_T_Loop0_TestCase1, YES, 1714)
(FSE_Bitvector_Mode_Missing_Initialization_1_T_Loop0_TestCase10, YES, 4172)
(FSE_Bitvector_Mode_Missing_Initialization_1_T_Loop0_TestCase9, YES, 1686)
(FSE_Bitvector_Mode_Missing_Initialization_1_T_Loop0_TestCase8, YES, 1701)</t>
  </si>
  <si>
    <t>(FSE_Bitvector_Mode_Missing_Initialization_1_T_Loop17_TestCase0, TIMEOUT, 301809)
(FSE_Bitvector_Mode_Missing_Initialization_1_T_Loop14_TestCase0, TIMEOUT, 301660)</t>
  </si>
  <si>
    <t>(FSE_Bitvector_Mode_Missing_Initialization_1_T_Loop0_TestCase0, TIMEOUT, 301840)</t>
  </si>
  <si>
    <t>(FSE_Bitvector_Mode_Missing_Initialization_1_NT_Loop14_TestCase10, NO, 1711)
(FSE_Bitvector_Mode_Missing_Initialization_1_NT_Loop14_TestCase5, YES, 1711)
(FSE_Bitvector_Mode_Missing_Initialization_1_NT_Loop14_TestCase4, YES, 1852)
(FSE_Bitvector_Mode_Missing_Initialization_1_NT_Loop14_TestCase6, NO, 1718)
(FSE_Bitvector_Mode_Missing_Initialization_1_NT_Loop14_TestCase7, NO, 1748)
(FSE_Bitvector_Mode_Missing_Initialization_1_NT_Loop14_TestCase3, YES, 1790)
(FSE_Bitvector_Mode_Missing_Initialization_1_NT_Loop16_TestCase8, NO, 1943)
(FSE_Bitvector_Mode_Missing_Initialization_1_NT_Loop16_TestCase10, NO, 1746)
(FSE_Bitvector_Mode_Missing_Initialization_1_NT_Loop16_TestCase9, NO, 1705)
(FSE_Bitvector_Mode_Missing_Initialization_1_NT_Loop14_TestCase2, YES, 1740)
(FSE_Bitvector_Mode_Missing_Initialization_1_NT_Loop14_TestCase1, YES, 1746)
(FSE_Bitvector_Mode_Missing_Initialization_1_NT_Loop16_TestCase7, NO, 1739)
(FSE_Bitvector_Mode_Missing_Initialization_1_NT_Loop16_TestCase6, NO, 1740)
(FSE_Bitvector_Mode_Missing_Initialization_1_NT_Loop16_TestCase4, YES, 1764)
(FSE_Bitvector_Mode_Missing_Initialization_1_NT_Loop16_TestCase5, YES, 1753)
(FSE_Bitvector_Mode_Missing_Initialization_1_NT_Loop16_TestCase1, YES, 1738)
(FSE_Bitvector_Mode_Missing_Initialization_1_NT_Loop14_TestCase9, NO, 1766)
(FSE_Bitvector_Mode_Missing_Initialization_1_NT_Loop16_TestCase2, YES, 1740)
(FSE_Bitvector_Mode_Missing_Initialization_1_NT_Loop16_TestCase3, YES, 1705)
(FSE_Bitvector_Mode_Missing_Initialization_1_NT_Loop14_TestCase8, NO, 3169)</t>
  </si>
  <si>
    <t>(FSE_Bitvector_Mode_Missing_Initialization_1_NT_Loop0_TestCase8, NO, 1718)
(FSE_Bitvector_Mode_Missing_Initialization_1_NT_Loop0_TestCase9, NO, 1732)
(FSE_Bitvector_Mode_Missing_Initialization_1_NT_Loop0_TestCase7, NO, 1706)
(FSE_Bitvector_Mode_Missing_Initialization_1_NT_Loop0_TestCase6, NO, 1679)
(FSE_Bitvector_Mode_Missing_Initialization_1_NT_Loop0_TestCase4, YES, 1694)
(FSE_Bitvector_Mode_Missing_Initialization_1_NT_Loop0_TestCase5, YES, 1694)
(FSE_Bitvector_Mode_Missing_Initialization_1_NT_Loop0_TestCase10, NO, 1734)
(FSE_Bitvector_Mode_Missing_Initialization_1_NT_Loop0_TestCase1, YES, 1714)
(FSE_Bitvector_Mode_Missing_Initialization_1_NT_Loop0_TestCase2, YES, 1721)
(FSE_Bitvector_Mode_Missing_Initialization_1_NT_Loop0_TestCase3, YES, 1675)</t>
  </si>
  <si>
    <t>(FSE_Bitvector_Mode_Missing_Initialization_1_NT_Loop14_TestCase0, NO, 2067)
(FSE_Bitvector_Mode_Missing_Initialization_1_NT_Loop16_TestCase0, NO, 1756)</t>
  </si>
  <si>
    <t>(FSE_Bitvector_Mode_Missing_Initialization_1_NT_Loop0_TestCase0, NO, 2232)</t>
  </si>
  <si>
    <t>0/30</t>
  </si>
  <si>
    <t>(FSE_Bitvector_Mode_Missing_Corner-case_Handling_4_T_Loop36_TestCase9, MAYBE, 1553)
(FSE_Bitvector_Mode_Missing_Corner-case_Handling_4_T_Loop23_TestCase2, MAYBE, 1344)
(FSE_Bitvector_Mode_Missing_Corner-case_Handling_4_T_Loop50_TestCase4, MAYBE, 1677)
(FSE_Bitvector_Mode_Missing_Corner-case_Handling_4_T_Loop50_TestCase5, MAYBE, 1668)
(FSE_Bitvector_Mode_Missing_Corner-case_Handling_4_T_Loop23_TestCase3, MAYBE, 1356)
(FSE_Bitvector_Mode_Missing_Corner-case_Handling_4_T_Loop36_TestCase8, MAYBE, 1733)
(FSE_Bitvector_Mode_Missing_Corner-case_Handling_4_T_Loop23_TestCase1, MAYBE, 1366)
(FSE_Bitvector_Mode_Missing_Corner-case_Handling_4_T_Loop50_TestCase7, MAYBE, 1749)
(FSE_Bitvector_Mode_Missing_Corner-case_Handling_4_T_Loop50_TestCase6, MAYBE, 1663)
(FSE_Bitvector_Mode_Missing_Corner-case_Handling_4_T_Loop50_TestCase2, MAYBE, 1698)
(FSE_Bitvector_Mode_Missing_Corner-case_Handling_4_T_Loop23_TestCase4, MAYBE, 1337)
(FSE_Bitvector_Mode_Missing_Corner-case_Handling_4_T_Loop23_TestCase5, MAYBE, 1393)
(FSE_Bitvector_Mode_Missing_Corner-case_Handling_4_T_Loop50_TestCase3, MAYBE, 1755)
(FSE_Bitvector_Mode_Missing_Corner-case_Handling_4_T_Loop50_TestCase1, MAYBE, 1693)
(FSE_Bitvector_Mode_Missing_Corner-case_Handling_4_T_Loop23_TestCase7, MAYBE, 1741)
(FSE_Bitvector_Mode_Missing_Corner-case_Handling_4_T_Loop23_TestCase6, MAYBE, 1373)
(FSE_Bitvector_Mode_Missing_Corner-case_Handling_4_T_Loop50_TestCase10, MAYBE, 1681)
(FSE_Bitvector_Mode_Missing_Corner-case_Handling_4_T_Loop36_TestCase1, MAYBE, 1556)
(FSE_Bitvector_Mode_Missing_Corner-case_Handling_4_T_Loop36_TestCase3, MAYBE, 1636)
(FSE_Bitvector_Mode_Missing_Corner-case_Handling_4_T_Loop23_TestCase8, MAYBE, 1388)
(FSE_Bitvector_Mode_Missing_Corner-case_Handling_4_T_Loop23_TestCase10, MAYBE, 1354)
(FSE_Bitvector_Mode_Missing_Corner-case_Handling_4_T_Loop36_TestCase10, MAYBE, 1576)
(FSE_Bitvector_Mode_Missing_Corner-case_Handling_4_T_Loop23_TestCase9, MAYBE, 1386)
(FSE_Bitvector_Mode_Missing_Corner-case_Handling_4_T_Loop36_TestCase2, MAYBE, 1549)
(FSE_Bitvector_Mode_Missing_Corner-case_Handling_4_T_Loop36_TestCase6, MAYBE, 1536)
(FSE_Bitvector_Mode_Missing_Corner-case_Handling_4_T_Loop36_TestCase7, MAYBE, 1574)
(FSE_Bitvector_Mode_Missing_Corner-case_Handling_4_T_Loop36_TestCase5, MAYBE, 1543)
(FSE_Bitvector_Mode_Missing_Corner-case_Handling_4_T_Loop50_TestCase8, MAYBE, 2024)
(FSE_Bitvector_Mode_Missing_Corner-case_Handling_4_T_Loop50_TestCase9, MAYBE, 1780)
(FSE_Bitvector_Mode_Missing_Corner-case_Handling_4_T_Loop36_TestCase4, MAYBE, 1573)</t>
  </si>
  <si>
    <t>(FSE_Bitvector_Mode_Missing_Corner-case_Handling_4_T_Loop0_TestCase9, TIMEOUT, 302407)
(FSE_Bitvector_Mode_Missing_Corner-case_Handling_4_T_Loop0_TestCase8, TIMEOUT, 302050)
(FSE_Bitvector_Mode_Missing_Corner-case_Handling_4_T_Loop0_TestCase10, TIMEOUT, 302467)
(FSE_Bitvector_Mode_Missing_Corner-case_Handling_4_T_Loop0_TestCase1, YES, 2158)
(FSE_Bitvector_Mode_Missing_Corner-case_Handling_4_T_Loop0_TestCase3, YES, 2388)
(FSE_Bitvector_Mode_Missing_Corner-case_Handling_4_T_Loop0_TestCase2, YES, 2129)
(FSE_Bitvector_Mode_Missing_Corner-case_Handling_4_T_Loop0_TestCase6, YES, 2579)
(FSE_Bitvector_Mode_Missing_Corner-case_Handling_4_T_Loop0_TestCase7, TIMEOUT, 302058)
(FSE_Bitvector_Mode_Missing_Corner-case_Handling_4_T_Loop0_TestCase5, YES, 2545)
(FSE_Bitvector_Mode_Missing_Corner-case_Handling_4_T_Loop0_TestCase4, YES, 2144)</t>
  </si>
  <si>
    <t>0/3</t>
  </si>
  <si>
    <t>(FSE_Bitvector_Mode_Missing_Corner-case_Handling_4_T_Loop23_TestCase0, MAYBE, 1383)
(FSE_Bitvector_Mode_Missing_Corner-case_Handling_4_T_Loop50_TestCase0, MAYBE, 1720)
(FSE_Bitvector_Mode_Missing_Corner-case_Handling_4_T_Loop36_TestCase0, MAYBE, 1564)</t>
  </si>
  <si>
    <t>(FSE_Bitvector_Mode_Missing_Corner-case_Handling_4_T_Loop0_TestCase0, TIMEOUT, 302571)</t>
  </si>
  <si>
    <t>0/25</t>
  </si>
  <si>
    <t>(FSE_Bitvector_Mode_Missing_Corner-case_Handling_4_NT_Loop37_TestCase1, MAYBE, 1567)
(FSE_Bitvector_Mode_Missing_Corner-case_Handling_4_NT_Loop24_TestCase1, MAYBE, 1360)
(FSE_Bitvector_Mode_Missing_Corner-case_Handling_4_NT_Loop37_TestCase2, MAYBE, 1523)
(FSE_Bitvector_Mode_Missing_Corner-case_Handling_4_NT_Loop24_TestCase3, MAYBE, 1373)
(FSE_Bitvector_Mode_Missing_Corner-case_Handling_4_NT_Loop24_TestCase2, MAYBE, 1370)
(FSE_Bitvector_Mode_Missing_Corner-case_Handling_4_NT_Loop37_TestCase3, MAYBE, 1567)
(FSE_Bitvector_Mode_Missing_Corner-case_Handling_4_NT_Loop37_TestCase7, MAYBE, 1514)
(FSE_Bitvector_Mode_Missing_Corner-case_Handling_4_NT_Loop24_TestCase6, MAYBE, 1369)
(FSE_Bitvector_Mode_Missing_Corner-case_Handling_4_NT_Loop24_TestCase7, MAYBE, 1565)
(FSE_Bitvector_Mode_Missing_Corner-case_Handling_4_NT_Loop37_TestCase6, MAYBE, 1962)
(FSE_Bitvector_Mode_Missing_Corner-case_Handling_4_NT_Loop37_TestCase4, MAYBE, 1564)
(FSE_Bitvector_Mode_Missing_Corner-case_Handling_4_NT_Loop51_TestCase9, MAYBE, 1545)
(FSE_Bitvector_Mode_Missing_Corner-case_Handling_4_NT_Loop24_TestCase5, MAYBE, 1371)
(FSE_Bitvector_Mode_Missing_Corner-case_Handling_4_NT_Loop24_TestCase4, MAYBE, 1378)
(FSE_Bitvector_Mode_Missing_Corner-case_Handling_4_NT_Loop51_TestCase8, MAYBE, 1536)
(FSE_Bitvector_Mode_Missing_Corner-case_Handling_4_NT_Loop37_TestCase5, MAYBE, 1554)
(FSE_Bitvector_Mode_Missing_Corner-case_Handling_4_NT_Loop51_TestCase10, MAYBE, 1544)
(FSE_Bitvector_Mode_Missing_Corner-case_Handling_4_NT_Loop37_TestCase8, MAYBE, 1566)
(FSE_Bitvector_Mode_Missing_Corner-case_Handling_4_NT_Loop51_TestCase5, MAYBE, 1521)
(FSE_Bitvector_Mode_Missing_Corner-case_Handling_4_NT_Loop24_TestCase9, MAYBE, 1381)
(FSE_Bitvector_Mode_Missing_Corner-case_Handling_4_NT_Loop24_TestCase8, MAYBE, 1393)
(FSE_Bitvector_Mode_Missing_Corner-case_Handling_4_NT_Loop24_TestCase10, MAYBE, 1376)
(FSE_Bitvector_Mode_Missing_Corner-case_Handling_4_NT_Loop51_TestCase4, MAYBE, 1528)
(FSE_Bitvector_Mode_Missing_Corner-case_Handling_4_NT_Loop37_TestCase9, MAYBE, 1574)
(FSE_Bitvector_Mode_Missing_Corner-case_Handling_4_NT_Loop51_TestCase6, MAYBE, 1533)
(FSE_Bitvector_Mode_Missing_Corner-case_Handling_4_NT_Loop51_TestCase7, MAYBE, 1546)
(FSE_Bitvector_Mode_Missing_Corner-case_Handling_4_NT_Loop51_TestCase3, MAYBE, 2811)
(FSE_Bitvector_Mode_Missing_Corner-case_Handling_4_NT_Loop37_TestCase10, MAYBE, 1547)
(FSE_Bitvector_Mode_Missing_Corner-case_Handling_4_NT_Loop51_TestCase2, MAYBE, 1516)
(FSE_Bitvector_Mode_Missing_Corner-case_Handling_4_NT_Loop51_TestCase1, MAYBE, 1520)</t>
  </si>
  <si>
    <t>(FSE_Bitvector_Mode_Missing_Corner-case_Handling_4_NT_Loop0_TestCase7, TIMEOUT, 302064)
(FSE_Bitvector_Mode_Missing_Corner-case_Handling_4_NT_Loop0_TestCase6, TIMEOUT, 302395)
(FSE_Bitvector_Mode_Missing_Corner-case_Handling_4_NT_Loop0_TestCase4, YES, 2152)
(FSE_Bitvector_Mode_Missing_Corner-case_Handling_4_NT_Loop0_TestCase5, YES, 2159)
(FSE_Bitvector_Mode_Missing_Corner-case_Handling_4_NT_Loop0_TestCase1, YES, 2165)
(FSE_Bitvector_Mode_Missing_Corner-case_Handling_4_NT_Loop0_TestCase2, YES, 2148)
(FSE_Bitvector_Mode_Missing_Corner-case_Handling_4_NT_Loop0_TestCase3, YES, 2151)
(FSE_Bitvector_Mode_Missing_Corner-case_Handling_4_NT_Loop0_TestCase8, TIMEOUT, 302038)
(FSE_Bitvector_Mode_Missing_Corner-case_Handling_4_NT_Loop0_TestCase9, TIMEOUT, 302143)
(FSE_Bitvector_Mode_Missing_Corner-case_Handling_4_NT_Loop0_TestCase10, TIMEOUT, 302463)</t>
  </si>
  <si>
    <t>(FSE_Bitvector_Mode_Missing_Corner-case_Handling_4_NT_Loop24_TestCase0, MAYBE, 1397)
(FSE_Bitvector_Mode_Missing_Corner-case_Handling_4_NT_Loop37_TestCase0, MAYBE, 1755)
(FSE_Bitvector_Mode_Missing_Corner-case_Handling_4_NT_Loop51_TestCase0, MAYBE, 1564)</t>
  </si>
  <si>
    <t>(FSE_Bitvector_Mode_Missing_Corner-case_Handling_4_NT_Loop0_TestCase0, TIMEOUT, 302406)</t>
  </si>
  <si>
    <t>5/40</t>
  </si>
  <si>
    <t>(FSE_Bitvector_Mode_Missing_Corner-case_Handling_3_T_Loop33_TestCase5, TIMEOUT, 301807)
(FSE_Bitvector_Mode_Missing_Corner-case_Handling_3_T_Loop19_TestCase4, TIMEOUT, 303120)
(FSE_Bitvector_Mode_Missing_Corner-case_Handling_3_T_Loop19_TestCase5, TIMEOUT, 301775)
(FSE_Bitvector_Mode_Missing_Corner-case_Handling_3_T_Loop33_TestCase4, TIMEOUT, 301825)
(FSE_Bitvector_Mode_Missing_Corner-case_Handling_3_T_Loop21_TestCase9, TIMEOUT, 301979)
(FSE_Bitvector_Mode_Missing_Corner-case_Handling_3_T_Loop33_TestCase6, TIMEOUT, 301815)
(FSE_Bitvector_Mode_Missing_Corner-case_Handling_3_T_Loop19_TestCase7, TIMEOUT, 301947)
(FSE_Bitvector_Mode_Missing_Corner-case_Handling_3_T_Loop19_TestCase6, TIMEOUT, 302049)
(FSE_Bitvector_Mode_Missing_Corner-case_Handling_3_T_Loop33_TestCase7, TIMEOUT, 301838)
(FSE_Bitvector_Mode_Missing_Corner-case_Handling_3_T_Loop21_TestCase8, TIMEOUT, 301790)
(FSE_Bitvector_Mode_Missing_Corner-case_Handling_3_T_Loop33_TestCase3, TIMEOUT, 302761)
(FSE_Bitvector_Mode_Missing_Corner-case_Handling_3_T_Loop19_TestCase2, TIMEOUT, 301830)
(FSE_Bitvector_Mode_Missing_Corner-case_Handling_3_T_Loop31_TestCase8, TIMEOUT, 301767)
(FSE_Bitvector_Mode_Missing_Corner-case_Handling_3_T_Loop31_TestCase9, TIMEOUT, 301891)
(FSE_Bitvector_Mode_Missing_Corner-case_Handling_3_T_Loop19_TestCase3, TIMEOUT, 301885)
(FSE_Bitvector_Mode_Missing_Corner-case_Handling_3_T_Loop33_TestCase2, TIMEOUT, 301901)
(FSE_Bitvector_Mode_Missing_Corner-case_Handling_3_T_Loop19_TestCase1, YES, 2623)
(FSE_Bitvector_Mode_Missing_Corner-case_Handling_3_T_Loop33_TestCase1, YES, 5012)
(FSE_Bitvector_Mode_Missing_Corner-case_Handling_3_T_Loop19_TestCase10, TIMEOUT, 301775)
(FSE_Bitvector_Mode_Missing_Corner-case_Handling_3_T_Loop31_TestCase10, TIMEOUT, 301985)
(FSE_Bitvector_Mode_Missing_Corner-case_Handling_3_T_Loop21_TestCase3, TIMEOUT, 301925)
(FSE_Bitvector_Mode_Missing_Corner-case_Handling_3_T_Loop31_TestCase7, TIMEOUT, 301806)
(FSE_Bitvector_Mode_Missing_Corner-case_Handling_3_T_Loop31_TestCase6, TIMEOUT, 301796)
(FSE_Bitvector_Mode_Missing_Corner-case_Handling_3_T_Loop21_TestCase2, TIMEOUT, 301922)
(FSE_Bitvector_Mode_Missing_Corner-case_Handling_3_T_Loop31_TestCase4, TIMEOUT, 301806)
(FSE_Bitvector_Mode_Missing_Corner-case_Handling_3_T_Loop31_TestCase5, TIMEOUT, 301806)
(FSE_Bitvector_Mode_Missing_Corner-case_Handling_3_T_Loop21_TestCase1, YES, 4500)
(FSE_Bitvector_Mode_Missing_Corner-case_Handling_3_T_Loop21_TestCase5, TIMEOUT, 301732)
(FSE_Bitvector_Mode_Missing_Corner-case_Handling_3_T_Loop33_TestCase10, TIMEOUT, 301800)
(FSE_Bitvector_Mode_Missing_Corner-case_Handling_3_T_Loop31_TestCase1, YES, 2705)
(FSE_Bitvector_Mode_Missing_Corner-case_Handling_3_T_Loop21_TestCase4, TIMEOUT, 301830)
(FSE_Bitvector_Mode_Missing_Corner-case_Handling_3_T_Loop21_TestCase6, TIMEOUT, 301769)
(FSE_Bitvector_Mode_Missing_Corner-case_Handling_3_T_Loop33_TestCase9, TIMEOUT, 301748)
(FSE_Bitvector_Mode_Missing_Corner-case_Handling_3_T_Loop19_TestCase8, TIMEOUT, 301862)
(FSE_Bitvector_Mode_Missing_Corner-case_Handling_3_T_Loop31_TestCase2, YES, 293109)
(FSE_Bitvector_Mode_Missing_Corner-case_Handling_3_T_Loop21_TestCase10, TIMEOUT, 301778)
(FSE_Bitvector_Mode_Missing_Corner-case_Handling_3_T_Loop31_TestCase3, TIMEOUT, 301783)
(FSE_Bitvector_Mode_Missing_Corner-case_Handling_3_T_Loop19_TestCase9, TIMEOUT, 301815)
(FSE_Bitvector_Mode_Missing_Corner-case_Handling_3_T_Loop33_TestCase8, TIMEOUT, 301817)
(FSE_Bitvector_Mode_Missing_Corner-case_Handling_3_T_Loop21_TestCase7, TIMEOUT, 302351)</t>
  </si>
  <si>
    <t>(FSE_Bitvector_Mode_Missing_Corner-case_Handling_3_T_Loop0_TestCase7, TIMEOUT, 301722)
(FSE_Bitvector_Mode_Missing_Corner-case_Handling_3_T_Loop0_TestCase6, TIMEOUT, 301704)
(FSE_Bitvector_Mode_Missing_Corner-case_Handling_3_T_Loop0_TestCase4, TIMEOUT, 301669)
(FSE_Bitvector_Mode_Missing_Corner-case_Handling_3_T_Loop0_TestCase5, TIMEOUT, 301691)
(FSE_Bitvector_Mode_Missing_Corner-case_Handling_3_T_Loop0_TestCase1, YES, 3176)
(FSE_Bitvector_Mode_Missing_Corner-case_Handling_3_T_Loop0_TestCase2, TIMEOUT, 301969)
(FSE_Bitvector_Mode_Missing_Corner-case_Handling_3_T_Loop0_TestCase3, YES, 217601)
(FSE_Bitvector_Mode_Missing_Corner-case_Handling_3_T_Loop0_TestCase10, TIMEOUT, 301674)
(FSE_Bitvector_Mode_Missing_Corner-case_Handling_3_T_Loop0_TestCase8, TIMEOUT, 301682)
(FSE_Bitvector_Mode_Missing_Corner-case_Handling_3_T_Loop0_TestCase9, TIMEOUT, 301682)</t>
  </si>
  <si>
    <t>0/4</t>
  </si>
  <si>
    <t>(FSE_Bitvector_Mode_Missing_Corner-case_Handling_3_T_Loop33_TestCase0, TIMEOUT, 302031)
(FSE_Bitvector_Mode_Missing_Corner-case_Handling_3_T_Loop19_TestCase0, TIMEOUT, 302023)
(FSE_Bitvector_Mode_Missing_Corner-case_Handling_3_T_Loop21_TestCase0, TIMEOUT, 302047)
(FSE_Bitvector_Mode_Missing_Corner-case_Handling_3_T_Loop31_TestCase0, TIMEOUT, 302047)</t>
  </si>
  <si>
    <t>(FSE_Bitvector_Mode_Missing_Corner-case_Handling_3_T_Loop0_TestCase0, TIMEOUT, 302111)</t>
  </si>
  <si>
    <t>0/40</t>
  </si>
  <si>
    <t>0/20</t>
  </si>
  <si>
    <t>(FSE_Bitvector_Mode_Missing_Corner-case_Handling_3_NT_Loop33_TestCase10, TIMEOUT, 301995)
(FSE_Bitvector_Mode_Missing_Corner-case_Handling_3_NT_Loop21_TestCase10, TIMEOUT, 301981)
(FSE_Bitvector_Mode_Missing_Corner-case_Handling_3_NT_Loop19_TestCase3, TIMEOUT, 302027)
(FSE_Bitvector_Mode_Missing_Corner-case_Handling_3_NT_Loop31_TestCase9, TIMEOUT, 302051)
(FSE_Bitvector_Mode_Missing_Corner-case_Handling_3_NT_Loop33_TestCase2, TIMEOUT, 302215)
(FSE_Bitvector_Mode_Missing_Corner-case_Handling_3_NT_Loop33_TestCase3, TIMEOUT, 302200)
(FSE_Bitvector_Mode_Missing_Corner-case_Handling_3_NT_Loop31_TestCase8, TIMEOUT, 301971)
(FSE_Bitvector_Mode_Missing_Corner-case_Handling_3_NT_Loop19_TestCase2, TIMEOUT, 302003)
(FSE_Bitvector_Mode_Missing_Corner-case_Handling_3_NT_Loop33_TestCase1, TIMEOUT, 302130)
(FSE_Bitvector_Mode_Missing_Corner-case_Handling_3_NT_Loop19_TestCase1, TIMEOUT, 302009)
(FSE_Bitvector_Mode_Missing_Corner-case_Handling_3_NT_Loop19_TestCase5, TIMEOUT, 301973)
(FSE_Bitvector_Mode_Missing_Corner-case_Handling_3_NT_Loop33_TestCase4, TIMEOUT, 302053)
(FSE_Bitvector_Mode_Missing_Corner-case_Handling_3_NT_Loop33_TestCase5, TIMEOUT, 302000)
(FSE_Bitvector_Mode_Missing_Corner-case_Handling_3_NT_Loop19_TestCase4, TIMEOUT, 302067)
(FSE_Bitvector_Mode_Missing_Corner-case_Handling_3_NT_Loop19_TestCase6, TIMEOUT, 302064)
(FSE_Bitvector_Mode_Missing_Corner-case_Handling_3_NT_Loop33_TestCase7, TIMEOUT, 302088)
(FSE_Bitvector_Mode_Missing_Corner-case_Handling_3_NT_Loop21_TestCase8, TIMEOUT, 301900)
(FSE_Bitvector_Mode_Missing_Corner-case_Handling_3_NT_Loop31_TestCase10, TIMEOUT, 302067)
(FSE_Bitvector_Mode_Missing_Corner-case_Handling_3_NT_Loop21_TestCase9, TIMEOUT, 302107)
(FSE_Bitvector_Mode_Missing_Corner-case_Handling_3_NT_Loop33_TestCase6, TIMEOUT, 302058)
(FSE_Bitvector_Mode_Missing_Corner-case_Handling_3_NT_Loop19_TestCase7, TIMEOUT, 302098)
(FSE_Bitvector_Mode_Missing_Corner-case_Handling_3_NT_Loop21_TestCase4, TIMEOUT, 302070)
(FSE_Bitvector_Mode_Missing_Corner-case_Handling_3_NT_Loop21_TestCase5, TIMEOUT, 301925)
(FSE_Bitvector_Mode_Missing_Corner-case_Handling_3_NT_Loop31_TestCase1, TIMEOUT, 302098)
(FSE_Bitvector_Mode_Missing_Corner-case_Handling_3_NT_Loop19_TestCase9, TIMEOUT, 301996)
(FSE_Bitvector_Mode_Missing_Corner-case_Handling_3_NT_Loop31_TestCase3, TIMEOUT, 302102)
(FSE_Bitvector_Mode_Missing_Corner-case_Handling_3_NT_Loop33_TestCase8, TIMEOUT, 302077)
(FSE_Bitvector_Mode_Missing_Corner-case_Handling_3_NT_Loop21_TestCase7, TIMEOUT, 302023)
(FSE_Bitvector_Mode_Missing_Corner-case_Handling_3_NT_Loop21_TestCase6, TIMEOUT, 302273)
(FSE_Bitvector_Mode_Missing_Corner-case_Handling_3_NT_Loop33_TestCase9, TIMEOUT, 301991)
(FSE_Bitvector_Mode_Missing_Corner-case_Handling_3_NT_Loop31_TestCase2, TIMEOUT, 302081)
(FSE_Bitvector_Mode_Missing_Corner-case_Handling_3_NT_Loop19_TestCase8, TIMEOUT, 302013)
(FSE_Bitvector_Mode_Missing_Corner-case_Handling_3_NT_Loop31_TestCase6, TIMEOUT, 302058)
(FSE_Bitvector_Mode_Missing_Corner-case_Handling_3_NT_Loop21_TestCase2, TIMEOUT, 302008)
(FSE_Bitvector_Mode_Missing_Corner-case_Handling_3_NT_Loop21_TestCase3, TIMEOUT, 302319)
(FSE_Bitvector_Mode_Missing_Corner-case_Handling_3_NT_Loop31_TestCase7, TIMEOUT, 302242)
(FSE_Bitvector_Mode_Missing_Corner-case_Handling_3_NT_Loop19_TestCase10, TIMEOUT, 302148)
(FSE_Bitvector_Mode_Missing_Corner-case_Handling_3_NT_Loop31_TestCase5, TIMEOUT, 301894)
(FSE_Bitvector_Mode_Missing_Corner-case_Handling_3_NT_Loop21_TestCase1, TIMEOUT, 301949)
(FSE_Bitvector_Mode_Missing_Corner-case_Handling_3_NT_Loop31_TestCase4, TIMEOUT, 302015)</t>
  </si>
  <si>
    <t>(FSE_Bitvector_Mode_Missing_Corner-case_Handling_3_NT_Loop0_TestCase4, TIMEOUT, 301766)
(FSE_Bitvector_Mode_Missing_Corner-case_Handling_3_NT_Loop0_TestCase5, TIMEOUT, 301889)
(FSE_Bitvector_Mode_Missing_Corner-case_Handling_3_NT_Loop0_TestCase7, TIMEOUT, 301941)
(FSE_Bitvector_Mode_Missing_Corner-case_Handling_3_NT_Loop0_TestCase6, TIMEOUT, 301986)
(FSE_Bitvector_Mode_Missing_Corner-case_Handling_3_NT_Loop0_TestCase2, TIMEOUT, 301855)
(FSE_Bitvector_Mode_Missing_Corner-case_Handling_3_NT_Loop0_TestCase3, TIMEOUT, 301827)
(FSE_Bitvector_Mode_Missing_Corner-case_Handling_3_NT_Loop0_TestCase1, TIMEOUT, 301724)
(FSE_Bitvector_Mode_Missing_Corner-case_Handling_3_NT_Loop0_TestCase8, TIMEOUT, 302023)
(FSE_Bitvector_Mode_Missing_Corner-case_Handling_3_NT_Loop0_TestCase9, TIMEOUT, 301717)
(FSE_Bitvector_Mode_Missing_Corner-case_Handling_3_NT_Loop0_TestCase10, TIMEOUT, 301838)</t>
  </si>
  <si>
    <t>(FSE_Bitvector_Mode_Missing_Corner-case_Handling_3_NT_Loop19_TestCase0, TIMEOUT, 302022)
(FSE_Bitvector_Mode_Missing_Corner-case_Handling_3_NT_Loop33_TestCase0, TIMEOUT, 301721)
(FSE_Bitvector_Mode_Missing_Corner-case_Handling_3_NT_Loop31_TestCase0, TIMEOUT, 301976)
(FSE_Bitvector_Mode_Missing_Corner-case_Handling_3_NT_Loop21_TestCase0, TIMEOUT, 302034)</t>
  </si>
  <si>
    <t>(FSE_Bitvector_Mode_Missing_Corner-case_Handling_3_NT_Loop0_TestCase0, TIMEOUT, 302032)</t>
  </si>
  <si>
    <t>(FSE_Bitvector_Mode_Missing_Corner-case_Handling_2_T_Loop16_TestCase8, YES, 1696)
(FSE_Bitvector_Mode_Missing_Corner-case_Handling_2_T_Loop16_TestCase9, YES, 1739)
(FSE_Bitvector_Mode_Missing_Corner-case_Handling_2_T_Loop16_TestCase2, YES, 1730)
(FSE_Bitvector_Mode_Missing_Corner-case_Handling_2_T_Loop16_TestCase3, YES, 1731)
(FSE_Bitvector_Mode_Missing_Corner-case_Handling_2_T_Loop16_TestCase1, YES, 1715)
(FSE_Bitvector_Mode_Missing_Corner-case_Handling_2_T_Loop16_TestCase4, YES, 1736)
(FSE_Bitvector_Mode_Missing_Corner-case_Handling_2_T_Loop16_TestCase5, YES, 1710)
(FSE_Bitvector_Mode_Missing_Corner-case_Handling_2_T_Loop16_TestCase7, YES, 2022)
(FSE_Bitvector_Mode_Missing_Corner-case_Handling_2_T_Loop16_TestCase10, YES, 1720)
(FSE_Bitvector_Mode_Missing_Corner-case_Handling_2_T_Loop16_TestCase6, YES, 1770)</t>
  </si>
  <si>
    <t>(FSE_Bitvector_Mode_Missing_Corner-case_Handling_2_T_Loop0_TestCase8, YES, 1717)
(FSE_Bitvector_Mode_Missing_Corner-case_Handling_2_T_Loop0_TestCase9, YES, 1723)
(FSE_Bitvector_Mode_Missing_Corner-case_Handling_2_T_Loop0_TestCase4, YES, 1692)
(FSE_Bitvector_Mode_Missing_Corner-case_Handling_2_T_Loop0_TestCase5, YES, 1812)
(FSE_Bitvector_Mode_Missing_Corner-case_Handling_2_T_Loop0_TestCase7, YES, 1714)
(FSE_Bitvector_Mode_Missing_Corner-case_Handling_2_T_Loop0_TestCase6, YES, 1733)
(FSE_Bitvector_Mode_Missing_Corner-case_Handling_2_T_Loop0_TestCase2, YES, 1710)
(FSE_Bitvector_Mode_Missing_Corner-case_Handling_2_T_Loop0_TestCase10, YES, 1728)
(FSE_Bitvector_Mode_Missing_Corner-case_Handling_2_T_Loop0_TestCase3, YES, 1719)
(FSE_Bitvector_Mode_Missing_Corner-case_Handling_2_T_Loop0_TestCase1, YES, 1684)</t>
  </si>
  <si>
    <t>(FSE_Bitvector_Mode_Missing_Corner-case_Handling_2_T_Loop16_TestCase0, YES, 1783)</t>
  </si>
  <si>
    <t>(FSE_Bitvector_Mode_Missing_Corner-case_Handling_2_T_Loop0_TestCase0, YES, 2110)</t>
  </si>
  <si>
    <t>(FSE_Bitvector_Mode_Missing_Corner-case_Handling_2_NT_Loop17_TestCase8, NO, 1760)
(FSE_Bitvector_Mode_Missing_Corner-case_Handling_2_NT_Loop17_TestCase9, NO, 1782)
(FSE_Bitvector_Mode_Missing_Corner-case_Handling_2_NT_Loop17_TestCase2, YES, 1729)
(FSE_Bitvector_Mode_Missing_Corner-case_Handling_2_NT_Loop17_TestCase3, YES, 1735)
(FSE_Bitvector_Mode_Missing_Corner-case_Handling_2_NT_Loop17_TestCase1, YES, 1701)
(FSE_Bitvector_Mode_Missing_Corner-case_Handling_2_NT_Loop17_TestCase4, YES, 1735)
(FSE_Bitvector_Mode_Missing_Corner-case_Handling_2_NT_Loop17_TestCase5, YES, 1749)
(FSE_Bitvector_Mode_Missing_Corner-case_Handling_2_NT_Loop17_TestCase7, NO, 2006)
(FSE_Bitvector_Mode_Missing_Corner-case_Handling_2_NT_Loop17_TestCase6, NO, 1809)
(FSE_Bitvector_Mode_Missing_Corner-case_Handling_2_NT_Loop17_TestCase10, NO, 1712)</t>
  </si>
  <si>
    <t>(FSE_Bitvector_Mode_Missing_Corner-case_Handling_2_NT_Loop0_TestCase10, NO, 1704)
(FSE_Bitvector_Mode_Missing_Corner-case_Handling_2_NT_Loop0_TestCase1, YES, 1725)
(FSE_Bitvector_Mode_Missing_Corner-case_Handling_2_NT_Loop0_TestCase3, YES, 1708)
(FSE_Bitvector_Mode_Missing_Corner-case_Handling_2_NT_Loop0_TestCase2, YES, 1675)
(FSE_Bitvector_Mode_Missing_Corner-case_Handling_2_NT_Loop0_TestCase6, NO, 1716)
(FSE_Bitvector_Mode_Missing_Corner-case_Handling_2_NT_Loop0_TestCase7, NO, 1716)
(FSE_Bitvector_Mode_Missing_Corner-case_Handling_2_NT_Loop0_TestCase5, YES, 1813)
(FSE_Bitvector_Mode_Missing_Corner-case_Handling_2_NT_Loop0_TestCase4, YES, 1723)
(FSE_Bitvector_Mode_Missing_Corner-case_Handling_2_NT_Loop0_TestCase9, NO, 1702)
(FSE_Bitvector_Mode_Missing_Corner-case_Handling_2_NT_Loop0_TestCase8, NO, 1716)</t>
  </si>
  <si>
    <t>(FSE_Bitvector_Mode_Missing_Corner-case_Handling_2_NT_Loop17_TestCase0, NO, 1778)</t>
  </si>
  <si>
    <t>(FSE_Bitvector_Mode_Missing_Corner-case_Handling_2_NT_Loop0_TestCase0, NO, 1718)</t>
  </si>
  <si>
    <t>(FSE_Bitvector_Mode_Missing_Corner-case_Handling_1_T_Loop40_TestCase2, YES, 1777)
(FSE_Bitvector_Mode_Missing_Corner-case_Handling_1_T_Loop40_TestCase3, YES, 1829)
(FSE_Bitvector_Mode_Missing_Corner-case_Handling_1_T_Loop40_TestCase1, YES, 1729)
(FSE_Bitvector_Mode_Missing_Corner-case_Handling_1_T_Loop40_TestCase10, YES, 1753)
(FSE_Bitvector_Mode_Missing_Corner-case_Handling_1_T_Loop40_TestCase4, YES, 1784)
(FSE_Bitvector_Mode_Missing_Corner-case_Handling_1_T_Loop40_TestCase5, YES, 1770)
(FSE_Bitvector_Mode_Missing_Corner-case_Handling_1_T_Loop40_TestCase7, YES, 1776)
(FSE_Bitvector_Mode_Missing_Corner-case_Handling_1_T_Loop40_TestCase6, YES, 2165)
(FSE_Bitvector_Mode_Missing_Corner-case_Handling_1_T_Loop40_TestCase8, YES, 1767)
(FSE_Bitvector_Mode_Missing_Corner-case_Handling_1_T_Loop40_TestCase9, YES, 1772)</t>
  </si>
  <si>
    <t>(FSE_Bitvector_Mode_Missing_Corner-case_Handling_1_T_Loop0_TestCase1, YES, 1752)
(FSE_Bitvector_Mode_Missing_Corner-case_Handling_1_T_Loop0_TestCase3, YES, 1751)
(FSE_Bitvector_Mode_Missing_Corner-case_Handling_1_T_Loop0_TestCase2, YES, 1793)
(FSE_Bitvector_Mode_Missing_Corner-case_Handling_1_T_Loop0_TestCase6, YES, 1752)
(FSE_Bitvector_Mode_Missing_Corner-case_Handling_1_T_Loop0_TestCase7, YES, 1844)
(FSE_Bitvector_Mode_Missing_Corner-case_Handling_1_T_Loop0_TestCase5, YES, 1801)
(FSE_Bitvector_Mode_Missing_Corner-case_Handling_1_T_Loop0_TestCase4, YES, 1734)
(FSE_Bitvector_Mode_Missing_Corner-case_Handling_1_T_Loop0_TestCase10, YES, 1733)
(FSE_Bitvector_Mode_Missing_Corner-case_Handling_1_T_Loop0_TestCase9, YES, 1752)
(FSE_Bitvector_Mode_Missing_Corner-case_Handling_1_T_Loop0_TestCase8, YES, 1746)</t>
  </si>
  <si>
    <t>(FSE_Bitvector_Mode_Missing_Corner-case_Handling_1_T_Loop40_TestCase0, YES, 1845)</t>
  </si>
  <si>
    <t>(FSE_Bitvector_Mode_Missing_Corner-case_Handling_1_T_Loop0_TestCase0, YES, 1932)</t>
  </si>
  <si>
    <t>(FSE_Bitvector_Mode_Missing_Corner-case_Handling_1_NT_Loop40_TestCase9, NO, 1786)
(FSE_Bitvector_Mode_Missing_Corner-case_Handling_1_NT_Loop40_TestCase8, NO, 1789)
(FSE_Bitvector_Mode_Missing_Corner-case_Handling_1_NT_Loop40_TestCase5, YES, 1741)
(FSE_Bitvector_Mode_Missing_Corner-case_Handling_1_NT_Loop40_TestCase4, YES, 1876)
(FSE_Bitvector_Mode_Missing_Corner-case_Handling_1_NT_Loop40_TestCase6, NO, 1812)
(FSE_Bitvector_Mode_Missing_Corner-case_Handling_1_NT_Loop40_TestCase7, NO, 1752)
(FSE_Bitvector_Mode_Missing_Corner-case_Handling_1_NT_Loop40_TestCase3, YES, 1736)
(FSE_Bitvector_Mode_Missing_Corner-case_Handling_1_NT_Loop40_TestCase2, YES, 1780)
(FSE_Bitvector_Mode_Missing_Corner-case_Handling_1_NT_Loop40_TestCase10, NO, 1761)
(FSE_Bitvector_Mode_Missing_Corner-case_Handling_1_NT_Loop40_TestCase1, YES, 1795)</t>
  </si>
  <si>
    <t>(FSE_Bitvector_Mode_Missing_Corner-case_Handling_1_NT_Loop0_TestCase5, YES, 1754)
(FSE_Bitvector_Mode_Missing_Corner-case_Handling_1_NT_Loop0_TestCase4, YES, 1740)
(FSE_Bitvector_Mode_Missing_Corner-case_Handling_1_NT_Loop0_TestCase6, NO, 1750)
(FSE_Bitvector_Mode_Missing_Corner-case_Handling_1_NT_Loop0_TestCase7, NO, 1764)
(FSE_Bitvector_Mode_Missing_Corner-case_Handling_1_NT_Loop0_TestCase3, YES, 1744)
(FSE_Bitvector_Mode_Missing_Corner-case_Handling_1_NT_Loop0_TestCase2, YES, 1736)
(FSE_Bitvector_Mode_Missing_Corner-case_Handling_1_NT_Loop0_TestCase1, YES, 1790)
(FSE_Bitvector_Mode_Missing_Corner-case_Handling_1_NT_Loop0_TestCase10, NO, 1724)
(FSE_Bitvector_Mode_Missing_Corner-case_Handling_1_NT_Loop0_TestCase9, NO, 1762)
(FSE_Bitvector_Mode_Missing_Corner-case_Handling_1_NT_Loop0_TestCase8, NO, 1776)</t>
  </si>
  <si>
    <t>(FSE_Bitvector_Mode_Missing_Corner-case_Handling_1_NT_Loop40_TestCase0, NO, 1849)</t>
  </si>
  <si>
    <t>(FSE_Bitvector_Mode_Missing_Corner-case_Handling_1_NT_Loop0_TestCase0, NO, 1905)</t>
  </si>
  <si>
    <t>(FSE_Bitvector_Mode_Incorrect_Update_for_Loop_Iterator_3_NT_Loop18_TestCase10, NO, 1715)
(FSE_Bitvector_Mode_Incorrect_Update_for_Loop_Iterator_3_NT_Loop18_TestCase9, NO, 1715)
(FSE_Bitvector_Mode_Incorrect_Update_for_Loop_Iterator_3_NT_Loop18_TestCase8, NO, 1668)
(FSE_Bitvector_Mode_Incorrect_Update_for_Loop_Iterator_3_NT_Loop18_TestCase5, YES, 1847)
(FSE_Bitvector_Mode_Incorrect_Update_for_Loop_Iterator_3_NT_Loop18_TestCase4, YES, 2030)
(FSE_Bitvector_Mode_Incorrect_Update_for_Loop_Iterator_3_NT_Loop18_TestCase6, NO, 1731)
(FSE_Bitvector_Mode_Incorrect_Update_for_Loop_Iterator_3_NT_Loop18_TestCase7, NO, 1758)
(FSE_Bitvector_Mode_Incorrect_Update_for_Loop_Iterator_3_NT_Loop18_TestCase3, YES, 1717)
(FSE_Bitvector_Mode_Incorrect_Update_for_Loop_Iterator_3_NT_Loop18_TestCase2, YES, 2134)
(FSE_Bitvector_Mode_Incorrect_Update_for_Loop_Iterator_3_NT_Loop18_TestCase1, YES, 1794)</t>
  </si>
  <si>
    <t>(FSE_Bitvector_Mode_Incorrect_Update_for_Loop_Iterator_3_NT_Loop0_TestCase9, NO, 1702)
(FSE_Bitvector_Mode_Incorrect_Update_for_Loop_Iterator_3_NT_Loop0_TestCase8, NO, 1707)
(FSE_Bitvector_Mode_Incorrect_Update_for_Loop_Iterator_3_NT_Loop0_TestCase10, NO, 1733)
(FSE_Bitvector_Mode_Incorrect_Update_for_Loop_Iterator_3_NT_Loop0_TestCase6, NO, 1748)
(FSE_Bitvector_Mode_Incorrect_Update_for_Loop_Iterator_3_NT_Loop0_TestCase7, NO, 1739)
(FSE_Bitvector_Mode_Incorrect_Update_for_Loop_Iterator_3_NT_Loop0_TestCase5, YES, 1952)
(FSE_Bitvector_Mode_Incorrect_Update_for_Loop_Iterator_3_NT_Loop0_TestCase4, YES, 1913)
(FSE_Bitvector_Mode_Incorrect_Update_for_Loop_Iterator_3_NT_Loop0_TestCase1, YES, 1791)
(FSE_Bitvector_Mode_Incorrect_Update_for_Loop_Iterator_3_NT_Loop0_TestCase3, YES, 1682)
(FSE_Bitvector_Mode_Incorrect_Update_for_Loop_Iterator_3_NT_Loop0_TestCase2, YES, 1966)</t>
  </si>
  <si>
    <t>(FSE_Bitvector_Mode_Incorrect_Update_for_Loop_Iterator_3_NT_Loop18_TestCase0, NO, 2006)</t>
  </si>
  <si>
    <t>(FSE_Bitvector_Mode_Incorrect_Update_for_Loop_Iterator_3_NT_Loop0_TestCase0, NO, 2108)</t>
  </si>
  <si>
    <t>(FSE_Bitvector_Mode_Incorrect_Update_for_Loop_Iterator_2_T_Loop14_TestCase8, YES, 2349)
(FSE_Bitvector_Mode_Incorrect_Update_for_Loop_Iterator_2_T_Loop14_TestCase9, YES, 2365)
(FSE_Bitvector_Mode_Incorrect_Update_for_Loop_Iterator_2_T_Loop14_TestCase2, YES, 1748)
(FSE_Bitvector_Mode_Incorrect_Update_for_Loop_Iterator_2_T_Loop14_TestCase3, YES, 1755)
(FSE_Bitvector_Mode_Incorrect_Update_for_Loop_Iterator_2_T_Loop14_TestCase10, YES, 2258)
(FSE_Bitvector_Mode_Incorrect_Update_for_Loop_Iterator_2_T_Loop14_TestCase1, YES, 1902)
(FSE_Bitvector_Mode_Incorrect_Update_for_Loop_Iterator_2_T_Loop14_TestCase4, YES, 1915)
(FSE_Bitvector_Mode_Incorrect_Update_for_Loop_Iterator_2_T_Loop14_TestCase5, YES, 2255)
(FSE_Bitvector_Mode_Incorrect_Update_for_Loop_Iterator_2_T_Loop14_TestCase7, YES, 1732)
(FSE_Bitvector_Mode_Incorrect_Update_for_Loop_Iterator_2_T_Loop14_TestCase6, YES, 2018)</t>
  </si>
  <si>
    <t>(FSE_Bitvector_Mode_Incorrect_Update_for_Loop_Iterator_2_T_Loop0_TestCase2, YES, 1823)
(FSE_Bitvector_Mode_Incorrect_Update_for_Loop_Iterator_2_T_Loop0_TestCase3, YES, 1723)
(FSE_Bitvector_Mode_Incorrect_Update_for_Loop_Iterator_2_T_Loop0_TestCase1, YES, 1732)
(FSE_Bitvector_Mode_Incorrect_Update_for_Loop_Iterator_2_T_Loop0_TestCase4, YES, 1755)
(FSE_Bitvector_Mode_Incorrect_Update_for_Loop_Iterator_2_T_Loop0_TestCase5, YES, 2385)
(FSE_Bitvector_Mode_Incorrect_Update_for_Loop_Iterator_2_T_Loop0_TestCase7, YES, 1726)
(FSE_Bitvector_Mode_Incorrect_Update_for_Loop_Iterator_2_T_Loop0_TestCase10, YES, 2191)
(FSE_Bitvector_Mode_Incorrect_Update_for_Loop_Iterator_2_T_Loop0_TestCase6, YES, 1683)
(FSE_Bitvector_Mode_Incorrect_Update_for_Loop_Iterator_2_T_Loop0_TestCase8, YES, 2449)
(FSE_Bitvector_Mode_Incorrect_Update_for_Loop_Iterator_2_T_Loop0_TestCase9, YES, 2254)</t>
  </si>
  <si>
    <t>(FSE_Bitvector_Mode_Incorrect_Update_for_Loop_Iterator_2_T_Loop14_TestCase0, YES, 2461)</t>
  </si>
  <si>
    <t>(FSE_Bitvector_Mode_Incorrect_Update_for_Loop_Iterator_2_T_Loop0_TestCase0, YES, 2776)</t>
  </si>
  <si>
    <t>(FSE_Bitvector_Mode_Incorrect_Update_for_Loop_Iterator_2_NT_Loop15_TestCase10, NO, 1810)
(FSE_Bitvector_Mode_Incorrect_Update_for_Loop_Iterator_2_NT_Loop15_TestCase1, YES, 1745)
(FSE_Bitvector_Mode_Incorrect_Update_for_Loop_Iterator_2_NT_Loop15_TestCase2, YES, 1742)
(FSE_Bitvector_Mode_Incorrect_Update_for_Loop_Iterator_2_NT_Loop15_TestCase3, YES, 1785)
(FSE_Bitvector_Mode_Incorrect_Update_for_Loop_Iterator_2_NT_Loop15_TestCase7, NO, 1739)
(FSE_Bitvector_Mode_Incorrect_Update_for_Loop_Iterator_2_NT_Loop15_TestCase6, NO, 1786)
(FSE_Bitvector_Mode_Incorrect_Update_for_Loop_Iterator_2_NT_Loop15_TestCase4, YES, 1779)
(FSE_Bitvector_Mode_Incorrect_Update_for_Loop_Iterator_2_NT_Loop15_TestCase5, YES, 2265)
(FSE_Bitvector_Mode_Incorrect_Update_for_Loop_Iterator_2_NT_Loop15_TestCase8, NO, 1703)
(FSE_Bitvector_Mode_Incorrect_Update_for_Loop_Iterator_2_NT_Loop15_TestCase9, NO, 1775)</t>
  </si>
  <si>
    <t>(FSE_Bitvector_Mode_Incorrect_Update_for_Loop_Iterator_2_NT_Loop0_TestCase10, NO, 1696)
(FSE_Bitvector_Mode_Incorrect_Update_for_Loop_Iterator_2_NT_Loop0_TestCase8, NO, 1739)
(FSE_Bitvector_Mode_Incorrect_Update_for_Loop_Iterator_2_NT_Loop0_TestCase9, NO, 1742)
(FSE_Bitvector_Mode_Incorrect_Update_for_Loop_Iterator_2_NT_Loop0_TestCase2, YES, 1708)
(FSE_Bitvector_Mode_Incorrect_Update_for_Loop_Iterator_2_NT_Loop0_TestCase3, YES, 1757)
(FSE_Bitvector_Mode_Incorrect_Update_for_Loop_Iterator_2_NT_Loop0_TestCase1, YES, 1700)
(FSE_Bitvector_Mode_Incorrect_Update_for_Loop_Iterator_2_NT_Loop0_TestCase4, YES, 1766)
(FSE_Bitvector_Mode_Incorrect_Update_for_Loop_Iterator_2_NT_Loop0_TestCase5, YES, 2963)
(FSE_Bitvector_Mode_Incorrect_Update_for_Loop_Iterator_2_NT_Loop0_TestCase7, NO, 1686)
(FSE_Bitvector_Mode_Incorrect_Update_for_Loop_Iterator_2_NT_Loop0_TestCase6, NO, 1677)</t>
  </si>
  <si>
    <t>(FSE_Bitvector_Mode_Incorrect_Update_for_Loop_Iterator_2_NT_Loop15_TestCase0, NO, 1805)</t>
  </si>
  <si>
    <t>(FSE_Bitvector_Mode_Incorrect_Update_for_Loop_Iterator_2_NT_Loop0_TestCase0, NO, 1957)</t>
  </si>
  <si>
    <t>(FSE_Bitvector_Mode_Incorrect_Update_for_Loop_Iterator_1_T_Loop19_TestCase8, YES, 1738)
(FSE_Bitvector_Mode_Incorrect_Update_for_Loop_Iterator_1_T_Loop19_TestCase9, YES, 1858)
(FSE_Bitvector_Mode_Incorrect_Update_for_Loop_Iterator_1_T_Loop19_TestCase10, YES, 2078)
(FSE_Bitvector_Mode_Incorrect_Update_for_Loop_Iterator_1_T_Loop19_TestCase7, YES, 2053)
(FSE_Bitvector_Mode_Incorrect_Update_for_Loop_Iterator_1_T_Loop19_TestCase6, YES, 1841)
(FSE_Bitvector_Mode_Incorrect_Update_for_Loop_Iterator_1_T_Loop19_TestCase4, YES, 1735)
(FSE_Bitvector_Mode_Incorrect_Update_for_Loop_Iterator_1_T_Loop19_TestCase5, YES, 1852)
(FSE_Bitvector_Mode_Incorrect_Update_for_Loop_Iterator_1_T_Loop19_TestCase1, YES, 2069)
(FSE_Bitvector_Mode_Incorrect_Update_for_Loop_Iterator_1_T_Loop19_TestCase2, YES, 1722)
(FSE_Bitvector_Mode_Incorrect_Update_for_Loop_Iterator_1_T_Loop19_TestCase3, YES, 1761)</t>
  </si>
  <si>
    <t>(FSE_Bitvector_Mode_Incorrect_Update_for_Loop_Iterator_1_T_Loop0_TestCase10, YES, 1715)
(FSE_Bitvector_Mode_Incorrect_Update_for_Loop_Iterator_1_T_Loop0_TestCase9, YES, 1722)
(FSE_Bitvector_Mode_Incorrect_Update_for_Loop_Iterator_1_T_Loop0_TestCase8, YES, 1706)
(FSE_Bitvector_Mode_Incorrect_Update_for_Loop_Iterator_1_T_Loop0_TestCase6, YES, 1848)
(FSE_Bitvector_Mode_Incorrect_Update_for_Loop_Iterator_1_T_Loop0_TestCase7, YES, 1692)
(FSE_Bitvector_Mode_Incorrect_Update_for_Loop_Iterator_1_T_Loop0_TestCase5, YES, 1826)
(FSE_Bitvector_Mode_Incorrect_Update_for_Loop_Iterator_1_T_Loop0_TestCase4, YES, 1735)
(FSE_Bitvector_Mode_Incorrect_Update_for_Loop_Iterator_1_T_Loop0_TestCase1, YES, 2064)
(FSE_Bitvector_Mode_Incorrect_Update_for_Loop_Iterator_1_T_Loop0_TestCase3, YES, 1734)
(FSE_Bitvector_Mode_Incorrect_Update_for_Loop_Iterator_1_T_Loop0_TestCase2, YES, 1714)</t>
  </si>
  <si>
    <t>(FSE_Bitvector_Mode_Incorrect_Update_for_Loop_Iterator_1_T_Loop19_TestCase0, YES, 9590)</t>
  </si>
  <si>
    <t>(FSE_Bitvector_Mode_Incorrect_Update_for_Loop_Iterator_1_T_Loop0_TestCase0, YES, 11421)</t>
  </si>
  <si>
    <t>(FSE_Bitvector_Mode_Incorrect_Update_for_Loop_Iterator_1_NT_Loop19_TestCase9, NO, 1910)
(FSE_Bitvector_Mode_Incorrect_Update_for_Loop_Iterator_1_NT_Loop19_TestCase8, NO, 1767)
(FSE_Bitvector_Mode_Incorrect_Update_for_Loop_Iterator_1_NT_Loop19_TestCase3, YES, 26438)
(FSE_Bitvector_Mode_Incorrect_Update_for_Loop_Iterator_1_NT_Loop19_TestCase2, YES, 25350)
(FSE_Bitvector_Mode_Incorrect_Update_for_Loop_Iterator_1_NT_Loop19_TestCase1, YES, 9495)
(FSE_Bitvector_Mode_Incorrect_Update_for_Loop_Iterator_1_NT_Loop19_TestCase5, YES, 44306)
(FSE_Bitvector_Mode_Incorrect_Update_for_Loop_Iterator_1_NT_Loop19_TestCase4, YES, 30135)
(FSE_Bitvector_Mode_Incorrect_Update_for_Loop_Iterator_1_NT_Loop19_TestCase6, NO, 1785)
(FSE_Bitvector_Mode_Incorrect_Update_for_Loop_Iterator_1_NT_Loop19_TestCase7, NO, 1742)
(FSE_Bitvector_Mode_Incorrect_Update_for_Loop_Iterator_1_NT_Loop19_TestCase10, NO, 1798)</t>
  </si>
  <si>
    <t>(FSE_Bitvector_Mode_Incorrect_Update_for_Loop_Iterator_1_NT_Loop0_TestCase8, NO, 1781)
(FSE_Bitvector_Mode_Incorrect_Update_for_Loop_Iterator_1_NT_Loop0_TestCase9, NO, 1695)
(FSE_Bitvector_Mode_Incorrect_Update_for_Loop_Iterator_1_NT_Loop0_TestCase10, NO, 1673)
(FSE_Bitvector_Mode_Incorrect_Update_for_Loop_Iterator_1_NT_Loop0_TestCase7, NO, 1756)
(FSE_Bitvector_Mode_Incorrect_Update_for_Loop_Iterator_1_NT_Loop0_TestCase6, NO, 1728)
(FSE_Bitvector_Mode_Incorrect_Update_for_Loop_Iterator_1_NT_Loop0_TestCase4, YES, 12591)
(FSE_Bitvector_Mode_Incorrect_Update_for_Loop_Iterator_1_NT_Loop0_TestCase5, YES, 22928)
(FSE_Bitvector_Mode_Incorrect_Update_for_Loop_Iterator_1_NT_Loop0_TestCase1, YES, 16488)
(FSE_Bitvector_Mode_Incorrect_Update_for_Loop_Iterator_1_NT_Loop0_TestCase2, YES, 13802)
(FSE_Bitvector_Mode_Incorrect_Update_for_Loop_Iterator_1_NT_Loop0_TestCase3, YES, 20142)</t>
  </si>
  <si>
    <t>(FSE_Bitvector_Mode_Incorrect_Update_for_Loop_Iterator_1_NT_Loop19_TestCase0, NO, 16743)</t>
  </si>
  <si>
    <t>(FSE_Bitvector_Mode_Incorrect_Update_for_Loop_Iterator_1_NT_Loop0_TestCase0, NO, 79772)</t>
  </si>
  <si>
    <t>(FSE_Bitvector_Mode_Incorrect_Initialization_4_T_Loop20_TestCase4, YES, 1763)
(FSE_Bitvector_Mode_Incorrect_Initialization_4_T_Loop20_TestCase5, YES, 1728)
(FSE_Bitvector_Mode_Incorrect_Initialization_4_T_Loop20_TestCase7, YES, 1705)
(FSE_Bitvector_Mode_Incorrect_Initialization_4_T_Loop20_TestCase6, YES, 1718)
(FSE_Bitvector_Mode_Incorrect_Initialization_4_T_Loop20_TestCase2, YES, 1744)
(FSE_Bitvector_Mode_Incorrect_Initialization_4_T_Loop20_TestCase3, YES, 1756)
(FSE_Bitvector_Mode_Incorrect_Initialization_4_T_Loop20_TestCase1, YES, 1704)
(FSE_Bitvector_Mode_Incorrect_Initialization_4_T_Loop20_TestCase10, YES, 1916)
(FSE_Bitvector_Mode_Incorrect_Initialization_4_T_Loop20_TestCase8, YES, 2338)
(FSE_Bitvector_Mode_Incorrect_Initialization_4_T_Loop20_TestCase9, YES, 1698)</t>
  </si>
  <si>
    <t>(FSE_Bitvector_Mode_Incorrect_Initialization_4_T_Loop0_TestCase9, YES, 1705)
(FSE_Bitvector_Mode_Incorrect_Initialization_4_T_Loop0_TestCase8, YES, 1811)
(FSE_Bitvector_Mode_Incorrect_Initialization_4_T_Loop0_TestCase5, YES, 1716)
(FSE_Bitvector_Mode_Incorrect_Initialization_4_T_Loop0_TestCase4, YES, 1696)
(FSE_Bitvector_Mode_Incorrect_Initialization_4_T_Loop0_TestCase6, YES, 1723)
(FSE_Bitvector_Mode_Incorrect_Initialization_4_T_Loop0_TestCase10, YES, 1862)
(FSE_Bitvector_Mode_Incorrect_Initialization_4_T_Loop0_TestCase7, YES, 1722)
(FSE_Bitvector_Mode_Incorrect_Initialization_4_T_Loop0_TestCase3, YES, 1687)
(FSE_Bitvector_Mode_Incorrect_Initialization_4_T_Loop0_TestCase2, YES, 1726)
(FSE_Bitvector_Mode_Incorrect_Initialization_4_T_Loop0_TestCase1, YES, 1700)</t>
  </si>
  <si>
    <t>(FSE_Bitvector_Mode_Incorrect_Initialization_4_T_Loop20_TestCase0, TIMEOUT, 301682)</t>
  </si>
  <si>
    <t>(FSE_Bitvector_Mode_Incorrect_Initialization_4_T_Loop0_TestCase0, TIMEOUT, 301777)</t>
  </si>
  <si>
    <t>(FSE_Bitvector_Mode_Incorrect_Initialization_4_NT_Loop19_TestCase9, NO, 2048)
(FSE_Bitvector_Mode_Incorrect_Initialization_4_NT_Loop19_TestCase8, NO, 1709)
(FSE_Bitvector_Mode_Incorrect_Initialization_4_NT_Loop19_TestCase6, NO, 1815)
(FSE_Bitvector_Mode_Incorrect_Initialization_4_NT_Loop19_TestCase7, NO, 1844)
(FSE_Bitvector_Mode_Incorrect_Initialization_4_NT_Loop19_TestCase5, YES, 1743)
(FSE_Bitvector_Mode_Incorrect_Initialization_4_NT_Loop19_TestCase4, YES, 1719)
(FSE_Bitvector_Mode_Incorrect_Initialization_4_NT_Loop19_TestCase1, YES, 1776)
(FSE_Bitvector_Mode_Incorrect_Initialization_4_NT_Loop19_TestCase3, YES, 1720)
(FSE_Bitvector_Mode_Incorrect_Initialization_4_NT_Loop19_TestCase2, YES, 1743)
(FSE_Bitvector_Mode_Incorrect_Initialization_4_NT_Loop19_TestCase10, NO, 1878)</t>
  </si>
  <si>
    <t>(FSE_Bitvector_Mode_Incorrect_Initialization_4_NT_Loop0_TestCase4, YES, 1718)
(FSE_Bitvector_Mode_Incorrect_Initialization_4_NT_Loop0_TestCase5, YES, 1815)
(FSE_Bitvector_Mode_Incorrect_Initialization_4_NT_Loop0_TestCase10, NO, 1807)
(FSE_Bitvector_Mode_Incorrect_Initialization_4_NT_Loop0_TestCase7, NO, 1830)
(FSE_Bitvector_Mode_Incorrect_Initialization_4_NT_Loop0_TestCase6, NO, 1853)
(FSE_Bitvector_Mode_Incorrect_Initialization_4_NT_Loop0_TestCase2, YES, 2176)
(FSE_Bitvector_Mode_Incorrect_Initialization_4_NT_Loop0_TestCase3, YES, 1748)
(FSE_Bitvector_Mode_Incorrect_Initialization_4_NT_Loop0_TestCase1, YES, 1653)
(FSE_Bitvector_Mode_Incorrect_Initialization_4_NT_Loop0_TestCase8, NO, 1717)
(FSE_Bitvector_Mode_Incorrect_Initialization_4_NT_Loop0_TestCase9, NO, 1866)</t>
  </si>
  <si>
    <t>(FSE_Bitvector_Mode_Incorrect_Initialization_4_NT_Loop19_TestCase0, NO, 3202)</t>
  </si>
  <si>
    <t>(FSE_Bitvector_Mode_Incorrect_Initialization_4_NT_Loop0_TestCase0, NO, 6653)</t>
  </si>
  <si>
    <t>(FSE_Bitvector_Mode_Incorrect_Initialization_3_T_Loop10_TestCase0, MAYBE, 2176)
(FSE_Bitvector_Mode_Incorrect_Initialization_3_T_Loop21_TestCase0, YES, 2122)
(FSE_Bitvector_Mode_Incorrect_Initialization_3_T_Loop25_TestCase0, MAYBE, 1838)</t>
  </si>
  <si>
    <t>(FSE_Bitvector_Mode_Incorrect_Initialization_3_T_Loop0_TestCase0, TIMEOUT, 302194)</t>
  </si>
  <si>
    <t>(FSE_Bitvector_Mode_Incorrect_Initialization_3_T_Loop10_TestCase0, MAYBE, 2170)
(FSE_Bitvector_Mode_Incorrect_Initialization_3_T_Loop21_TestCase0, YES, 1894)
(FSE_Bitvector_Mode_Incorrect_Initialization_3_T_Loop25_TestCase0, MAYBE, 1870)</t>
  </si>
  <si>
    <t>(FSE_Bitvector_Mode_Incorrect_Initialization_3_T_Loop0_TestCase0, TIMEOUT, 302181)</t>
  </si>
  <si>
    <t>(FSE_Bitvector_Mode_Incorrect_Initialization_3_NT_Loop21_TestCase0, YES, 1785)
(FSE_Bitvector_Mode_Incorrect_Initialization_3_NT_Loop25_TestCase0, MAYBE, 1373)
(FSE_Bitvector_Mode_Incorrect_Initialization_3_NT_Loop10_TestCase0, MAYBE, 2131)</t>
  </si>
  <si>
    <t>(FSE_Bitvector_Mode_Incorrect_Initialization_3_NT_Loop0_TestCase0, TIMEOUT, 302055)</t>
  </si>
  <si>
    <t>(FSE_Bitvector_Mode_Incorrect_Initialization_3_NT_Loop21_TestCase0, YES, 1816)
(FSE_Bitvector_Mode_Incorrect_Initialization_3_NT_Loop25_TestCase0, MAYBE, 1387)
(FSE_Bitvector_Mode_Incorrect_Initialization_3_NT_Loop10_TestCase0, MAYBE, 2205)</t>
  </si>
  <si>
    <t>(FSE_Bitvector_Mode_Incorrect_Initialization_3_NT_Loop0_TestCase0, TIMEOUT, 302043)</t>
  </si>
  <si>
    <t>2/20</t>
  </si>
  <si>
    <t>(FSE_Bitvector_Mode_Incorrect_Initialization_2_T_Loop29_TestCase2, NO, 1775)
(FSE_Bitvector_Mode_Incorrect_Initialization_2_T_Loop29_TestCase3, NO, 1778)
(FSE_Bitvector_Mode_Incorrect_Initialization_2_T_Loop29_TestCase1, YES, 1829)
(FSE_Bitvector_Mode_Incorrect_Initialization_2_T_Loop29_TestCase4, NO, 2216)
(FSE_Bitvector_Mode_Incorrect_Initialization_2_T_Loop29_TestCase5, NO, 2014)
(FSE_Bitvector_Mode_Incorrect_Initialization_2_T_Loop29_TestCase7, YES, 29763)
(FSE_Bitvector_Mode_Incorrect_Initialization_2_T_Loop29_TestCase6, YES, 11889)
(FSE_Bitvector_Mode_Incorrect_Initialization_2_T_Loop26_TestCase9, YES, 38183)
(FSE_Bitvector_Mode_Incorrect_Initialization_2_T_Loop26_TestCase8, YES, 19102)
(FSE_Bitvector_Mode_Incorrect_Initialization_2_T_Loop26_TestCase1, YES, 2139)
(FSE_Bitvector_Mode_Incorrect_Initialization_2_T_Loop26_TestCase3, NO, 1816)
(FSE_Bitvector_Mode_Incorrect_Initialization_2_T_Loop26_TestCase2, NO, 1816)
(FSE_Bitvector_Mode_Incorrect_Initialization_2_T_Loop26_TestCase6, YES, 9374)
(FSE_Bitvector_Mode_Incorrect_Initialization_2_T_Loop26_TestCase7, YES, 86847)
(FSE_Bitvector_Mode_Incorrect_Initialization_2_T_Loop26_TestCase5, NO, 1786)
(FSE_Bitvector_Mode_Incorrect_Initialization_2_T_Loop26_TestCase4, NO, 1948)
(FSE_Bitvector_Mode_Incorrect_Initialization_2_T_Loop29_TestCase8, YES, 9257)
(FSE_Bitvector_Mode_Incorrect_Initialization_2_T_Loop29_TestCase9, YES, 56126)
(FSE_Bitvector_Mode_Incorrect_Initialization_2_T_Loop29_TestCase10, YES, 12346)
(FSE_Bitvector_Mode_Incorrect_Initialization_2_T_Loop26_TestCase10, TIMEOUT, 301753)</t>
  </si>
  <si>
    <t>1/10</t>
  </si>
  <si>
    <t>(FSE_Bitvector_Mode_Incorrect_Initialization_2_T_Loop0_TestCase8, YES, 15842)
(FSE_Bitvector_Mode_Incorrect_Initialization_2_T_Loop0_TestCase9, YES, 14354)
(FSE_Bitvector_Mode_Incorrect_Initialization_2_T_Loop0_TestCase1, YES, 1772)
(FSE_Bitvector_Mode_Incorrect_Initialization_2_T_Loop0_TestCase2, NO, 1768)
(FSE_Bitvector_Mode_Incorrect_Initialization_2_T_Loop0_TestCase3, NO, 1815)
(FSE_Bitvector_Mode_Incorrect_Initialization_2_T_Loop0_TestCase7, YES, 12842)
(FSE_Bitvector_Mode_Incorrect_Initialization_2_T_Loop0_TestCase6, YES, 18716)
(FSE_Bitvector_Mode_Incorrect_Initialization_2_T_Loop0_TestCase4, NO, 2183)
(FSE_Bitvector_Mode_Incorrect_Initialization_2_T_Loop0_TestCase5, NO, 1939)
(FSE_Bitvector_Mode_Incorrect_Initialization_2_T_Loop0_TestCase10, YES, 65926)</t>
  </si>
  <si>
    <t>(FSE_Bitvector_Mode_Incorrect_Initialization_2_T_Loop29_TestCase0, NO, 3381)
(FSE_Bitvector_Mode_Incorrect_Initialization_2_T_Loop26_TestCase0, NO, 2724)</t>
  </si>
  <si>
    <t>(FSE_Bitvector_Mode_Incorrect_Initialization_2_T_Loop0_TestCase0, NO, 2408)</t>
  </si>
  <si>
    <t>12/20</t>
  </si>
  <si>
    <t>(FSE_Bitvector_Mode_Incorrect_Initialization_2_NT_Loop29_TestCase1, YES, 1791)
(FSE_Bitvector_Mode_Incorrect_Initialization_2_NT_Loop29_TestCase2, NO, 1788)
(FSE_Bitvector_Mode_Incorrect_Initialization_2_NT_Loop29_TestCase3, NO, 1803)
(FSE_Bitvector_Mode_Incorrect_Initialization_2_NT_Loop29_TestCase7, NO, 1935)
(FSE_Bitvector_Mode_Incorrect_Initialization_2_NT_Loop29_TestCase6, NO, 1917)
(FSE_Bitvector_Mode_Incorrect_Initialization_2_NT_Loop29_TestCase4, NO, 1892)
(FSE_Bitvector_Mode_Incorrect_Initialization_2_NT_Loop29_TestCase5, NO, 1794)
(FSE_Bitvector_Mode_Incorrect_Initialization_2_NT_Loop31_TestCase9, NO, 1890)
(FSE_Bitvector_Mode_Incorrect_Initialization_2_NT_Loop31_TestCase8, NO, 1882)
(FSE_Bitvector_Mode_Incorrect_Initialization_2_NT_Loop31_TestCase3, NO, 1775)
(FSE_Bitvector_Mode_Incorrect_Initialization_2_NT_Loop31_TestCase2, NO, 1939)
(FSE_Bitvector_Mode_Incorrect_Initialization_2_NT_Loop31_TestCase1, YES, 1784)
(FSE_Bitvector_Mode_Incorrect_Initialization_2_NT_Loop31_TestCase5, NO, 2001)
(FSE_Bitvector_Mode_Incorrect_Initialization_2_NT_Loop31_TestCase4, NO, 1919)
(FSE_Bitvector_Mode_Incorrect_Initialization_2_NT_Loop31_TestCase6, NO, 1849)
(FSE_Bitvector_Mode_Incorrect_Initialization_2_NT_Loop29_TestCase10, NO, 1936)
(FSE_Bitvector_Mode_Incorrect_Initialization_2_NT_Loop31_TestCase7, NO, 1982)
(FSE_Bitvector_Mode_Incorrect_Initialization_2_NT_Loop29_TestCase8, NO, 1883)
(FSE_Bitvector_Mode_Incorrect_Initialization_2_NT_Loop29_TestCase9, NO, 1924)
(FSE_Bitvector_Mode_Incorrect_Initialization_2_NT_Loop31_TestCase10, NO, 1883)</t>
  </si>
  <si>
    <t>(FSE_Bitvector_Mode_Incorrect_Initialization_2_NT_Loop0_TestCase3, NO, 1780)
(FSE_Bitvector_Mode_Incorrect_Initialization_2_NT_Loop0_TestCase2, NO, 1764)
(FSE_Bitvector_Mode_Incorrect_Initialization_2_NT_Loop0_TestCase1, YES, 1834)
(FSE_Bitvector_Mode_Incorrect_Initialization_2_NT_Loop0_TestCase5, NO, 1787)
(FSE_Bitvector_Mode_Incorrect_Initialization_2_NT_Loop0_TestCase4, NO, 1884)
(FSE_Bitvector_Mode_Incorrect_Initialization_2_NT_Loop0_TestCase6, NO, 1865)
(FSE_Bitvector_Mode_Incorrect_Initialization_2_NT_Loop0_TestCase7, NO, 1957)
(FSE_Bitvector_Mode_Incorrect_Initialization_2_NT_Loop0_TestCase10, NO, 1882)
(FSE_Bitvector_Mode_Incorrect_Initialization_2_NT_Loop0_TestCase9, NO, 1874)
(FSE_Bitvector_Mode_Incorrect_Initialization_2_NT_Loop0_TestCase8, NO, 1889)</t>
  </si>
  <si>
    <t>(FSE_Bitvector_Mode_Incorrect_Initialization_2_NT_Loop29_TestCase0, NO, 2606)
(FSE_Bitvector_Mode_Incorrect_Initialization_2_NT_Loop31_TestCase0, NO, 2326)</t>
  </si>
  <si>
    <t>(FSE_Bitvector_Mode_Incorrect_Initialization_2_NT_Loop0_TestCase0, NO, 2552)</t>
  </si>
  <si>
    <t>6/40</t>
  </si>
  <si>
    <t>(FSE_Bitvector_Mode_Incorrect_Initialization_1_T_Loop15_TestCase8, MAYBE, 1349)
(FSE_Bitvector_Mode_Incorrect_Initialization_1_T_Loop18_TestCase10, MAYBE, 1379)
(FSE_Bitvector_Mode_Incorrect_Initialization_1_T_Loop15_TestCase9, MAYBE, 1354)
(FSE_Bitvector_Mode_Incorrect_Initialization_1_T_Loop18_TestCase8, MAYBE, 1396)
(FSE_Bitvector_Mode_Incorrect_Initialization_1_T_Loop18_TestCase9, MAYBE, 1385)
(FSE_Bitvector_Mode_Incorrect_Initialization_1_T_Loop15_TestCase10, MAYBE, 1386)
(FSE_Bitvector_Mode_Incorrect_Initialization_1_T_Loop31_TestCase9, ERROR, 1656)
(FSE_Bitvector_Mode_Incorrect_Initialization_1_T_Loop35_TestCase8, MAYBE, 1373)
(FSE_Bitvector_Mode_Incorrect_Initialization_1_T_Loop35_TestCase9, MAYBE, 1346)
(FSE_Bitvector_Mode_Incorrect_Initialization_1_T_Loop31_TestCase8, YES, 1833)
(FSE_Bitvector_Mode_Incorrect_Initialization_1_T_Loop18_TestCase1, MAYBE, 1370)
(FSE_Bitvector_Mode_Incorrect_Initialization_1_T_Loop31_TestCase5, YES, 1765)
(FSE_Bitvector_Mode_Incorrect_Initialization_1_T_Loop35_TestCase4, MAYBE, 1366)
(FSE_Bitvector_Mode_Incorrect_Initialization_1_T_Loop35_TestCase5, MAYBE, 1383)
(FSE_Bitvector_Mode_Incorrect_Initialization_1_T_Loop31_TestCase4, ERROR, 1691)
(FSE_Bitvector_Mode_Incorrect_Initialization_1_T_Loop31_TestCase6, ERROR, 1684)
(FSE_Bitvector_Mode_Incorrect_Initialization_1_T_Loop18_TestCase2, MAYBE, 1375)
(FSE_Bitvector_Mode_Incorrect_Initialization_1_T_Loop35_TestCase7, MAYBE, 1363)
(FSE_Bitvector_Mode_Incorrect_Initialization_1_T_Loop35_TestCase6, MAYBE, 1360)
(FSE_Bitvector_Mode_Incorrect_Initialization_1_T_Loop18_TestCase3, MAYBE, 1396)
(FSE_Bitvector_Mode_Incorrect_Initialization_1_T_Loop31_TestCase7, ERROR, 1694)
(FSE_Bitvector_Mode_Incorrect_Initialization_1_T_Loop31_TestCase3, YES, 1764)
(FSE_Bitvector_Mode_Incorrect_Initialization_1_T_Loop18_TestCase7, MAYBE, 1409)
(FSE_Bitvector_Mode_Incorrect_Initialization_1_T_Loop35_TestCase2, MAYBE, 1385)
(FSE_Bitvector_Mode_Incorrect_Initialization_1_T_Loop35_TestCase3, MAYBE, 1348)
(FSE_Bitvector_Mode_Incorrect_Initialization_1_T_Loop18_TestCase6, MAYBE, 1394)
(FSE_Bitvector_Mode_Incorrect_Initialization_1_T_Loop31_TestCase2, YES, 1745)
(FSE_Bitvector_Mode_Incorrect_Initialization_1_T_Loop35_TestCase10, MAYBE, 1386)
(FSE_Bitvector_Mode_Incorrect_Initialization_1_T_Loop18_TestCase4, MAYBE, 1363)
(FSE_Bitvector_Mode_Incorrect_Initialization_1_T_Loop35_TestCase1, MAYBE, 1369)
(FSE_Bitvector_Mode_Incorrect_Initialization_1_T_Loop31_TestCase1, YES, 1985)
(FSE_Bitvector_Mode_Incorrect_Initialization_1_T_Loop18_TestCase5, MAYBE, 1417)
(FSE_Bitvector_Mode_Incorrect_Initialization_1_T_Loop15_TestCase1, MAYBE, 1439)
(FSE_Bitvector_Mode_Incorrect_Initialization_1_T_Loop15_TestCase2, MAYBE, 1353)
(FSE_Bitvector_Mode_Incorrect_Initialization_1_T_Loop15_TestCase3, MAYBE, 1381)
(FSE_Bitvector_Mode_Incorrect_Initialization_1_T_Loop15_TestCase7, MAYBE, 1366)
(FSE_Bitvector_Mode_Incorrect_Initialization_1_T_Loop15_TestCase6, MAYBE, 1367)
(FSE_Bitvector_Mode_Incorrect_Initialization_1_T_Loop31_TestCase10, YES, 1789)
(FSE_Bitvector_Mode_Incorrect_Initialization_1_T_Loop15_TestCase4, MAYBE, 1351)
(FSE_Bitvector_Mode_Incorrect_Initialization_1_T_Loop15_TestCase5, MAYBE, 1503)</t>
  </si>
  <si>
    <t>(FSE_Bitvector_Mode_Incorrect_Initialization_1_T_Loop0_TestCase5, MAYBE, 1361)
(FSE_Bitvector_Mode_Incorrect_Initialization_1_T_Loop0_TestCase4, MAYBE, 1337)
(FSE_Bitvector_Mode_Incorrect_Initialization_1_T_Loop0_TestCase6, MAYBE, 1380)
(FSE_Bitvector_Mode_Incorrect_Initialization_1_T_Loop0_TestCase7, MAYBE, 1365)
(FSE_Bitvector_Mode_Incorrect_Initialization_1_T_Loop0_TestCase3, MAYBE, 1353)
(FSE_Bitvector_Mode_Incorrect_Initialization_1_T_Loop0_TestCase2, MAYBE, 1379)
(FSE_Bitvector_Mode_Incorrect_Initialization_1_T_Loop0_TestCase1, MAYBE, 1362)
(FSE_Bitvector_Mode_Incorrect_Initialization_1_T_Loop0_TestCase10, MAYBE, 1364)
(FSE_Bitvector_Mode_Incorrect_Initialization_1_T_Loop0_TestCase9, MAYBE, 1341)
(FSE_Bitvector_Mode_Incorrect_Initialization_1_T_Loop0_TestCase8, MAYBE, 1379)</t>
  </si>
  <si>
    <t>1/4</t>
  </si>
  <si>
    <t>(FSE_Bitvector_Mode_Incorrect_Initialization_1_T_Loop18_TestCase0, TIMEOUT, 302287)
(FSE_Bitvector_Mode_Incorrect_Initialization_1_T_Loop31_TestCase0, YES, 2093)
(FSE_Bitvector_Mode_Incorrect_Initialization_1_T_Loop35_TestCase0, TIMEOUT, 302311)
(FSE_Bitvector_Mode_Incorrect_Initialization_1_T_Loop15_TestCase0, TIMEOUT, 302043)</t>
  </si>
  <si>
    <t>(FSE_Bitvector_Mode_Incorrect_Initialization_1_T_Loop0_TestCase0, TIMEOUT, 302152)</t>
  </si>
  <si>
    <t>0/27</t>
  </si>
  <si>
    <t>6/13</t>
  </si>
  <si>
    <t>(FSE_Bitvector_Mode_Incorrect_Initialization_1_NT_Loop19_TestCase5, MAYBE, 1397)
(FSE_Bitvector_Mode_Incorrect_Initialization_1_NT_Loop19_TestCase4, MAYBE, 1364)
(FSE_Bitvector_Mode_Incorrect_Initialization_1_NT_Loop32_TestCase9, ERROR, 1635)
(FSE_Bitvector_Mode_Incorrect_Initialization_1_NT_Loop19_TestCase6, MAYBE, 1407)
(FSE_Bitvector_Mode_Incorrect_Initialization_1_NT_Loop36_TestCase8, MAYBE, 1374)
(FSE_Bitvector_Mode_Incorrect_Initialization_1_NT_Loop36_TestCase9, MAYBE, 1739)
(FSE_Bitvector_Mode_Incorrect_Initialization_1_NT_Loop19_TestCase7, MAYBE, 1375)
(FSE_Bitvector_Mode_Incorrect_Initialization_1_NT_Loop32_TestCase8, YES, 1754)
(FSE_Bitvector_Mode_Incorrect_Initialization_1_NT_Loop19_TestCase3, MAYBE, 1350)
(FSE_Bitvector_Mode_Incorrect_Initialization_1_NT_Loop32_TestCase10, YES, 1846)
(FSE_Bitvector_Mode_Incorrect_Initialization_1_NT_Loop19_TestCase2, MAYBE, 1387)
(FSE_Bitvector_Mode_Incorrect_Initialization_1_NT_Loop19_TestCase1, MAYBE, 1354)
(FSE_Bitvector_Mode_Incorrect_Initialization_1_NT_Loop16_TestCase8, MAYBE, 1390)
(FSE_Bitvector_Mode_Incorrect_Initialization_1_NT_Loop16_TestCase9, MAYBE, 1382)
(FSE_Bitvector_Mode_Incorrect_Initialization_1_NT_Loop36_TestCase10, MAYBE, 1372)
(FSE_Bitvector_Mode_Incorrect_Initialization_1_NT_Loop16_TestCase7, MAYBE, 1359)
(FSE_Bitvector_Mode_Incorrect_Initialization_1_NT_Loop16_TestCase6, MAYBE, 1383)
(FSE_Bitvector_Mode_Incorrect_Initialization_1_NT_Loop16_TestCase4, MAYBE, 1353)
(FSE_Bitvector_Mode_Incorrect_Initialization_1_NT_Loop16_TestCase5, MAYBE, 1416)
(FSE_Bitvector_Mode_Incorrect_Initialization_1_NT_Loop16_TestCase1, MAYBE, 1374)
(FSE_Bitvector_Mode_Incorrect_Initialization_1_NT_Loop19_TestCase10, MAYBE, 1398)
(FSE_Bitvector_Mode_Incorrect_Initialization_1_NT_Loop16_TestCase10, MAYBE, 1337)
(FSE_Bitvector_Mode_Incorrect_Initialization_1_NT_Loop16_TestCase2, MAYBE, 1393)
(FSE_Bitvector_Mode_Incorrect_Initialization_1_NT_Loop16_TestCase3, MAYBE, 1365)
(FSE_Bitvector_Mode_Incorrect_Initialization_1_NT_Loop32_TestCase3, YES, 1829)
(FSE_Bitvector_Mode_Incorrect_Initialization_1_NT_Loop36_TestCase2, MAYBE, 1380)
(FSE_Bitvector_Mode_Incorrect_Initialization_1_NT_Loop36_TestCase3, MAYBE, 1346)
(FSE_Bitvector_Mode_Incorrect_Initialization_1_NT_Loop32_TestCase2, YES, 1914)
(FSE_Bitvector_Mode_Incorrect_Initialization_1_NT_Loop36_TestCase1, MAYBE, 1358)
(FSE_Bitvector_Mode_Incorrect_Initialization_1_NT_Loop32_TestCase1, YES, 1824)
(FSE_Bitvector_Mode_Incorrect_Initialization_1_NT_Loop32_TestCase5, YES, 1826)
(FSE_Bitvector_Mode_Incorrect_Initialization_1_NT_Loop36_TestCase4, MAYBE, 1361)
(FSE_Bitvector_Mode_Incorrect_Initialization_1_NT_Loop36_TestCase5, MAYBE, 1374)
(FSE_Bitvector_Mode_Incorrect_Initialization_1_NT_Loop32_TestCase4, ERROR, 1845)
(FSE_Bitvector_Mode_Incorrect_Initialization_1_NT_Loop32_TestCase6, ERROR, 1915)
(FSE_Bitvector_Mode_Incorrect_Initialization_1_NT_Loop19_TestCase9, MAYBE, 1345)
(FSE_Bitvector_Mode_Incorrect_Initialization_1_NT_Loop36_TestCase7, MAYBE, 1387)
(FSE_Bitvector_Mode_Incorrect_Initialization_1_NT_Loop36_TestCase6, MAYBE, 1369)
(FSE_Bitvector_Mode_Incorrect_Initialization_1_NT_Loop19_TestCase8, MAYBE, 1391)
(FSE_Bitvector_Mode_Incorrect_Initialization_1_NT_Loop32_TestCase7, ERROR, 1788)</t>
  </si>
  <si>
    <t>0/9</t>
  </si>
  <si>
    <t>(FSE_Bitvector_Mode_Incorrect_Initialization_1_NT_Loop0_TestCase6, MAYBE, 1362)
(FSE_Bitvector_Mode_Incorrect_Initialization_1_NT_Loop0_TestCase7, MAYBE, 1341)
(FSE_Bitvector_Mode_Incorrect_Initialization_1_NT_Loop0_TestCase5, MAYBE, 1373)
(FSE_Bitvector_Mode_Incorrect_Initialization_1_NT_Loop0_TestCase4, MAYBE, 1351)
(FSE_Bitvector_Mode_Incorrect_Initialization_1_NT_Loop0_TestCase1, MAYBE, 1372)
(FSE_Bitvector_Mode_Incorrect_Initialization_1_NT_Loop0_TestCase3, MAYBE, 1337)
(FSE_Bitvector_Mode_Incorrect_Initialization_1_NT_Loop0_TestCase2, MAYBE, 1370)
(FSE_Bitvector_Mode_Incorrect_Initialization_1_NT_Loop0_TestCase10, MAYBE, 1346)
(FSE_Bitvector_Mode_Incorrect_Initialization_1_NT_Loop0_TestCase9, MAYBE, 1361)
(FSE_Bitvector_Mode_Incorrect_Initialization_1_NT_Loop0_TestCase8, MAYBE, 1334)</t>
  </si>
  <si>
    <t>(FSE_Bitvector_Mode_Incorrect_Initialization_1_NT_Loop19_TestCase0, NO, 298158)
(FSE_Bitvector_Mode_Incorrect_Initialization_1_NT_Loop16_TestCase0, TIMEOUT, 302299)
(FSE_Bitvector_Mode_Incorrect_Initialization_1_NT_Loop32_TestCase0, YES, 1767)
(FSE_Bitvector_Mode_Incorrect_Initialization_1_NT_Loop36_TestCase0, TIMEOUT, 302357)</t>
  </si>
  <si>
    <t>(FSE_Bitvector_Mode_Incorrect_Initialization_1_NT_Loop0_TestCase0, NO, 132055)</t>
  </si>
  <si>
    <t>(FSE_Bitvector_Mode_Incorrect_Control_Statement_2_T_Loop23_TestCase2, YES, 2418)
(FSE_Bitvector_Mode_Incorrect_Control_Statement_2_T_Loop23_TestCase3, YES, 2080)
(FSE_Bitvector_Mode_Incorrect_Control_Statement_2_T_Loop23_TestCase1, YES, 2206)
(FSE_Bitvector_Mode_Incorrect_Control_Statement_2_T_Loop23_TestCase4, YES, 2074)
(FSE_Bitvector_Mode_Incorrect_Control_Statement_2_T_Loop23_TestCase5, YES, 2234)
(FSE_Bitvector_Mode_Incorrect_Control_Statement_2_T_Loop23_TestCase7, YES, 2114)
(FSE_Bitvector_Mode_Incorrect_Control_Statement_2_T_Loop23_TestCase6, YES, 2087)
(FSE_Bitvector_Mode_Incorrect_Control_Statement_2_T_Loop17_TestCase2, YES, 1726)
(FSE_Bitvector_Mode_Incorrect_Control_Statement_2_T_Loop17_TestCase3, YES, 1752)
(FSE_Bitvector_Mode_Incorrect_Control_Statement_2_T_Loop17_TestCase1, YES, 1740)
(FSE_Bitvector_Mode_Incorrect_Control_Statement_2_T_Loop17_TestCase4, YES, 1756)
(FSE_Bitvector_Mode_Incorrect_Control_Statement_2_T_Loop23_TestCase10, YES, 1999)
(FSE_Bitvector_Mode_Incorrect_Control_Statement_2_T_Loop17_TestCase5, YES, 1762)
(FSE_Bitvector_Mode_Incorrect_Control_Statement_2_T_Loop17_TestCase7, YES, 1712)
(FSE_Bitvector_Mode_Incorrect_Control_Statement_2_T_Loop17_TestCase6, YES, 1773)
(FSE_Bitvector_Mode_Incorrect_Control_Statement_2_T_Loop17_TestCase8, YES, 1718)
(FSE_Bitvector_Mode_Incorrect_Control_Statement_2_T_Loop17_TestCase10, YES, 1754)
(FSE_Bitvector_Mode_Incorrect_Control_Statement_2_T_Loop17_TestCase9, YES, 1764)
(FSE_Bitvector_Mode_Incorrect_Control_Statement_2_T_Loop23_TestCase8, YES, 2091)
(FSE_Bitvector_Mode_Incorrect_Control_Statement_2_T_Loop23_TestCase9, YES, 2135)</t>
  </si>
  <si>
    <t>(FSE_Bitvector_Mode_Incorrect_Control_Statement_2_T_Loop0_TestCase3, YES, 2191)
(FSE_Bitvector_Mode_Incorrect_Control_Statement_2_T_Loop0_TestCase2, YES, 2063)
(FSE_Bitvector_Mode_Incorrect_Control_Statement_2_T_Loop0_TestCase1, YES, 2103)
(FSE_Bitvector_Mode_Incorrect_Control_Statement_2_T_Loop0_TestCase5, YES, 2122)
(FSE_Bitvector_Mode_Incorrect_Control_Statement_2_T_Loop0_TestCase4, YES, 2025)
(FSE_Bitvector_Mode_Incorrect_Control_Statement_2_T_Loop0_TestCase6, YES, 1973)
(FSE_Bitvector_Mode_Incorrect_Control_Statement_2_T_Loop0_TestCase7, YES, 2066)
(FSE_Bitvector_Mode_Incorrect_Control_Statement_2_T_Loop0_TestCase9, YES, 2069)
(FSE_Bitvector_Mode_Incorrect_Control_Statement_2_T_Loop0_TestCase8, YES, 1930)
(FSE_Bitvector_Mode_Incorrect_Control_Statement_2_T_Loop0_TestCase10, YES, 1967)</t>
  </si>
  <si>
    <t>(FSE_Bitvector_Mode_Incorrect_Control_Statement_2_T_Loop23_TestCase0, YES, 2415)
(FSE_Bitvector_Mode_Incorrect_Control_Statement_2_T_Loop17_TestCase0, YES, 1827)</t>
  </si>
  <si>
    <t>(FSE_Bitvector_Mode_Incorrect_Control_Statement_2_T_Loop0_TestCase0, YES, 2274)</t>
  </si>
  <si>
    <t>15/20</t>
  </si>
  <si>
    <t>(FSE_Bitvector_Mode_Incorrect_Control_Statement_2_NT_Loop17_TestCase9, YES, 1749)
(FSE_Bitvector_Mode_Incorrect_Control_Statement_2_NT_Loop17_TestCase8, YES, 1745)
(FSE_Bitvector_Mode_Incorrect_Control_Statement_2_NT_Loop23_TestCase9, NO, 4385)
(FSE_Bitvector_Mode_Incorrect_Control_Statement_2_NT_Loop23_TestCase8, NO, 2984)
(FSE_Bitvector_Mode_Incorrect_Control_Statement_2_NT_Loop23_TestCase10, NO, 3535)
(FSE_Bitvector_Mode_Incorrect_Control_Statement_2_NT_Loop23_TestCase1, NO, 4481)
(FSE_Bitvector_Mode_Incorrect_Control_Statement_2_NT_Loop23_TestCase3, NO, 4150)
(FSE_Bitvector_Mode_Incorrect_Control_Statement_2_NT_Loop23_TestCase2, NO, 2886)
(FSE_Bitvector_Mode_Incorrect_Control_Statement_2_NT_Loop23_TestCase6, NO, 3186)
(FSE_Bitvector_Mode_Incorrect_Control_Statement_2_NT_Loop17_TestCase10, YES, 1751)
(FSE_Bitvector_Mode_Incorrect_Control_Statement_2_NT_Loop23_TestCase7, NO, 4314)
(FSE_Bitvector_Mode_Incorrect_Control_Statement_2_NT_Loop23_TestCase5, NO, 4332)
(FSE_Bitvector_Mode_Incorrect_Control_Statement_2_NT_Loop23_TestCase4, NO, 4183)
(FSE_Bitvector_Mode_Incorrect_Control_Statement_2_NT_Loop17_TestCase1, YES, 1713)
(FSE_Bitvector_Mode_Incorrect_Control_Statement_2_NT_Loop17_TestCase3, YES, 1742)
(FSE_Bitvector_Mode_Incorrect_Control_Statement_2_NT_Loop17_TestCase2, YES, 1697)
(FSE_Bitvector_Mode_Incorrect_Control_Statement_2_NT_Loop17_TestCase6, YES, 1745)
(FSE_Bitvector_Mode_Incorrect_Control_Statement_2_NT_Loop17_TestCase7, YES, 1752)
(FSE_Bitvector_Mode_Incorrect_Control_Statement_2_NT_Loop17_TestCase5, YES, 1757)
(FSE_Bitvector_Mode_Incorrect_Control_Statement_2_NT_Loop17_TestCase4, YES, 1730)</t>
  </si>
  <si>
    <t>(FSE_Bitvector_Mode_Incorrect_Control_Statement_2_NT_Loop0_TestCase7, NO, 2826)
(FSE_Bitvector_Mode_Incorrect_Control_Statement_2_NT_Loop0_TestCase6, NO, 4228)
(FSE_Bitvector_Mode_Incorrect_Control_Statement_2_NT_Loop0_TestCase4, NO, 3270)
(FSE_Bitvector_Mode_Incorrect_Control_Statement_2_NT_Loop0_TestCase10, NO, 3013)
(FSE_Bitvector_Mode_Incorrect_Control_Statement_2_NT_Loop0_TestCase5, NO, 3785)
(FSE_Bitvector_Mode_Incorrect_Control_Statement_2_NT_Loop0_TestCase1, NO, 4305)
(FSE_Bitvector_Mode_Incorrect_Control_Statement_2_NT_Loop0_TestCase2, NO, 4215)
(FSE_Bitvector_Mode_Incorrect_Control_Statement_2_NT_Loop0_TestCase3, NO, 3563)
(FSE_Bitvector_Mode_Incorrect_Control_Statement_2_NT_Loop0_TestCase8, NO, 4156)
(FSE_Bitvector_Mode_Incorrect_Control_Statement_2_NT_Loop0_TestCase9, NO, 2919)</t>
  </si>
  <si>
    <t>(FSE_Bitvector_Mode_Incorrect_Control_Statement_2_NT_Loop23_TestCase0, TIMEOUT, 301752)
(FSE_Bitvector_Mode_Incorrect_Control_Statement_2_NT_Loop17_TestCase0, YES, 1770)</t>
  </si>
  <si>
    <t>(FSE_Bitvector_Mode_Incorrect_Control_Statement_2_NT_Loop0_TestCase0, TIMEOUT, 302085)</t>
  </si>
  <si>
    <t>3/20</t>
  </si>
  <si>
    <t>(FSE_Bitvector_Mode_Incorrect_Control_Statement_1_T_Loop18_TestCase9, MAYBE, 1678)
(FSE_Bitvector_Mode_Incorrect_Control_Statement_1_T_Loop18_TestCase8, MAYBE, 1643)
(FSE_Bitvector_Mode_Incorrect_Control_Statement_1_T_Loop14_TestCase2, YES, 1769)
(FSE_Bitvector_Mode_Incorrect_Control_Statement_1_T_Loop14_TestCase3, ERROR, 1787)
(FSE_Bitvector_Mode_Incorrect_Control_Statement_1_T_Loop14_TestCase1, ERROR, 1684)
(FSE_Bitvector_Mode_Incorrect_Control_Statement_1_T_Loop14_TestCase4, ERROR, 1674)
(FSE_Bitvector_Mode_Incorrect_Control_Statement_1_T_Loop14_TestCase5, ERROR, 1617)
(FSE_Bitvector_Mode_Incorrect_Control_Statement_1_T_Loop14_TestCase7, ERROR, 1645)
(FSE_Bitvector_Mode_Incorrect_Control_Statement_1_T_Loop14_TestCase6, ERROR, 1655)
(FSE_Bitvector_Mode_Incorrect_Control_Statement_1_T_Loop14_TestCase8, YES, 1914)
(FSE_Bitvector_Mode_Incorrect_Control_Statement_1_T_Loop14_TestCase9, YES, 1723)
(FSE_Bitvector_Mode_Incorrect_Control_Statement_1_T_Loop14_TestCase10, ERROR, 1659)
(FSE_Bitvector_Mode_Incorrect_Control_Statement_1_T_Loop18_TestCase5, MAYBE, 1669)
(FSE_Bitvector_Mode_Incorrect_Control_Statement_1_T_Loop18_TestCase4, MAYBE, 1668)
(FSE_Bitvector_Mode_Incorrect_Control_Statement_1_T_Loop18_TestCase6, MAYBE, 1660)
(FSE_Bitvector_Mode_Incorrect_Control_Statement_1_T_Loop18_TestCase7, MAYBE, 1644)
(FSE_Bitvector_Mode_Incorrect_Control_Statement_1_T_Loop18_TestCase3, MAYBE, 1672)
(FSE_Bitvector_Mode_Incorrect_Control_Statement_1_T_Loop18_TestCase2, MAYBE, 1645)
(FSE_Bitvector_Mode_Incorrect_Control_Statement_1_T_Loop18_TestCase10, MAYBE, 1643)
(FSE_Bitvector_Mode_Incorrect_Control_Statement_1_T_Loop18_TestCase1, MAYBE, 1645)</t>
  </si>
  <si>
    <t>(FSE_Bitvector_Mode_Incorrect_Control_Statement_1_T_Loop0_TestCase8, MAYBE, 1607)
(FSE_Bitvector_Mode_Incorrect_Control_Statement_1_T_Loop0_TestCase9, MAYBE, 1601)
(FSE_Bitvector_Mode_Incorrect_Control_Statement_1_T_Loop0_TestCase7, MAYBE, 1652)
(FSE_Bitvector_Mode_Incorrect_Control_Statement_1_T_Loop0_TestCase6, MAYBE, 1646)
(FSE_Bitvector_Mode_Incorrect_Control_Statement_1_T_Loop0_TestCase4, MAYBE, 1627)
(FSE_Bitvector_Mode_Incorrect_Control_Statement_1_T_Loop0_TestCase5, MAYBE, 1630)
(FSE_Bitvector_Mode_Incorrect_Control_Statement_1_T_Loop0_TestCase1, MAYBE, 1608)
(FSE_Bitvector_Mode_Incorrect_Control_Statement_1_T_Loop0_TestCase10, MAYBE, 1622)
(FSE_Bitvector_Mode_Incorrect_Control_Statement_1_T_Loop0_TestCase2, MAYBE, 1643)
(FSE_Bitvector_Mode_Incorrect_Control_Statement_1_T_Loop0_TestCase3, MAYBE, 1642)</t>
  </si>
  <si>
    <t>(FSE_Bitvector_Mode_Incorrect_Control_Statement_1_T_Loop14_TestCase0, YES, 2167)
(FSE_Bitvector_Mode_Incorrect_Control_Statement_1_T_Loop18_TestCase0, TIMEOUT, 302260)</t>
  </si>
  <si>
    <t>(FSE_Bitvector_Mode_Incorrect_Control_Statement_1_T_Loop0_TestCase0, TIMEOUT, 302544)</t>
  </si>
  <si>
    <t>3/15</t>
  </si>
  <si>
    <t>(FSE_Bitvector_Mode_Incorrect_Control_Statement_1_NT_Loop20_TestCase9, MAYBE, 1646)
(FSE_Bitvector_Mode_Incorrect_Control_Statement_1_NT_Loop20_TestCase8, MAYBE, 1626)
(FSE_Bitvector_Mode_Incorrect_Control_Statement_1_NT_Loop16_TestCase10, ERROR, 1679)
(FSE_Bitvector_Mode_Incorrect_Control_Statement_1_NT_Loop16_TestCase2, YES, 1743)
(FSE_Bitvector_Mode_Incorrect_Control_Statement_1_NT_Loop16_TestCase3, ERROR, 1665)
(FSE_Bitvector_Mode_Incorrect_Control_Statement_1_NT_Loop16_TestCase1, ERROR, 1707)
(FSE_Bitvector_Mode_Incorrect_Control_Statement_1_NT_Loop16_TestCase4, ERROR, 1655)
(FSE_Bitvector_Mode_Incorrect_Control_Statement_1_NT_Loop16_TestCase5, ERROR, 1631)
(FSE_Bitvector_Mode_Incorrect_Control_Statement_1_NT_Loop16_TestCase7, ERROR, 1705)
(FSE_Bitvector_Mode_Incorrect_Control_Statement_1_NT_Loop16_TestCase6, ERROR, 1678)
(FSE_Bitvector_Mode_Incorrect_Control_Statement_1_NT_Loop16_TestCase8, YES, 1755)
(FSE_Bitvector_Mode_Incorrect_Control_Statement_1_NT_Loop16_TestCase9, YES, 1837)
(FSE_Bitvector_Mode_Incorrect_Control_Statement_1_NT_Loop20_TestCase10, MAYBE, 1659)
(FSE_Bitvector_Mode_Incorrect_Control_Statement_1_NT_Loop20_TestCase1, MAYBE, 1644)
(FSE_Bitvector_Mode_Incorrect_Control_Statement_1_NT_Loop20_TestCase3, MAYBE, 1641)
(FSE_Bitvector_Mode_Incorrect_Control_Statement_1_NT_Loop20_TestCase2, MAYBE, 1626)
(FSE_Bitvector_Mode_Incorrect_Control_Statement_1_NT_Loop20_TestCase6, MAYBE, 1667)
(FSE_Bitvector_Mode_Incorrect_Control_Statement_1_NT_Loop20_TestCase7, MAYBE, 1623)
(FSE_Bitvector_Mode_Incorrect_Control_Statement_1_NT_Loop20_TestCase5, MAYBE, 1683)
(FSE_Bitvector_Mode_Incorrect_Control_Statement_1_NT_Loop20_TestCase4, MAYBE, 1683)</t>
  </si>
  <si>
    <t>(FSE_Bitvector_Mode_Incorrect_Control_Statement_1_NT_Loop0_TestCase10, MAYBE, 1608)
(FSE_Bitvector_Mode_Incorrect_Control_Statement_1_NT_Loop0_TestCase2, MAYBE, 1670)
(FSE_Bitvector_Mode_Incorrect_Control_Statement_1_NT_Loop0_TestCase3, MAYBE, 1626)
(FSE_Bitvector_Mode_Incorrect_Control_Statement_1_NT_Loop0_TestCase1, MAYBE, 1665)
(FSE_Bitvector_Mode_Incorrect_Control_Statement_1_NT_Loop0_TestCase4, MAYBE, 1630)
(FSE_Bitvector_Mode_Incorrect_Control_Statement_1_NT_Loop0_TestCase5, MAYBE, 1623)
(FSE_Bitvector_Mode_Incorrect_Control_Statement_1_NT_Loop0_TestCase7, MAYBE, 1615)
(FSE_Bitvector_Mode_Incorrect_Control_Statement_1_NT_Loop0_TestCase6, MAYBE, 1608)
(FSE_Bitvector_Mode_Incorrect_Control_Statement_1_NT_Loop0_TestCase8, MAYBE, 1613)
(FSE_Bitvector_Mode_Incorrect_Control_Statement_1_NT_Loop0_TestCase9, MAYBE, 1624)</t>
  </si>
  <si>
    <t>(FSE_Bitvector_Mode_Incorrect_Control_Statement_1_NT_Loop16_TestCase0, YES, 2189)
(FSE_Bitvector_Mode_Incorrect_Control_Statement_1_NT_Loop20_TestCase0, TIMEOUT, 302231)</t>
  </si>
  <si>
    <t>(FSE_Bitvector_Mode_Incorrect_Control_Statement_1_NT_Loop0_TestCase0, TIMEOUT, 302329)</t>
  </si>
  <si>
    <t>(FSE_Bitvector_Mode_Incorrect_Bit_Calculation_3_T_Loop15_TestCase10, YES, 1813)
(FSE_Bitvector_Mode_Incorrect_Bit_Calculation_3_T_Loop15_TestCase8, YES, 1738)
(FSE_Bitvector_Mode_Incorrect_Bit_Calculation_3_T_Loop15_TestCase9, YES, 1743)
(FSE_Bitvector_Mode_Incorrect_Bit_Calculation_3_T_Loop15_TestCase7, YES, 1787)
(FSE_Bitvector_Mode_Incorrect_Bit_Calculation_3_T_Loop15_TestCase6, YES, 1746)
(FSE_Bitvector_Mode_Incorrect_Bit_Calculation_3_T_Loop15_TestCase4, YES, 1760)
(FSE_Bitvector_Mode_Incorrect_Bit_Calculation_3_T_Loop15_TestCase5, YES, 1863)
(FSE_Bitvector_Mode_Incorrect_Bit_Calculation_3_T_Loop15_TestCase1, YES, 1726)
(FSE_Bitvector_Mode_Incorrect_Bit_Calculation_3_T_Loop15_TestCase2, YES, 1765)
(FSE_Bitvector_Mode_Incorrect_Bit_Calculation_3_T_Loop15_TestCase3, YES, 1742)</t>
  </si>
  <si>
    <t>(FSE_Bitvector_Mode_Incorrect_Bit_Calculation_3_T_Loop0_TestCase1, YES, 1718)
(FSE_Bitvector_Mode_Incorrect_Bit_Calculation_3_T_Loop0_TestCase2, YES, 1674)
(FSE_Bitvector_Mode_Incorrect_Bit_Calculation_3_T_Loop0_TestCase3, YES, 1715)
(FSE_Bitvector_Mode_Incorrect_Bit_Calculation_3_T_Loop0_TestCase7, YES, 1723)
(FSE_Bitvector_Mode_Incorrect_Bit_Calculation_3_T_Loop0_TestCase6, YES, 1709)
(FSE_Bitvector_Mode_Incorrect_Bit_Calculation_3_T_Loop0_TestCase4, YES, 1752)
(FSE_Bitvector_Mode_Incorrect_Bit_Calculation_3_T_Loop0_TestCase5, YES, 1679)
(FSE_Bitvector_Mode_Incorrect_Bit_Calculation_3_T_Loop0_TestCase8, YES, 1708)
(FSE_Bitvector_Mode_Incorrect_Bit_Calculation_3_T_Loop0_TestCase9, YES, 1709)
(FSE_Bitvector_Mode_Incorrect_Bit_Calculation_3_T_Loop0_TestCase10, YES, 1708)</t>
  </si>
  <si>
    <t>(FSE_Bitvector_Mode_Incorrect_Bit_Calculation_3_T_Loop15_TestCase0, YES, 1748)</t>
  </si>
  <si>
    <t>(FSE_Bitvector_Mode_Incorrect_Bit_Calculation_3_T_Loop0_TestCase0, YES, 1810)</t>
  </si>
  <si>
    <t>4/4</t>
  </si>
  <si>
    <t>(FSE_Bitvector_Mode_Incorrect_Bit_Calculation_3_NT_Loop18_TestCase10, NO, 1811)
(FSE_Bitvector_Mode_Incorrect_Bit_Calculation_3_NT_Loop18_TestCase9, NO, 1713)
(FSE_Bitvector_Mode_Incorrect_Bit_Calculation_3_NT_Loop18_TestCase8, NO, 1696)
(FSE_Bitvector_Mode_Incorrect_Bit_Calculation_3_NT_Loop18_TestCase6, NO, 1693)
(FSE_Bitvector_Mode_Incorrect_Bit_Calculation_3_NT_Loop18_TestCase7, NO, 1724)
(FSE_Bitvector_Mode_Incorrect_Bit_Calculation_3_NT_Loop18_TestCase5, YES, 1785)
(FSE_Bitvector_Mode_Incorrect_Bit_Calculation_3_NT_Loop18_TestCase4, YES, 1700)
(FSE_Bitvector_Mode_Incorrect_Bit_Calculation_3_NT_Loop18_TestCase1, YES, 1722)
(FSE_Bitvector_Mode_Incorrect_Bit_Calculation_3_NT_Loop18_TestCase3, YES, 1725)
(FSE_Bitvector_Mode_Incorrect_Bit_Calculation_3_NT_Loop18_TestCase2, YES, 1697)</t>
  </si>
  <si>
    <t>(FSE_Bitvector_Mode_Incorrect_Bit_Calculation_3_NT_Loop0_TestCase1, YES, 1660)
(FSE_Bitvector_Mode_Incorrect_Bit_Calculation_3_NT_Loop0_TestCase3, YES, 1744)
(FSE_Bitvector_Mode_Incorrect_Bit_Calculation_3_NT_Loop0_TestCase2, YES, 1690)
(FSE_Bitvector_Mode_Incorrect_Bit_Calculation_3_NT_Loop0_TestCase6, NO, 1718)
(FSE_Bitvector_Mode_Incorrect_Bit_Calculation_3_NT_Loop0_TestCase7, NO, 1697)
(FSE_Bitvector_Mode_Incorrect_Bit_Calculation_3_NT_Loop0_TestCase5, YES, 1677)
(FSE_Bitvector_Mode_Incorrect_Bit_Calculation_3_NT_Loop0_TestCase4, YES, 1705)
(FSE_Bitvector_Mode_Incorrect_Bit_Calculation_3_NT_Loop0_TestCase10, NO, 1680)
(FSE_Bitvector_Mode_Incorrect_Bit_Calculation_3_NT_Loop0_TestCase9, NO, 1686)
(FSE_Bitvector_Mode_Incorrect_Bit_Calculation_3_NT_Loop0_TestCase8, NO, 1692)</t>
  </si>
  <si>
    <t>(FSE_Bitvector_Mode_Incorrect_Bit_Calculation_3_NT_Loop18_TestCase0, NO, 1747)</t>
  </si>
  <si>
    <t>(FSE_Bitvector_Mode_Incorrect_Bit_Calculation_3_NT_Loop0_TestCase0, NO, 1917)</t>
  </si>
  <si>
    <t>(FSE_Bitvector_Mode_Incorrect_Bit_Calculation_2_T_Loop16_TestCase9, YES, 1792)
(FSE_Bitvector_Mode_Incorrect_Bit_Calculation_2_T_Loop16_TestCase8, YES, 1784)
(FSE_Bitvector_Mode_Incorrect_Bit_Calculation_2_T_Loop16_TestCase6, YES, 1779)
(FSE_Bitvector_Mode_Incorrect_Bit_Calculation_2_T_Loop16_TestCase7, YES, 1758)
(FSE_Bitvector_Mode_Incorrect_Bit_Calculation_2_T_Loop16_TestCase5, YES, 1926)
(FSE_Bitvector_Mode_Incorrect_Bit_Calculation_2_T_Loop16_TestCase4, YES, 3716)
(FSE_Bitvector_Mode_Incorrect_Bit_Calculation_2_T_Loop16_TestCase1, YES, 1770)
(FSE_Bitvector_Mode_Incorrect_Bit_Calculation_2_T_Loop16_TestCase3, YES, 2961)
(FSE_Bitvector_Mode_Incorrect_Bit_Calculation_2_T_Loop16_TestCase2, YES, 1784)
(FSE_Bitvector_Mode_Incorrect_Bit_Calculation_2_T_Loop16_TestCase10, YES, 1738)</t>
  </si>
  <si>
    <t>(FSE_Bitvector_Mode_Incorrect_Bit_Calculation_2_T_Loop0_TestCase8, YES, 1725)
(FSE_Bitvector_Mode_Incorrect_Bit_Calculation_2_T_Loop0_TestCase9, YES, 1737)
(FSE_Bitvector_Mode_Incorrect_Bit_Calculation_2_T_Loop0_TestCase2, YES, 1709)
(FSE_Bitvector_Mode_Incorrect_Bit_Calculation_2_T_Loop0_TestCase3, YES, 2400)
(FSE_Bitvector_Mode_Incorrect_Bit_Calculation_2_T_Loop0_TestCase10, YES, 1719)
(FSE_Bitvector_Mode_Incorrect_Bit_Calculation_2_T_Loop0_TestCase1, YES, 1719)
(FSE_Bitvector_Mode_Incorrect_Bit_Calculation_2_T_Loop0_TestCase4, YES, 5393)
(FSE_Bitvector_Mode_Incorrect_Bit_Calculation_2_T_Loop0_TestCase5, YES, 1717)
(FSE_Bitvector_Mode_Incorrect_Bit_Calculation_2_T_Loop0_TestCase7, YES, 1774)
(FSE_Bitvector_Mode_Incorrect_Bit_Calculation_2_T_Loop0_TestCase6, YES, 1729)</t>
  </si>
  <si>
    <t>(FSE_Bitvector_Mode_Incorrect_Bit_Calculation_2_T_Loop16_TestCase0, YES, 6934)</t>
  </si>
  <si>
    <t>(FSE_Bitvector_Mode_Incorrect_Bit_Calculation_2_T_Loop0_TestCase0, YES, 21009)</t>
  </si>
  <si>
    <t>(FSE_Bitvector_Mode_Incorrect_Bit_Calculation_2_NT_Loop20_TestCase9, NO, 1743)
(FSE_Bitvector_Mode_Incorrect_Bit_Calculation_2_NT_Loop20_TestCase8, NO, 1783)
(FSE_Bitvector_Mode_Incorrect_Bit_Calculation_2_NT_Loop20_TestCase5, YES, 1832)
(FSE_Bitvector_Mode_Incorrect_Bit_Calculation_2_NT_Loop20_TestCase4, YES, 5089)
(FSE_Bitvector_Mode_Incorrect_Bit_Calculation_2_NT_Loop20_TestCase6, NO, 1841)
(FSE_Bitvector_Mode_Incorrect_Bit_Calculation_2_NT_Loop20_TestCase7, NO, 1760)
(FSE_Bitvector_Mode_Incorrect_Bit_Calculation_2_NT_Loop20_TestCase3, YES, 3419)
(FSE_Bitvector_Mode_Incorrect_Bit_Calculation_2_NT_Loop20_TestCase10, NO, 1823)
(FSE_Bitvector_Mode_Incorrect_Bit_Calculation_2_NT_Loop20_TestCase2, YES, 1808)
(FSE_Bitvector_Mode_Incorrect_Bit_Calculation_2_NT_Loop20_TestCase1, YES, 1827)</t>
  </si>
  <si>
    <t>(FSE_Bitvector_Mode_Incorrect_Bit_Calculation_2_NT_Loop0_TestCase10, NO, 1742)
(FSE_Bitvector_Mode_Incorrect_Bit_Calculation_2_NT_Loop0_TestCase4, YES, 6442)
(FSE_Bitvector_Mode_Incorrect_Bit_Calculation_2_NT_Loop0_TestCase5, YES, 1732)
(FSE_Bitvector_Mode_Incorrect_Bit_Calculation_2_NT_Loop0_TestCase7, NO, 1724)
(FSE_Bitvector_Mode_Incorrect_Bit_Calculation_2_NT_Loop0_TestCase6, NO, 1707)
(FSE_Bitvector_Mode_Incorrect_Bit_Calculation_2_NT_Loop0_TestCase2, YES, 1740)
(FSE_Bitvector_Mode_Incorrect_Bit_Calculation_2_NT_Loop0_TestCase3, YES, 2966)
(FSE_Bitvector_Mode_Incorrect_Bit_Calculation_2_NT_Loop0_TestCase1, YES, 1722)
(FSE_Bitvector_Mode_Incorrect_Bit_Calculation_2_NT_Loop0_TestCase8, NO, 1734)
(FSE_Bitvector_Mode_Incorrect_Bit_Calculation_2_NT_Loop0_TestCase9, NO, 1733)</t>
  </si>
  <si>
    <t>(FSE_Bitvector_Mode_Incorrect_Bit_Calculation_2_NT_Loop20_TestCase0, NO, 1789)</t>
  </si>
  <si>
    <t>(FSE_Bitvector_Mode_Incorrect_Bit_Calculation_2_NT_Loop0_TestCase0, NO, 1805)</t>
  </si>
  <si>
    <t>(FSE_Bitvector_Mode_Incorrect_Bit_Calculation_1_T_Loop14_TestCase1, YES, 1840)
(FSE_Bitvector_Mode_Incorrect_Bit_Calculation_1_T_Loop14_TestCase2, YES, 1747)
(FSE_Bitvector_Mode_Incorrect_Bit_Calculation_1_T_Loop14_TestCase3, YES, 1721)
(FSE_Bitvector_Mode_Incorrect_Bit_Calculation_1_T_Loop14_TestCase7, YES, 1722)
(FSE_Bitvector_Mode_Incorrect_Bit_Calculation_1_T_Loop14_TestCase6, YES, 1727)
(FSE_Bitvector_Mode_Incorrect_Bit_Calculation_1_T_Loop14_TestCase4, YES, 1967)
(FSE_Bitvector_Mode_Incorrect_Bit_Calculation_1_T_Loop14_TestCase5, YES, 1741)
(FSE_Bitvector_Mode_Incorrect_Bit_Calculation_1_T_Loop14_TestCase8, YES, 1715)
(FSE_Bitvector_Mode_Incorrect_Bit_Calculation_1_T_Loop14_TestCase9, YES, 1714)
(FSE_Bitvector_Mode_Incorrect_Bit_Calculation_1_T_Loop14_TestCase10, YES, 1718)</t>
  </si>
  <si>
    <t>(FSE_Bitvector_Mode_Incorrect_Bit_Calculation_1_T_Loop0_TestCase6, YES, 1700)
(FSE_Bitvector_Mode_Incorrect_Bit_Calculation_1_T_Loop0_TestCase7, YES, 1691)
(FSE_Bitvector_Mode_Incorrect_Bit_Calculation_1_T_Loop0_TestCase5, YES, 1726)
(FSE_Bitvector_Mode_Incorrect_Bit_Calculation_1_T_Loop0_TestCase4, YES, 1707)
(FSE_Bitvector_Mode_Incorrect_Bit_Calculation_1_T_Loop0_TestCase1, YES, 1688)
(FSE_Bitvector_Mode_Incorrect_Bit_Calculation_1_T_Loop0_TestCase3, YES, 1699)
(FSE_Bitvector_Mode_Incorrect_Bit_Calculation_1_T_Loop0_TestCase2, YES, 1688)
(FSE_Bitvector_Mode_Incorrect_Bit_Calculation_1_T_Loop0_TestCase9, YES, 1718)
(FSE_Bitvector_Mode_Incorrect_Bit_Calculation_1_T_Loop0_TestCase8, YES, 1719)
(FSE_Bitvector_Mode_Incorrect_Bit_Calculation_1_T_Loop0_TestCase10, YES, 1664)</t>
  </si>
  <si>
    <t>(FSE_Bitvector_Mode_Incorrect_Bit_Calculation_1_T_Loop14_TestCase0, YES, 1764)</t>
  </si>
  <si>
    <t>(FSE_Bitvector_Mode_Incorrect_Bit_Calculation_1_T_Loop0_TestCase0, YES, 1792)</t>
  </si>
  <si>
    <t>(FSE_Bitvector_Mode_Incorrect_Bit_Calculation_1_NT_Loop15_TestCase7, NO, 1875)
(FSE_Bitvector_Mode_Incorrect_Bit_Calculation_1_NT_Loop15_TestCase6, NO, 1971)
(FSE_Bitvector_Mode_Incorrect_Bit_Calculation_1_NT_Loop15_TestCase4, YES, 1723)
(FSE_Bitvector_Mode_Incorrect_Bit_Calculation_1_NT_Loop15_TestCase5, YES, 2048)
(FSE_Bitvector_Mode_Incorrect_Bit_Calculation_1_NT_Loop15_TestCase1, YES, 1719)
(FSE_Bitvector_Mode_Incorrect_Bit_Calculation_1_NT_Loop15_TestCase2, YES, 1728)
(FSE_Bitvector_Mode_Incorrect_Bit_Calculation_1_NT_Loop15_TestCase3, YES, 1715)
(FSE_Bitvector_Mode_Incorrect_Bit_Calculation_1_NT_Loop15_TestCase10, NO, 1745)
(FSE_Bitvector_Mode_Incorrect_Bit_Calculation_1_NT_Loop15_TestCase8, NO, 1734)
(FSE_Bitvector_Mode_Incorrect_Bit_Calculation_1_NT_Loop15_TestCase9, NO, 1721)</t>
  </si>
  <si>
    <t>(FSE_Bitvector_Mode_Incorrect_Bit_Calculation_1_NT_Loop0_TestCase1, YES, 1692)
(FSE_Bitvector_Mode_Incorrect_Bit_Calculation_1_NT_Loop0_TestCase2, YES, 1703)
(FSE_Bitvector_Mode_Incorrect_Bit_Calculation_1_NT_Loop0_TestCase3, YES, 1714)
(FSE_Bitvector_Mode_Incorrect_Bit_Calculation_1_NT_Loop0_TestCase7, NO, 1711)
(FSE_Bitvector_Mode_Incorrect_Bit_Calculation_1_NT_Loop0_TestCase6, NO, 1718)
(FSE_Bitvector_Mode_Incorrect_Bit_Calculation_1_NT_Loop0_TestCase10, NO, 1706)
(FSE_Bitvector_Mode_Incorrect_Bit_Calculation_1_NT_Loop0_TestCase4, YES, 1705)
(FSE_Bitvector_Mode_Incorrect_Bit_Calculation_1_NT_Loop0_TestCase5, YES, 1929)
(FSE_Bitvector_Mode_Incorrect_Bit_Calculation_1_NT_Loop0_TestCase8, NO, 1699)
(FSE_Bitvector_Mode_Incorrect_Bit_Calculation_1_NT_Loop0_TestCase9, NO, 1763)</t>
  </si>
  <si>
    <t>(FSE_Bitvector_Mode_Incorrect_Bit_Calculation_1_NT_Loop15_TestCase0, NO, 1834)</t>
  </si>
  <si>
    <t>(FSE_Bitvector_Mode_Incorrect_Bit_Calculation_1_NT_Loop0_TestCase0, NO, 2060)</t>
  </si>
  <si>
    <t>(FSE_Bitvector_Mode_Adding_Subtracting_Zero_5_T_Loop38_TestCase9, MAYBE, 1512)
(FSE_Bitvector_Mode_Adding_Subtracting_Zero_5_T_Loop38_TestCase8, MAYBE, 1501)
(FSE_Bitvector_Mode_Adding_Subtracting_Zero_5_T_Loop21_TestCase10, MAYBE, 1332)
(FSE_Bitvector_Mode_Adding_Subtracting_Zero_5_T_Loop21_TestCase9, MAYBE, 1415)
(FSE_Bitvector_Mode_Adding_Subtracting_Zero_5_T_Loop21_TestCase8, MAYBE, 1333)
(FSE_Bitvector_Mode_Adding_Subtracting_Zero_5_T_Loop38_TestCase10, MAYBE, 1479)
(FSE_Bitvector_Mode_Adding_Subtracting_Zero_5_T_Loop21_TestCase3, MAYBE, 1357)
(FSE_Bitvector_Mode_Adding_Subtracting_Zero_5_T_Loop21_TestCase2, MAYBE, 1331)
(FSE_Bitvector_Mode_Adding_Subtracting_Zero_5_T_Loop21_TestCase1, MAYBE, 1348)
(FSE_Bitvector_Mode_Adding_Subtracting_Zero_5_T_Loop21_TestCase5, MAYBE, 1334)
(FSE_Bitvector_Mode_Adding_Subtracting_Zero_5_T_Loop21_TestCase4, MAYBE, 1380)
(FSE_Bitvector_Mode_Adding_Subtracting_Zero_5_T_Loop21_TestCase6, MAYBE, 1332)
(FSE_Bitvector_Mode_Adding_Subtracting_Zero_5_T_Loop21_TestCase7, MAYBE, 1338)
(FSE_Bitvector_Mode_Adding_Subtracting_Zero_5_T_Loop38_TestCase6, MAYBE, 1465)
(FSE_Bitvector_Mode_Adding_Subtracting_Zero_5_T_Loop38_TestCase7, MAYBE, 1509)
(FSE_Bitvector_Mode_Adding_Subtracting_Zero_5_T_Loop38_TestCase5, MAYBE, 1495)
(FSE_Bitvector_Mode_Adding_Subtracting_Zero_5_T_Loop38_TestCase4, MAYBE, 1513)
(FSE_Bitvector_Mode_Adding_Subtracting_Zero_5_T_Loop38_TestCase1, MAYBE, 1501)
(FSE_Bitvector_Mode_Adding_Subtracting_Zero_5_T_Loop38_TestCase3, MAYBE, 1465)
(FSE_Bitvector_Mode_Adding_Subtracting_Zero_5_T_Loop38_TestCase2, MAYBE, 1580)</t>
  </si>
  <si>
    <t>(FSE_Bitvector_Mode_Adding_Subtracting_Zero_5_T_Loop0_TestCase4, YES, 1982)
(FSE_Bitvector_Mode_Adding_Subtracting_Zero_5_T_Loop0_TestCase5, YES, 2169)
(FSE_Bitvector_Mode_Adding_Subtracting_Zero_5_T_Loop0_TestCase7, TIMEOUT, 302143)
(FSE_Bitvector_Mode_Adding_Subtracting_Zero_5_T_Loop0_TestCase6, YES, 2063)
(FSE_Bitvector_Mode_Adding_Subtracting_Zero_5_T_Loop0_TestCase2, YES, 2009)
(FSE_Bitvector_Mode_Adding_Subtracting_Zero_5_T_Loop0_TestCase3, YES, 2108)
(FSE_Bitvector_Mode_Adding_Subtracting_Zero_5_T_Loop0_TestCase1, YES, 1964)
(FSE_Bitvector_Mode_Adding_Subtracting_Zero_5_T_Loop0_TestCase10, TIMEOUT, 301874)
(FSE_Bitvector_Mode_Adding_Subtracting_Zero_5_T_Loop0_TestCase8, TIMEOUT, 301862)
(FSE_Bitvector_Mode_Adding_Subtracting_Zero_5_T_Loop0_TestCase9, TIMEOUT, 302078)</t>
  </si>
  <si>
    <t>(FSE_Bitvector_Mode_Adding_Subtracting_Zero_5_T_Loop21_TestCase0, MAYBE, 1400)
(FSE_Bitvector_Mode_Adding_Subtracting_Zero_5_T_Loop38_TestCase0, MAYBE, 1573)</t>
  </si>
  <si>
    <t>(FSE_Bitvector_Mode_Adding_Subtracting_Zero_5_T_Loop0_TestCase0, TIMEOUT, 302031)</t>
  </si>
  <si>
    <t>0/15</t>
  </si>
  <si>
    <t>(FSE_Bitvector_Mode_Adding_Subtracting_Zero_5_NT_Loop38_TestCase1, MAYBE, 1494)
(FSE_Bitvector_Mode_Adding_Subtracting_Zero_5_NT_Loop38_TestCase2, MAYBE, 1502)
(FSE_Bitvector_Mode_Adding_Subtracting_Zero_5_NT_Loop38_TestCase10, MAYBE, 1716)
(FSE_Bitvector_Mode_Adding_Subtracting_Zero_5_NT_Loop38_TestCase3, MAYBE, 1517)
(FSE_Bitvector_Mode_Adding_Subtracting_Zero_5_NT_Loop38_TestCase7, MAYBE, 1540)
(FSE_Bitvector_Mode_Adding_Subtracting_Zero_5_NT_Loop38_TestCase6, MAYBE, 1525)
(FSE_Bitvector_Mode_Adding_Subtracting_Zero_5_NT_Loop38_TestCase4, MAYBE, 1496)
(FSE_Bitvector_Mode_Adding_Subtracting_Zero_5_NT_Loop38_TestCase5, MAYBE, 1519)
(FSE_Bitvector_Mode_Adding_Subtracting_Zero_5_NT_Loop21_TestCase4, MAYBE, 1353)
(FSE_Bitvector_Mode_Adding_Subtracting_Zero_5_NT_Loop21_TestCase10, MAYBE, 1417)
(FSE_Bitvector_Mode_Adding_Subtracting_Zero_5_NT_Loop21_TestCase5, MAYBE, 1337)
(FSE_Bitvector_Mode_Adding_Subtracting_Zero_5_NT_Loop21_TestCase7, MAYBE, 1333)
(FSE_Bitvector_Mode_Adding_Subtracting_Zero_5_NT_Loop21_TestCase6, MAYBE, 1343)
(FSE_Bitvector_Mode_Adding_Subtracting_Zero_5_NT_Loop21_TestCase2, MAYBE, 1323)
(FSE_Bitvector_Mode_Adding_Subtracting_Zero_5_NT_Loop21_TestCase3, MAYBE, 1348)
(FSE_Bitvector_Mode_Adding_Subtracting_Zero_5_NT_Loop21_TestCase1, MAYBE, 1337)
(FSE_Bitvector_Mode_Adding_Subtracting_Zero_5_NT_Loop21_TestCase8, MAYBE, 1318)
(FSE_Bitvector_Mode_Adding_Subtracting_Zero_5_NT_Loop21_TestCase9, MAYBE, 1333)
(FSE_Bitvector_Mode_Adding_Subtracting_Zero_5_NT_Loop38_TestCase8, MAYBE, 1512)
(FSE_Bitvector_Mode_Adding_Subtracting_Zero_5_NT_Loop38_TestCase9, MAYBE, 1574)</t>
  </si>
  <si>
    <t>(FSE_Bitvector_Mode_Adding_Subtracting_Zero_5_NT_Loop0_TestCase4, YES, 2133)
(FSE_Bitvector_Mode_Adding_Subtracting_Zero_5_NT_Loop0_TestCase5, YES, 1955)
(FSE_Bitvector_Mode_Adding_Subtracting_Zero_5_NT_Loop0_TestCase7, TIMEOUT, 302020)
(FSE_Bitvector_Mode_Adding_Subtracting_Zero_5_NT_Loop0_TestCase6, NO, 2320)
(FSE_Bitvector_Mode_Adding_Subtracting_Zero_5_NT_Loop0_TestCase2, YES, 2154)
(FSE_Bitvector_Mode_Adding_Subtracting_Zero_5_NT_Loop0_TestCase3, YES, 1956)
(FSE_Bitvector_Mode_Adding_Subtracting_Zero_5_NT_Loop0_TestCase1, YES, 1979)
(FSE_Bitvector_Mode_Adding_Subtracting_Zero_5_NT_Loop0_TestCase10, TIMEOUT, 301885)
(FSE_Bitvector_Mode_Adding_Subtracting_Zero_5_NT_Loop0_TestCase8, TIMEOUT, 302017)
(FSE_Bitvector_Mode_Adding_Subtracting_Zero_5_NT_Loop0_TestCase9, TIMEOUT, 301842)</t>
  </si>
  <si>
    <t>(FSE_Bitvector_Mode_Adding_Subtracting_Zero_5_NT_Loop38_TestCase0, MAYBE, 1729)
(FSE_Bitvector_Mode_Adding_Subtracting_Zero_5_NT_Loop21_TestCase0, MAYBE, 1373)</t>
  </si>
  <si>
    <t>(FSE_Bitvector_Mode_Adding_Subtracting_Zero_5_NT_Loop0_TestCase0, NO, 2684)</t>
  </si>
  <si>
    <t>17/20</t>
  </si>
  <si>
    <t>(FSE_Bitvector_Mode_Adding_Subtracting_Zero_4_T_Loop16_TestCase10, YES, 19334)
(FSE_Bitvector_Mode_Adding_Subtracting_Zero_4_T_Loop51_TestCase8, YES, 51520)
(FSE_Bitvector_Mode_Adding_Subtracting_Zero_4_T_Loop51_TestCase9, YES, 18988)
(FSE_Bitvector_Mode_Adding_Subtracting_Zero_4_T_Loop16_TestCase8, YES, 10413)
(FSE_Bitvector_Mode_Adding_Subtracting_Zero_4_T_Loop16_TestCase9, YES, 10502)
(FSE_Bitvector_Mode_Adding_Subtracting_Zero_4_T_Loop16_TestCase2, YES, 1825)
(FSE_Bitvector_Mode_Adding_Subtracting_Zero_4_T_Loop16_TestCase3, YES, 15376)
(FSE_Bitvector_Mode_Adding_Subtracting_Zero_4_T_Loop16_TestCase1, YES, 2106)
(FSE_Bitvector_Mode_Adding_Subtracting_Zero_4_T_Loop16_TestCase4, YES, 151966)
(FSE_Bitvector_Mode_Adding_Subtracting_Zero_4_T_Loop16_TestCase5, TIMEOUT, 301772)
(FSE_Bitvector_Mode_Adding_Subtracting_Zero_4_T_Loop51_TestCase10, YES, 16230)
(FSE_Bitvector_Mode_Adding_Subtracting_Zero_4_T_Loop16_TestCase7, YES, 17018)
(FSE_Bitvector_Mode_Adding_Subtracting_Zero_4_T_Loop16_TestCase6, YES, 6960)
(FSE_Bitvector_Mode_Adding_Subtracting_Zero_4_T_Loop51_TestCase4, TIMEOUT, 301801)
(FSE_Bitvector_Mode_Adding_Subtracting_Zero_4_T_Loop51_TestCase5, TIMEOUT, 301757)
(FSE_Bitvector_Mode_Adding_Subtracting_Zero_4_T_Loop51_TestCase7, YES, 14042)
(FSE_Bitvector_Mode_Adding_Subtracting_Zero_4_T_Loop51_TestCase6, YES, 5527)
(FSE_Bitvector_Mode_Adding_Subtracting_Zero_4_T_Loop51_TestCase2, YES, 1857)
(FSE_Bitvector_Mode_Adding_Subtracting_Zero_4_T_Loop51_TestCase3, YES, 51987)
(FSE_Bitvector_Mode_Adding_Subtracting_Zero_4_T_Loop51_TestCase1, YES, 1790)</t>
  </si>
  <si>
    <t>(FSE_Bitvector_Mode_Adding_Subtracting_Zero_4_T_Loop0_TestCase8, YES, 7726)
(FSE_Bitvector_Mode_Adding_Subtracting_Zero_4_T_Loop0_TestCase9, YES, 11130)
(FSE_Bitvector_Mode_Adding_Subtracting_Zero_4_T_Loop0_TestCase7, YES, 25459)
(FSE_Bitvector_Mode_Adding_Subtracting_Zero_4_T_Loop0_TestCase6, YES, 8583)
(FSE_Bitvector_Mode_Adding_Subtracting_Zero_4_T_Loop0_TestCase4, TIMEOUT, 301740)
(FSE_Bitvector_Mode_Adding_Subtracting_Zero_4_T_Loop0_TestCase5, TIMEOUT, 301731)
(FSE_Bitvector_Mode_Adding_Subtracting_Zero_4_T_Loop0_TestCase1, YES, 1945)
(FSE_Bitvector_Mode_Adding_Subtracting_Zero_4_T_Loop0_TestCase10, YES, 14542)
(FSE_Bitvector_Mode_Adding_Subtracting_Zero_4_T_Loop0_TestCase2, YES, 1792)
(FSE_Bitvector_Mode_Adding_Subtracting_Zero_4_T_Loop0_TestCase3, YES, 62647)</t>
  </si>
  <si>
    <t>(FSE_Bitvector_Mode_Adding_Subtracting_Zero_4_T_Loop16_TestCase0, TIMEOUT, 301970)
(FSE_Bitvector_Mode_Adding_Subtracting_Zero_4_T_Loop51_TestCase0, TIMEOUT, 302016)</t>
  </si>
  <si>
    <t>(FSE_Bitvector_Mode_Adding_Subtracting_Zero_4_T_Loop0_TestCase0, TIMEOUT, 302142)</t>
  </si>
  <si>
    <t>19/20</t>
  </si>
  <si>
    <t>(FSE_Bitvector_Mode_Adding_Subtracting_Zero_4_NT_Loop50_TestCase4, YES, 116678)
(FSE_Bitvector_Mode_Adding_Subtracting_Zero_4_NT_Loop50_TestCase5, YES, 48537)
(FSE_Bitvector_Mode_Adding_Subtracting_Zero_4_NT_Loop50_TestCase7, NO, 2076)
(FSE_Bitvector_Mode_Adding_Subtracting_Zero_4_NT_Loop50_TestCase6, NO, 1852)
(FSE_Bitvector_Mode_Adding_Subtracting_Zero_4_NT_Loop50_TestCase2, YES, 1792)
(FSE_Bitvector_Mode_Adding_Subtracting_Zero_4_NT_Loop50_TestCase10, NO, 1970)
(FSE_Bitvector_Mode_Adding_Subtracting_Zero_4_NT_Loop50_TestCase3, YES, 19125)
(FSE_Bitvector_Mode_Adding_Subtracting_Zero_4_NT_Loop50_TestCase1, YES, 1796)
(FSE_Bitvector_Mode_Adding_Subtracting_Zero_4_NT_Loop16_TestCase9, NO, 2117)
(FSE_Bitvector_Mode_Adding_Subtracting_Zero_4_NT_Loop16_TestCase8, NO, 2093)
(FSE_Bitvector_Mode_Adding_Subtracting_Zero_4_NT_Loop16_TestCase5, TIMEOUT, 301728)
(FSE_Bitvector_Mode_Adding_Subtracting_Zero_4_NT_Loop16_TestCase4, YES, 30315)
(FSE_Bitvector_Mode_Adding_Subtracting_Zero_4_NT_Loop16_TestCase10, NO, 2180)
(FSE_Bitvector_Mode_Adding_Subtracting_Zero_4_NT_Loop16_TestCase6, NO, 1835)
(FSE_Bitvector_Mode_Adding_Subtracting_Zero_4_NT_Loop16_TestCase7, NO, 2151)
(FSE_Bitvector_Mode_Adding_Subtracting_Zero_4_NT_Loop16_TestCase3, YES, 14038)
(FSE_Bitvector_Mode_Adding_Subtracting_Zero_4_NT_Loop16_TestCase2, YES, 1750)
(FSE_Bitvector_Mode_Adding_Subtracting_Zero_4_NT_Loop16_TestCase1, YES, 1813)
(FSE_Bitvector_Mode_Adding_Subtracting_Zero_4_NT_Loop50_TestCase8, NO, 2116)
(FSE_Bitvector_Mode_Adding_Subtracting_Zero_4_NT_Loop50_TestCase9, NO, 1791)</t>
  </si>
  <si>
    <t>(FSE_Bitvector_Mode_Adding_Subtracting_Zero_4_NT_Loop0_TestCase1, YES, 1778)
(FSE_Bitvector_Mode_Adding_Subtracting_Zero_4_NT_Loop0_TestCase3, YES, 19819)
(FSE_Bitvector_Mode_Adding_Subtracting_Zero_4_NT_Loop0_TestCase2, YES, 1747)
(FSE_Bitvector_Mode_Adding_Subtracting_Zero_4_NT_Loop0_TestCase6, NO, 1741)
(FSE_Bitvector_Mode_Adding_Subtracting_Zero_4_NT_Loop0_TestCase7, NO, 1892)
(FSE_Bitvector_Mode_Adding_Subtracting_Zero_4_NT_Loop0_TestCase5, YES, 16230)
(FSE_Bitvector_Mode_Adding_Subtracting_Zero_4_NT_Loop0_TestCase4, YES, 46273)
(FSE_Bitvector_Mode_Adding_Subtracting_Zero_4_NT_Loop0_TestCase9, NO, 1772)
(FSE_Bitvector_Mode_Adding_Subtracting_Zero_4_NT_Loop0_TestCase8, NO, 1753)
(FSE_Bitvector_Mode_Adding_Subtracting_Zero_4_NT_Loop0_TestCase10, NO, 1752)</t>
  </si>
  <si>
    <t>(FSE_Bitvector_Mode_Adding_Subtracting_Zero_4_NT_Loop50_TestCase0, TIMEOUT, 302099)
(FSE_Bitvector_Mode_Adding_Subtracting_Zero_4_NT_Loop16_TestCase0, TIMEOUT, 302078)</t>
  </si>
  <si>
    <t>(FSE_Bitvector_Mode_Adding_Subtracting_Zero_4_NT_Loop0_TestCase0, NO, 50487)</t>
  </si>
  <si>
    <t>16/20</t>
  </si>
  <si>
    <t>(FSE_Bitvector_Mode_Adding_Subtracting_Zero_3_T_Loop37_TestCase3, YES, 2196)
(FSE_Bitvector_Mode_Adding_Subtracting_Zero_3_T_Loop37_TestCase2, YES, 1811)
(FSE_Bitvector_Mode_Adding_Subtracting_Zero_3_T_Loop37_TestCase1, YES, 1818)
(FSE_Bitvector_Mode_Adding_Subtracting_Zero_3_T_Loop37_TestCase5, TIMEOUT, 302012)
(FSE_Bitvector_Mode_Adding_Subtracting_Zero_3_T_Loop37_TestCase4, TIMEOUT, 301779)
(FSE_Bitvector_Mode_Adding_Subtracting_Zero_3_T_Loop37_TestCase6, YES, 1824)
(FSE_Bitvector_Mode_Adding_Subtracting_Zero_3_T_Loop37_TestCase7, YES, 1790)
(FSE_Bitvector_Mode_Adding_Subtracting_Zero_3_T_Loop72_TestCase8, YES, 1897)
(FSE_Bitvector_Mode_Adding_Subtracting_Zero_3_T_Loop72_TestCase9, YES, 1915)
(FSE_Bitvector_Mode_Adding_Subtracting_Zero_3_T_Loop72_TestCase10, YES, 2010)
(FSE_Bitvector_Mode_Adding_Subtracting_Zero_3_T_Loop72_TestCase7, YES, 2193)
(FSE_Bitvector_Mode_Adding_Subtracting_Zero_3_T_Loop72_TestCase6, YES, 2210)
(FSE_Bitvector_Mode_Adding_Subtracting_Zero_3_T_Loop72_TestCase4, TIMEOUT, 301929)
(FSE_Bitvector_Mode_Adding_Subtracting_Zero_3_T_Loop72_TestCase5, TIMEOUT, 301746)
(FSE_Bitvector_Mode_Adding_Subtracting_Zero_3_T_Loop37_TestCase10, YES, 1988)
(FSE_Bitvector_Mode_Adding_Subtracting_Zero_3_T_Loop72_TestCase1, YES, 1865)
(FSE_Bitvector_Mode_Adding_Subtracting_Zero_3_T_Loop72_TestCase2, YES, 1817)
(FSE_Bitvector_Mode_Adding_Subtracting_Zero_3_T_Loop72_TestCase3, YES, 4378)
(FSE_Bitvector_Mode_Adding_Subtracting_Zero_3_T_Loop37_TestCase9, YES, 1864)
(FSE_Bitvector_Mode_Adding_Subtracting_Zero_3_T_Loop37_TestCase8, YES, 1816)</t>
  </si>
  <si>
    <t>(FSE_Bitvector_Mode_Adding_Subtracting_Zero_3_T_Loop0_TestCase1, YES, 1772)
(FSE_Bitvector_Mode_Adding_Subtracting_Zero_3_T_Loop0_TestCase3, YES, 2310)
(FSE_Bitvector_Mode_Adding_Subtracting_Zero_3_T_Loop0_TestCase2, YES, 1801)
(FSE_Bitvector_Mode_Adding_Subtracting_Zero_3_T_Loop0_TestCase6, YES, 1880)
(FSE_Bitvector_Mode_Adding_Subtracting_Zero_3_T_Loop0_TestCase7, YES, 1886)
(FSE_Bitvector_Mode_Adding_Subtracting_Zero_3_T_Loop0_TestCase5, TIMEOUT, 301676)
(FSE_Bitvector_Mode_Adding_Subtracting_Zero_3_T_Loop0_TestCase4, TIMEOUT, 301840)
(FSE_Bitvector_Mode_Adding_Subtracting_Zero_3_T_Loop0_TestCase9, YES, 2099)
(FSE_Bitvector_Mode_Adding_Subtracting_Zero_3_T_Loop0_TestCase8, YES, 1876)
(FSE_Bitvector_Mode_Adding_Subtracting_Zero_3_T_Loop0_TestCase10, YES, 1892)</t>
  </si>
  <si>
    <t>(FSE_Bitvector_Mode_Adding_Subtracting_Zero_3_T_Loop37_TestCase0, TIMEOUT, 302060)
(FSE_Bitvector_Mode_Adding_Subtracting_Zero_3_T_Loop72_TestCase0, TIMEOUT, 302038)</t>
  </si>
  <si>
    <t>(FSE_Bitvector_Mode_Adding_Subtracting_Zero_3_T_Loop0_TestCase0, TIMEOUT, 302032)</t>
  </si>
  <si>
    <t>9/9</t>
  </si>
  <si>
    <t>(FSE_Bitvector_Mode_Adding_Subtracting_Zero_3_NT_Loop75_TestCase9, NO, 1777)
(FSE_Bitvector_Mode_Adding_Subtracting_Zero_3_NT_Loop75_TestCase8, NO, 1803)
(FSE_Bitvector_Mode_Adding_Subtracting_Zero_3_NT_Loop75_TestCase10, NO, 2099)
(FSE_Bitvector_Mode_Adding_Subtracting_Zero_3_NT_Loop40_TestCase2, YES, 1760)
(FSE_Bitvector_Mode_Adding_Subtracting_Zero_3_NT_Loop40_TestCase3, YES, 2008)
(FSE_Bitvector_Mode_Adding_Subtracting_Zero_3_NT_Loop40_TestCase1, YES, 1756)
(FSE_Bitvector_Mode_Adding_Subtracting_Zero_3_NT_Loop40_TestCase4, TIMEOUT, 301743)
(FSE_Bitvector_Mode_Adding_Subtracting_Zero_3_NT_Loop40_TestCase5, TIMEOUT, 301721)
(FSE_Bitvector_Mode_Adding_Subtracting_Zero_3_NT_Loop40_TestCase7, NO, 1766)
(FSE_Bitvector_Mode_Adding_Subtracting_Zero_3_NT_Loop40_TestCase6, NO, 1950)
(FSE_Bitvector_Mode_Adding_Subtracting_Zero_3_NT_Loop40_TestCase8, NO, 1799)
(FSE_Bitvector_Mode_Adding_Subtracting_Zero_3_NT_Loop40_TestCase9, NO, 1788)
(FSE_Bitvector_Mode_Adding_Subtracting_Zero_3_NT_Loop75_TestCase5, TIMEOUT, 301955)
(FSE_Bitvector_Mode_Adding_Subtracting_Zero_3_NT_Loop75_TestCase4, TIMEOUT, 301727)
(FSE_Bitvector_Mode_Adding_Subtracting_Zero_3_NT_Loop75_TestCase6, NO, 1738)
(FSE_Bitvector_Mode_Adding_Subtracting_Zero_3_NT_Loop75_TestCase7, NO, 1792)
(FSE_Bitvector_Mode_Adding_Subtracting_Zero_3_NT_Loop75_TestCase3, YES, 2145)
(FSE_Bitvector_Mode_Adding_Subtracting_Zero_3_NT_Loop75_TestCase2, YES, 1783)
(FSE_Bitvector_Mode_Adding_Subtracting_Zero_3_NT_Loop40_TestCase10, NO, 1781)
(FSE_Bitvector_Mode_Adding_Subtracting_Zero_3_NT_Loop75_TestCase1, YES, 1943)</t>
  </si>
  <si>
    <t>(FSE_Bitvector_Mode_Adding_Subtracting_Zero_3_NT_Loop0_TestCase3, YES, 2195)
(FSE_Bitvector_Mode_Adding_Subtracting_Zero_3_NT_Loop0_TestCase2, YES, 1768)
(FSE_Bitvector_Mode_Adding_Subtracting_Zero_3_NT_Loop0_TestCase1, YES, 1801)
(FSE_Bitvector_Mode_Adding_Subtracting_Zero_3_NT_Loop0_TestCase5, TIMEOUT, 301687)
(FSE_Bitvector_Mode_Adding_Subtracting_Zero_3_NT_Loop0_TestCase4, YES, 210313)
(FSE_Bitvector_Mode_Adding_Subtracting_Zero_3_NT_Loop0_TestCase6, NO, 1748)
(FSE_Bitvector_Mode_Adding_Subtracting_Zero_3_NT_Loop0_TestCase7, NO, 1784)
(FSE_Bitvector_Mode_Adding_Subtracting_Zero_3_NT_Loop0_TestCase9, NO, 1787)
(FSE_Bitvector_Mode_Adding_Subtracting_Zero_3_NT_Loop0_TestCase8, NO, 1733)
(FSE_Bitvector_Mode_Adding_Subtracting_Zero_3_NT_Loop0_TestCase10, NO, 1791)</t>
  </si>
  <si>
    <t>(FSE_Bitvector_Mode_Adding_Subtracting_Zero_3_NT_Loop40_TestCase0, TIMEOUT, 302108)
(FSE_Bitvector_Mode_Adding_Subtracting_Zero_3_NT_Loop75_TestCase0, TIMEOUT, 302033)</t>
  </si>
  <si>
    <t>(FSE_Bitvector_Mode_Adding_Subtracting_Zero_3_NT_Loop0_TestCase0, TIMEOUT, 301752)</t>
  </si>
  <si>
    <t>(FSE_Bitvector_Mode_Adding_Subtracting_Zero_2_T_Loop35_TestCase10, YES, 1776)
(FSE_Bitvector_Mode_Adding_Subtracting_Zero_2_T_Loop35_TestCase9, YES, 1753)
(FSE_Bitvector_Mode_Adding_Subtracting_Zero_2_T_Loop35_TestCase8, YES, 1819)
(FSE_Bitvector_Mode_Adding_Subtracting_Zero_2_T_Loop35_TestCase5, YES, 1745)
(FSE_Bitvector_Mode_Adding_Subtracting_Zero_2_T_Loop35_TestCase4, YES, 1748)
(FSE_Bitvector_Mode_Adding_Subtracting_Zero_2_T_Loop35_TestCase6, YES, 1796)
(FSE_Bitvector_Mode_Adding_Subtracting_Zero_2_T_Loop35_TestCase7, YES, 1777)
(FSE_Bitvector_Mode_Adding_Subtracting_Zero_2_T_Loop35_TestCase3, YES, 1759)
(FSE_Bitvector_Mode_Adding_Subtracting_Zero_2_T_Loop35_TestCase2, YES, 1718)
(FSE_Bitvector_Mode_Adding_Subtracting_Zero_2_T_Loop35_TestCase1, YES, 1765)</t>
  </si>
  <si>
    <t>(FSE_Bitvector_Mode_Adding_Subtracting_Zero_2_T_Loop0_TestCase9, YES, 1727)
(FSE_Bitvector_Mode_Adding_Subtracting_Zero_2_T_Loop0_TestCase8, YES, 1749)
(FSE_Bitvector_Mode_Adding_Subtracting_Zero_2_T_Loop0_TestCase10, YES, 1740)
(FSE_Bitvector_Mode_Adding_Subtracting_Zero_2_T_Loop0_TestCase3, YES, 1694)
(FSE_Bitvector_Mode_Adding_Subtracting_Zero_2_T_Loop0_TestCase2, YES, 1711)
(FSE_Bitvector_Mode_Adding_Subtracting_Zero_2_T_Loop0_TestCase1, YES, 1703)
(FSE_Bitvector_Mode_Adding_Subtracting_Zero_2_T_Loop0_TestCase5, YES, 1721)
(FSE_Bitvector_Mode_Adding_Subtracting_Zero_2_T_Loop0_TestCase4, YES, 1707)
(FSE_Bitvector_Mode_Adding_Subtracting_Zero_2_T_Loop0_TestCase6, YES, 1706)
(FSE_Bitvector_Mode_Adding_Subtracting_Zero_2_T_Loop0_TestCase7, YES, 1701)</t>
  </si>
  <si>
    <t>(FSE_Bitvector_Mode_Adding_Subtracting_Zero_2_T_Loop35_TestCase0, TIMEOUT, 302098)</t>
  </si>
  <si>
    <t>(FSE_Bitvector_Mode_Adding_Subtracting_Zero_2_T_Loop0_TestCase0, TIMEOUT, 301974)</t>
  </si>
  <si>
    <t>(FSE_Bitvector_Mode_Adding_Subtracting_Zero_2_NT_Loop34_TestCase8, NO, 1736)
(FSE_Bitvector_Mode_Adding_Subtracting_Zero_2_NT_Loop34_TestCase9, NO, 1787)
(FSE_Bitvector_Mode_Adding_Subtracting_Zero_2_NT_Loop34_TestCase4, YES, 1762)
(FSE_Bitvector_Mode_Adding_Subtracting_Zero_2_NT_Loop34_TestCase5, YES, 1735)
(FSE_Bitvector_Mode_Adding_Subtracting_Zero_2_NT_Loop34_TestCase7, NO, 1737)
(FSE_Bitvector_Mode_Adding_Subtracting_Zero_2_NT_Loop34_TestCase6, NO, 1750)
(FSE_Bitvector_Mode_Adding_Subtracting_Zero_2_NT_Loop34_TestCase2, YES, 1778)
(FSE_Bitvector_Mode_Adding_Subtracting_Zero_2_NT_Loop34_TestCase3, YES, 1753)
(FSE_Bitvector_Mode_Adding_Subtracting_Zero_2_NT_Loop34_TestCase1, YES, 1761)
(FSE_Bitvector_Mode_Adding_Subtracting_Zero_2_NT_Loop34_TestCase10, NO, 1742)</t>
  </si>
  <si>
    <t>(FSE_Bitvector_Mode_Adding_Subtracting_Zero_2_NT_Loop0_TestCase7, NO, 1723)
(FSE_Bitvector_Mode_Adding_Subtracting_Zero_2_NT_Loop0_TestCase6, NO, 1710)
(FSE_Bitvector_Mode_Adding_Subtracting_Zero_2_NT_Loop0_TestCase4, YES, 1772)
(FSE_Bitvector_Mode_Adding_Subtracting_Zero_2_NT_Loop0_TestCase5, YES, 1745)
(FSE_Bitvector_Mode_Adding_Subtracting_Zero_2_NT_Loop0_TestCase10, NO, 1743)
(FSE_Bitvector_Mode_Adding_Subtracting_Zero_2_NT_Loop0_TestCase1, YES, 1784)
(FSE_Bitvector_Mode_Adding_Subtracting_Zero_2_NT_Loop0_TestCase2, YES, 1712)
(FSE_Bitvector_Mode_Adding_Subtracting_Zero_2_NT_Loop0_TestCase3, YES, 1734)
(FSE_Bitvector_Mode_Adding_Subtracting_Zero_2_NT_Loop0_TestCase8, NO, 1718)
(FSE_Bitvector_Mode_Adding_Subtracting_Zero_2_NT_Loop0_TestCase9, NO, 1808)</t>
  </si>
  <si>
    <t>(FSE_Bitvector_Mode_Adding_Subtracting_Zero_2_NT_Loop34_TestCase0, NO, 50185)</t>
  </si>
  <si>
    <t>(FSE_Bitvector_Mode_Adding_Subtracting_Zero_2_NT_Loop0_TestCase0, NO, 65646)</t>
  </si>
  <si>
    <t>(FSE_Bitvector_Mode_Adding_Subtracting_Zero_1_T_Loop17_TestCase7, YES, 1707)
(FSE_Bitvector_Mode_Adding_Subtracting_Zero_1_T_Loop17_TestCase6, YES, 1745)
(FSE_Bitvector_Mode_Adding_Subtracting_Zero_1_T_Loop17_TestCase4, YES, 1973)
(FSE_Bitvector_Mode_Adding_Subtracting_Zero_1_T_Loop17_TestCase5, YES, 1807)
(FSE_Bitvector_Mode_Adding_Subtracting_Zero_1_T_Loop17_TestCase1, YES, 1753)
(FSE_Bitvector_Mode_Adding_Subtracting_Zero_1_T_Loop17_TestCase2, YES, 1723)
(FSE_Bitvector_Mode_Adding_Subtracting_Zero_1_T_Loop17_TestCase3, YES, 1752)
(FSE_Bitvector_Mode_Adding_Subtracting_Zero_1_T_Loop17_TestCase10, YES, 1737)
(FSE_Bitvector_Mode_Adding_Subtracting_Zero_1_T_Loop17_TestCase8, YES, 1747)
(FSE_Bitvector_Mode_Adding_Subtracting_Zero_1_T_Loop17_TestCase9, YES, 1737)</t>
  </si>
  <si>
    <t>(FSE_Bitvector_Mode_Adding_Subtracting_Zero_1_T_Loop0_TestCase7, YES, 1713)
(FSE_Bitvector_Mode_Adding_Subtracting_Zero_1_T_Loop0_TestCase6, YES, 1694)
(FSE_Bitvector_Mode_Adding_Subtracting_Zero_1_T_Loop0_TestCase4, YES, 1696)
(FSE_Bitvector_Mode_Adding_Subtracting_Zero_1_T_Loop0_TestCase5, YES, 1794)
(FSE_Bitvector_Mode_Adding_Subtracting_Zero_1_T_Loop0_TestCase1, YES, 1687)
(FSE_Bitvector_Mode_Adding_Subtracting_Zero_1_T_Loop0_TestCase2, YES, 1674)
(FSE_Bitvector_Mode_Adding_Subtracting_Zero_1_T_Loop0_TestCase3, YES, 1676)
(FSE_Bitvector_Mode_Adding_Subtracting_Zero_1_T_Loop0_TestCase10, YES, 1676)
(FSE_Bitvector_Mode_Adding_Subtracting_Zero_1_T_Loop0_TestCase8, YES, 1677)
(FSE_Bitvector_Mode_Adding_Subtracting_Zero_1_T_Loop0_TestCase9, YES, 1682)</t>
  </si>
  <si>
    <t>(FSE_Bitvector_Mode_Adding_Subtracting_Zero_1_T_Loop17_TestCase0, YES, 1894)</t>
  </si>
  <si>
    <t>(FSE_Bitvector_Mode_Adding_Subtracting_Zero_1_T_Loop0_TestCase0, YES, 1935)</t>
  </si>
  <si>
    <t>(FSE_Bitvector_Mode_Adding_Subtracting_Zero_1_NT_Loop17_TestCase8, NO, 1664)
(FSE_Bitvector_Mode_Adding_Subtracting_Zero_1_NT_Loop17_TestCase9, NO, 1707)
(FSE_Bitvector_Mode_Adding_Subtracting_Zero_1_NT_Loop17_TestCase1, YES, 1937)
(FSE_Bitvector_Mode_Adding_Subtracting_Zero_1_NT_Loop17_TestCase10, NO, 1759)
(FSE_Bitvector_Mode_Adding_Subtracting_Zero_1_NT_Loop17_TestCase2, YES, 1743)
(FSE_Bitvector_Mode_Adding_Subtracting_Zero_1_NT_Loop17_TestCase3, YES, 1710)
(FSE_Bitvector_Mode_Adding_Subtracting_Zero_1_NT_Loop17_TestCase7, NO, 1736)
(FSE_Bitvector_Mode_Adding_Subtracting_Zero_1_NT_Loop17_TestCase6, NO, 1726)
(FSE_Bitvector_Mode_Adding_Subtracting_Zero_1_NT_Loop17_TestCase4, YES, 1709)
(FSE_Bitvector_Mode_Adding_Subtracting_Zero_1_NT_Loop17_TestCase5, YES, 1870)</t>
  </si>
  <si>
    <t>(FSE_Bitvector_Mode_Adding_Subtracting_Zero_1_NT_Loop0_TestCase2, YES, 1692)
(FSE_Bitvector_Mode_Adding_Subtracting_Zero_1_NT_Loop0_TestCase3, YES, 1711)
(FSE_Bitvector_Mode_Adding_Subtracting_Zero_1_NT_Loop0_TestCase1, YES, 1679)
(FSE_Bitvector_Mode_Adding_Subtracting_Zero_1_NT_Loop0_TestCase4, YES, 1672)
(FSE_Bitvector_Mode_Adding_Subtracting_Zero_1_NT_Loop0_TestCase5, YES, 1799)
(FSE_Bitvector_Mode_Adding_Subtracting_Zero_1_NT_Loop0_TestCase7, NO, 1686)
(FSE_Bitvector_Mode_Adding_Subtracting_Zero_1_NT_Loop0_TestCase6, NO, 2021)
(FSE_Bitvector_Mode_Adding_Subtracting_Zero_1_NT_Loop0_TestCase10, NO, 1712)
(FSE_Bitvector_Mode_Adding_Subtracting_Zero_1_NT_Loop0_TestCase8, NO, 1734)
(FSE_Bitvector_Mode_Adding_Subtracting_Zero_1_NT_Loop0_TestCase9, NO, 1714)</t>
  </si>
  <si>
    <t>(FSE_Bitvector_Mode_Adding_Subtracting_Zero_1_NT_Loop17_TestCase0, NO, 1969)</t>
  </si>
  <si>
    <t>(FSE_Bitvector_Mode_Adding_Subtracting_Zero_1_NT_Loop0_TestCase0, NO, 4937)</t>
  </si>
  <si>
    <t>29/30</t>
  </si>
  <si>
    <t>(FSE_Modulo_Arithmetic_Mode_Using_Erroneous_Condition_3_T_Loop17_TestCase1, YES, 3868)
(FSE_Modulo_Arithmetic_Mode_Using_Erroneous_Condition_3_T_Loop17_TestCase3, YES, 3921)
(FSE_Modulo_Arithmetic_Mode_Using_Erroneous_Condition_3_T_Loop17_TestCase2, YES, 3806)
(FSE_Modulo_Arithmetic_Mode_Using_Erroneous_Condition_3_T_Loop17_TestCase6, YES, 3912)
(FSE_Modulo_Arithmetic_Mode_Using_Erroneous_Condition_3_T_Loop17_TestCase7, YES, 3882)
(FSE_Modulo_Arithmetic_Mode_Using_Erroneous_Condition_3_T_Loop17_TestCase5, YES, 6505)
(FSE_Modulo_Arithmetic_Mode_Using_Erroneous_Condition_3_T_Loop17_TestCase4, YES, 3880)
(FSE_Modulo_Arithmetic_Mode_Using_Erroneous_Condition_3_T_Loop24_TestCase10, YES, 198071)
(FSE_Modulo_Arithmetic_Mode_Using_Erroneous_Condition_3_T_Loop27_TestCase1, YES, 18432)
(FSE_Modulo_Arithmetic_Mode_Using_Erroneous_Condition_3_T_Loop24_TestCase4, YES, 21367)
(FSE_Modulo_Arithmetic_Mode_Using_Erroneous_Condition_3_T_Loop24_TestCase5, YES, 189210)
(FSE_Modulo_Arithmetic_Mode_Using_Erroneous_Condition_3_T_Loop27_TestCase2, YES, 7034)
(FSE_Modulo_Arithmetic_Mode_Using_Erroneous_Condition_3_T_Loop24_TestCase7, YES, 18587)
(FSE_Modulo_Arithmetic_Mode_Using_Erroneous_Condition_3_T_Loop24_TestCase6, YES, 221456)
(FSE_Modulo_Arithmetic_Mode_Using_Erroneous_Condition_3_T_Loop27_TestCase3, YES, 3919)
(FSE_Modulo_Arithmetic_Mode_Using_Erroneous_Condition_3_T_Loop27_TestCase7, YES, 18235)
(FSE_Modulo_Arithmetic_Mode_Using_Erroneous_Condition_3_T_Loop24_TestCase2, YES, 3951)
(FSE_Modulo_Arithmetic_Mode_Using_Erroneous_Condition_3_T_Loop24_TestCase3, YES, 3930)
(FSE_Modulo_Arithmetic_Mode_Using_Erroneous_Condition_3_T_Loop27_TestCase6, YES, 175665)
(FSE_Modulo_Arithmetic_Mode_Using_Erroneous_Condition_3_T_Loop27_TestCase10, TIMEOUT, 302513)
(FSE_Modulo_Arithmetic_Mode_Using_Erroneous_Condition_3_T_Loop27_TestCase4, YES, 18250)
(FSE_Modulo_Arithmetic_Mode_Using_Erroneous_Condition_3_T_Loop24_TestCase1, YES, 20444)
(FSE_Modulo_Arithmetic_Mode_Using_Erroneous_Condition_3_T_Loop27_TestCase5, YES, 249895)
(FSE_Modulo_Arithmetic_Mode_Using_Erroneous_Condition_3_T_Loop27_TestCase8, YES, 18798)
(FSE_Modulo_Arithmetic_Mode_Using_Erroneous_Condition_3_T_Loop27_TestCase9, YES, 17702)
(FSE_Modulo_Arithmetic_Mode_Using_Erroneous_Condition_3_T_Loop24_TestCase8, YES, 18470)
(FSE_Modulo_Arithmetic_Mode_Using_Erroneous_Condition_3_T_Loop24_TestCase9, YES, 18133)
(FSE_Modulo_Arithmetic_Mode_Using_Erroneous_Condition_3_T_Loop17_TestCase9, YES, 3835)
(FSE_Modulo_Arithmetic_Mode_Using_Erroneous_Condition_3_T_Loop17_TestCase8, YES, 3828)
(FSE_Modulo_Arithmetic_Mode_Using_Erroneous_Condition_3_T_Loop17_TestCase10, YES, 3840)</t>
  </si>
  <si>
    <t>(FSE_Modulo_Arithmetic_Mode_Using_Erroneous_Condition_3_T_Loop0_TestCase8, YES, 17957)
(FSE_Modulo_Arithmetic_Mode_Using_Erroneous_Condition_3_T_Loop0_TestCase9, YES, 18090)
(FSE_Modulo_Arithmetic_Mode_Using_Erroneous_Condition_3_T_Loop0_TestCase4, YES, 18402)
(FSE_Modulo_Arithmetic_Mode_Using_Erroneous_Condition_3_T_Loop0_TestCase5, YES, 205869)
(FSE_Modulo_Arithmetic_Mode_Using_Erroneous_Condition_3_T_Loop0_TestCase7, YES, 18152)
(FSE_Modulo_Arithmetic_Mode_Using_Erroneous_Condition_3_T_Loop0_TestCase10, YES, 257938)
(FSE_Modulo_Arithmetic_Mode_Using_Erroneous_Condition_3_T_Loop0_TestCase6, YES, 99093)
(FSE_Modulo_Arithmetic_Mode_Using_Erroneous_Condition_3_T_Loop0_TestCase2, YES, 3876)
(FSE_Modulo_Arithmetic_Mode_Using_Erroneous_Condition_3_T_Loop0_TestCase3, YES, 3902)
(FSE_Modulo_Arithmetic_Mode_Using_Erroneous_Condition_3_T_Loop0_TestCase1, YES, 18146)</t>
  </si>
  <si>
    <t>(FSE_Modulo_Arithmetic_Mode_Using_Erroneous_Condition_3_T_Loop17_TestCase0, YES, 3938)
(FSE_Modulo_Arithmetic_Mode_Using_Erroneous_Condition_3_T_Loop27_TestCase0, TIMEOUT, 302628)
(FSE_Modulo_Arithmetic_Mode_Using_Erroneous_Condition_3_T_Loop24_TestCase0, TIMEOUT, 302486)</t>
  </si>
  <si>
    <t>(FSE_Modulo_Arithmetic_Mode_Using_Erroneous_Condition_3_T_Loop0_TestCase0, TIMEOUT, 302352)</t>
  </si>
  <si>
    <t>10/30</t>
  </si>
  <si>
    <t>(FSE_Modulo_Arithmetic_Mode_Using_Erroneous_Condition_3_NT_Loop27_TestCase9, TIMEOUT, 301957)
(FSE_Modulo_Arithmetic_Mode_Using_Erroneous_Condition_3_NT_Loop17_TestCase10, YES, 3810)
(FSE_Modulo_Arithmetic_Mode_Using_Erroneous_Condition_3_NT_Loop27_TestCase8, TIMEOUT, 301933)
(FSE_Modulo_Arithmetic_Mode_Using_Erroneous_Condition_3_NT_Loop24_TestCase9, TIMEOUT, 301898)
(FSE_Modulo_Arithmetic_Mode_Using_Erroneous_Condition_3_NT_Loop24_TestCase8, TIMEOUT, 301976)
(FSE_Modulo_Arithmetic_Mode_Using_Erroneous_Condition_3_NT_Loop17_TestCase8, YES, 3788)
(FSE_Modulo_Arithmetic_Mode_Using_Erroneous_Condition_3_NT_Loop17_TestCase9, YES, 3889)
(FSE_Modulo_Arithmetic_Mode_Using_Erroneous_Condition_3_NT_Loop17_TestCase1, YES, 3852)
(FSE_Modulo_Arithmetic_Mode_Using_Erroneous_Condition_3_NT_Loop17_TestCase2, YES, 3881)
(FSE_Modulo_Arithmetic_Mode_Using_Erroneous_Condition_3_NT_Loop17_TestCase3, YES, 3830)
(FSE_Modulo_Arithmetic_Mode_Using_Erroneous_Condition_3_NT_Loop17_TestCase7, YES, 5478)
(FSE_Modulo_Arithmetic_Mode_Using_Erroneous_Condition_3_NT_Loop27_TestCase10, TIMEOUT, 301903)
(FSE_Modulo_Arithmetic_Mode_Using_Erroneous_Condition_3_NT_Loop17_TestCase6, YES, 3859)
(FSE_Modulo_Arithmetic_Mode_Using_Erroneous_Condition_3_NT_Loop17_TestCase4, YES, 3918)
(FSE_Modulo_Arithmetic_Mode_Using_Erroneous_Condition_3_NT_Loop17_TestCase5, YES, 3899)
(FSE_Modulo_Arithmetic_Mode_Using_Erroneous_Condition_3_NT_Loop24_TestCase5, TIMEOUT, 302196)
(FSE_Modulo_Arithmetic_Mode_Using_Erroneous_Condition_3_NT_Loop27_TestCase1, TIMEOUT, 301924)
(FSE_Modulo_Arithmetic_Mode_Using_Erroneous_Condition_3_NT_Loop24_TestCase4, TIMEOUT, 301892)
(FSE_Modulo_Arithmetic_Mode_Using_Erroneous_Condition_3_NT_Loop24_TestCase6, TIMEOUT, 301973)
(FSE_Modulo_Arithmetic_Mode_Using_Erroneous_Condition_3_NT_Loop27_TestCase3, TIMEOUT, 301996)
(FSE_Modulo_Arithmetic_Mode_Using_Erroneous_Condition_3_NT_Loop27_TestCase2, TIMEOUT, 301916)
(FSE_Modulo_Arithmetic_Mode_Using_Erroneous_Condition_3_NT_Loop24_TestCase7, TIMEOUT, 302919)
(FSE_Modulo_Arithmetic_Mode_Using_Erroneous_Condition_3_NT_Loop24_TestCase3, TIMEOUT, 301874)
(FSE_Modulo_Arithmetic_Mode_Using_Erroneous_Condition_3_NT_Loop27_TestCase6, TIMEOUT, 301857)
(FSE_Modulo_Arithmetic_Mode_Using_Erroneous_Condition_3_NT_Loop24_TestCase10, TIMEOUT, 301910)
(FSE_Modulo_Arithmetic_Mode_Using_Erroneous_Condition_3_NT_Loop27_TestCase7, TIMEOUT, 301849)
(FSE_Modulo_Arithmetic_Mode_Using_Erroneous_Condition_3_NT_Loop24_TestCase2, TIMEOUT, 302213)
(FSE_Modulo_Arithmetic_Mode_Using_Erroneous_Condition_3_NT_Loop27_TestCase5, TIMEOUT, 302080)
(FSE_Modulo_Arithmetic_Mode_Using_Erroneous_Condition_3_NT_Loop27_TestCase4, TIMEOUT, 301892)
(FSE_Modulo_Arithmetic_Mode_Using_Erroneous_Condition_3_NT_Loop24_TestCase1, TIMEOUT, 301989)</t>
  </si>
  <si>
    <t>(FSE_Modulo_Arithmetic_Mode_Using_Erroneous_Condition_3_NT_Loop0_TestCase5, TIMEOUT, 301859)
(FSE_Modulo_Arithmetic_Mode_Using_Erroneous_Condition_3_NT_Loop0_TestCase4, TIMEOUT, 301854)
(FSE_Modulo_Arithmetic_Mode_Using_Erroneous_Condition_3_NT_Loop0_TestCase10, TIMEOUT, 301812)
(FSE_Modulo_Arithmetic_Mode_Using_Erroneous_Condition_3_NT_Loop0_TestCase6, TIMEOUT, 301838)
(FSE_Modulo_Arithmetic_Mode_Using_Erroneous_Condition_3_NT_Loop0_TestCase7, TIMEOUT, 301869)
(FSE_Modulo_Arithmetic_Mode_Using_Erroneous_Condition_3_NT_Loop0_TestCase3, TIMEOUT, 301776)
(FSE_Modulo_Arithmetic_Mode_Using_Erroneous_Condition_3_NT_Loop0_TestCase2, TIMEOUT, 301847)
(FSE_Modulo_Arithmetic_Mode_Using_Erroneous_Condition_3_NT_Loop0_TestCase1, TIMEOUT, 301799)
(FSE_Modulo_Arithmetic_Mode_Using_Erroneous_Condition_3_NT_Loop0_TestCase9, TIMEOUT, 301825)
(FSE_Modulo_Arithmetic_Mode_Using_Erroneous_Condition_3_NT_Loop0_TestCase8, TIMEOUT, 301861)</t>
  </si>
  <si>
    <t>(FSE_Modulo_Arithmetic_Mode_Using_Erroneous_Condition_3_NT_Loop17_TestCase0, YES, 3890)
(FSE_Modulo_Arithmetic_Mode_Using_Erroneous_Condition_3_NT_Loop27_TestCase0, TIMEOUT, 302127)
(FSE_Modulo_Arithmetic_Mode_Using_Erroneous_Condition_3_NT_Loop24_TestCase0, TIMEOUT, 301912)</t>
  </si>
  <si>
    <t>(FSE_Modulo_Arithmetic_Mode_Using_Erroneous_Condition_3_NT_Loop0_TestCase0, TIMEOUT, 301935)</t>
  </si>
  <si>
    <t>(FSE_Modulo_Arithmetic_Mode_Using_Erroneous_Condition_2_T_Loop15_TestCase10, YES, 6027)
(FSE_Modulo_Arithmetic_Mode_Using_Erroneous_Condition_2_T_Loop15_TestCase9, YES, 3774)
(FSE_Modulo_Arithmetic_Mode_Using_Erroneous_Condition_2_T_Loop15_TestCase8, YES, 3788)
(FSE_Modulo_Arithmetic_Mode_Using_Erroneous_Condition_2_T_Loop15_TestCase6, YES, 3793)
(FSE_Modulo_Arithmetic_Mode_Using_Erroneous_Condition_2_T_Loop15_TestCase7, YES, 2810)
(FSE_Modulo_Arithmetic_Mode_Using_Erroneous_Condition_2_T_Loop15_TestCase5, YES, 1744)
(FSE_Modulo_Arithmetic_Mode_Using_Erroneous_Condition_2_T_Loop15_TestCase4, YES, 1783)
(FSE_Modulo_Arithmetic_Mode_Using_Erroneous_Condition_2_T_Loop15_TestCase1, YES, 2763)
(FSE_Modulo_Arithmetic_Mode_Using_Erroneous_Condition_2_T_Loop15_TestCase3, YES, 1843)
(FSE_Modulo_Arithmetic_Mode_Using_Erroneous_Condition_2_T_Loop15_TestCase2, YES, 1780)</t>
  </si>
  <si>
    <t>(FSE_Modulo_Arithmetic_Mode_Using_Erroneous_Condition_2_T_Loop0_TestCase7, YES, 1762)
(FSE_Modulo_Arithmetic_Mode_Using_Erroneous_Condition_2_T_Loop0_TestCase6, YES, 3794)
(FSE_Modulo_Arithmetic_Mode_Using_Erroneous_Condition_2_T_Loop0_TestCase4, YES, 1714)
(FSE_Modulo_Arithmetic_Mode_Using_Erroneous_Condition_2_T_Loop0_TestCase5, YES, 1736)
(FSE_Modulo_Arithmetic_Mode_Using_Erroneous_Condition_2_T_Loop0_TestCase1, YES, 3772)
(FSE_Modulo_Arithmetic_Mode_Using_Erroneous_Condition_2_T_Loop0_TestCase2, YES, 1723)
(FSE_Modulo_Arithmetic_Mode_Using_Erroneous_Condition_2_T_Loop0_TestCase3, YES, 1751)
(FSE_Modulo_Arithmetic_Mode_Using_Erroneous_Condition_2_T_Loop0_TestCase10, YES, 3776)
(FSE_Modulo_Arithmetic_Mode_Using_Erroneous_Condition_2_T_Loop0_TestCase8, YES, 3753)
(FSE_Modulo_Arithmetic_Mode_Using_Erroneous_Condition_2_T_Loop0_TestCase9, YES, 3753)</t>
  </si>
  <si>
    <t>(FSE_Modulo_Arithmetic_Mode_Using_Erroneous_Condition_2_T_Loop15_TestCase0, YES, 3833)</t>
  </si>
  <si>
    <t>(FSE_Modulo_Arithmetic_Mode_Using_Erroneous_Condition_2_T_Loop0_TestCase0, YES, 3806)</t>
  </si>
  <si>
    <t>(FSE_Modulo_Arithmetic_Mode_Using_Erroneous_Condition_2_NT_Loop16_TestCase8, NO, 1708)
(FSE_Modulo_Arithmetic_Mode_Using_Erroneous_Condition_2_NT_Loop16_TestCase9, NO, 1725)
(FSE_Modulo_Arithmetic_Mode_Using_Erroneous_Condition_2_NT_Loop16_TestCase10, NO, 1730)
(FSE_Modulo_Arithmetic_Mode_Using_Erroneous_Condition_2_NT_Loop16_TestCase2, YES, 1710)
(FSE_Modulo_Arithmetic_Mode_Using_Erroneous_Condition_2_NT_Loop16_TestCase3, YES, 1708)
(FSE_Modulo_Arithmetic_Mode_Using_Erroneous_Condition_2_NT_Loop16_TestCase1, YES, 1800)
(FSE_Modulo_Arithmetic_Mode_Using_Erroneous_Condition_2_NT_Loop16_TestCase4, YES, 1725)
(FSE_Modulo_Arithmetic_Mode_Using_Erroneous_Condition_2_NT_Loop16_TestCase5, YES, 1742)
(FSE_Modulo_Arithmetic_Mode_Using_Erroneous_Condition_2_NT_Loop16_TestCase7, NO, 1744)
(FSE_Modulo_Arithmetic_Mode_Using_Erroneous_Condition_2_NT_Loop16_TestCase6, NO, 1734)</t>
  </si>
  <si>
    <t>(FSE_Modulo_Arithmetic_Mode_Using_Erroneous_Condition_2_NT_Loop0_TestCase1, YES, 1733)
(FSE_Modulo_Arithmetic_Mode_Using_Erroneous_Condition_2_NT_Loop0_TestCase2, YES, 1750)
(FSE_Modulo_Arithmetic_Mode_Using_Erroneous_Condition_2_NT_Loop0_TestCase3, YES, 1733)
(FSE_Modulo_Arithmetic_Mode_Using_Erroneous_Condition_2_NT_Loop0_TestCase7, NO, 2837)
(FSE_Modulo_Arithmetic_Mode_Using_Erroneous_Condition_2_NT_Loop0_TestCase6, NO, 2738)
(FSE_Modulo_Arithmetic_Mode_Using_Erroneous_Condition_2_NT_Loop0_TestCase4, YES, 1750)
(FSE_Modulo_Arithmetic_Mode_Using_Erroneous_Condition_2_NT_Loop0_TestCase5, YES, 1735)
(FSE_Modulo_Arithmetic_Mode_Using_Erroneous_Condition_2_NT_Loop0_TestCase8, NO, 2813)
(FSE_Modulo_Arithmetic_Mode_Using_Erroneous_Condition_2_NT_Loop0_TestCase9, NO, 2730)
(FSE_Modulo_Arithmetic_Mode_Using_Erroneous_Condition_2_NT_Loop0_TestCase10, NO, 2756)</t>
  </si>
  <si>
    <t>(FSE_Modulo_Arithmetic_Mode_Using_Erroneous_Condition_2_NT_Loop16_TestCase0, NO, 1889)</t>
  </si>
  <si>
    <t>(FSE_Modulo_Arithmetic_Mode_Using_Erroneous_Condition_2_NT_Loop0_TestCase0, NO, 3873)</t>
  </si>
  <si>
    <t>(FSE_Modulo_Arithmetic_Mode_Using_Erroneous_Condition_1_T_Loop39_TestCase1, YES, 29476)
(FSE_Modulo_Arithmetic_Mode_Using_Erroneous_Condition_1_T_Loop39_TestCase2, TIMEOUT, 303864)
(FSE_Modulo_Arithmetic_Mode_Using_Erroneous_Condition_1_T_Loop39_TestCase3, TIMEOUT, 302377)
(FSE_Modulo_Arithmetic_Mode_Using_Erroneous_Condition_1_T_Loop39_TestCase7, YES, 2001)
(FSE_Modulo_Arithmetic_Mode_Using_Erroneous_Condition_1_T_Loop39_TestCase6, YES, 52047)
(FSE_Modulo_Arithmetic_Mode_Using_Erroneous_Condition_1_T_Loop39_TestCase4, TIMEOUT, 303195)
(FSE_Modulo_Arithmetic_Mode_Using_Erroneous_Condition_1_T_Loop39_TestCase5, TIMEOUT, 302350)
(FSE_Modulo_Arithmetic_Mode_Using_Erroneous_Condition_1_T_Loop39_TestCase8, YES, 46484)
(FSE_Modulo_Arithmetic_Mode_Using_Erroneous_Condition_1_T_Loop39_TestCase9, YES, 1961)
(FSE_Modulo_Arithmetic_Mode_Using_Erroneous_Condition_1_T_Loop39_TestCase10, YES, 170633)</t>
  </si>
  <si>
    <t>(FSE_Modulo_Arithmetic_Mode_Using_Erroneous_Condition_1_T_Loop0_TestCase9, YES, 1995)
(FSE_Modulo_Arithmetic_Mode_Using_Erroneous_Condition_1_T_Loop0_TestCase8, YES, 43723)
(FSE_Modulo_Arithmetic_Mode_Using_Erroneous_Condition_1_T_Loop0_TestCase3, TIMEOUT, 302000)
(FSE_Modulo_Arithmetic_Mode_Using_Erroneous_Condition_1_T_Loop0_TestCase2, YES, 203861)
(FSE_Modulo_Arithmetic_Mode_Using_Erroneous_Condition_1_T_Loop0_TestCase1, YES, 29268)
(FSE_Modulo_Arithmetic_Mode_Using_Erroneous_Condition_1_T_Loop0_TestCase5, TIMEOUT, 302180)
(FSE_Modulo_Arithmetic_Mode_Using_Erroneous_Condition_1_T_Loop0_TestCase4, TIMEOUT, 303002)
(FSE_Modulo_Arithmetic_Mode_Using_Erroneous_Condition_1_T_Loop0_TestCase6, YES, 47479)
(FSE_Modulo_Arithmetic_Mode_Using_Erroneous_Condition_1_T_Loop0_TestCase7, YES, 1971)
(FSE_Modulo_Arithmetic_Mode_Using_Erroneous_Condition_1_T_Loop0_TestCase10, YES, 90583)</t>
  </si>
  <si>
    <t>(FSE_Modulo_Arithmetic_Mode_Using_Erroneous_Condition_1_T_Loop39_TestCase0, ERROR, 174755)</t>
  </si>
  <si>
    <t>(FSE_Modulo_Arithmetic_Mode_Using_Erroneous_Condition_1_T_Loop0_TestCase0, ERROR, 217521)</t>
  </si>
  <si>
    <t>(FSE_Modulo_Arithmetic_Mode_Using_Erroneous_Condition_1_NT_Loop39_TestCase10, TIMEOUT, 301969)
(FSE_Modulo_Arithmetic_Mode_Using_Erroneous_Condition_1_NT_Loop39_TestCase1, YES, 17009)
(FSE_Modulo_Arithmetic_Mode_Using_Erroneous_Condition_1_NT_Loop39_TestCase3, YES, 298762)
(FSE_Modulo_Arithmetic_Mode_Using_Erroneous_Condition_1_NT_Loop39_TestCase2, TIMEOUT, 301963)
(FSE_Modulo_Arithmetic_Mode_Using_Erroneous_Condition_1_NT_Loop39_TestCase6, TIMEOUT, 302080)
(FSE_Modulo_Arithmetic_Mode_Using_Erroneous_Condition_1_NT_Loop39_TestCase7, TIMEOUT, 301929)
(FSE_Modulo_Arithmetic_Mode_Using_Erroneous_Condition_1_NT_Loop39_TestCase5, TIMEOUT, 302514)
(FSE_Modulo_Arithmetic_Mode_Using_Erroneous_Condition_1_NT_Loop39_TestCase4, YES, 174047)
(FSE_Modulo_Arithmetic_Mode_Using_Erroneous_Condition_1_NT_Loop39_TestCase9, TIMEOUT, 303947)
(FSE_Modulo_Arithmetic_Mode_Using_Erroneous_Condition_1_NT_Loop39_TestCase8, TIMEOUT, 302064)</t>
  </si>
  <si>
    <t>(FSE_Modulo_Arithmetic_Mode_Using_Erroneous_Condition_1_NT_Loop0_TestCase4, YES, 190916)
(FSE_Modulo_Arithmetic_Mode_Using_Erroneous_Condition_1_NT_Loop0_TestCase5, TIMEOUT, 302175)
(FSE_Modulo_Arithmetic_Mode_Using_Erroneous_Condition_1_NT_Loop0_TestCase7, TIMEOUT, 301978)
(FSE_Modulo_Arithmetic_Mode_Using_Erroneous_Condition_1_NT_Loop0_TestCase6, TIMEOUT, 301949)
(FSE_Modulo_Arithmetic_Mode_Using_Erroneous_Condition_1_NT_Loop0_TestCase2, YES, 153629)
(FSE_Modulo_Arithmetic_Mode_Using_Erroneous_Condition_1_NT_Loop0_TestCase3, TIMEOUT, 302122)
(FSE_Modulo_Arithmetic_Mode_Using_Erroneous_Condition_1_NT_Loop0_TestCase1, YES, 17103)
(FSE_Modulo_Arithmetic_Mode_Using_Erroneous_Condition_1_NT_Loop0_TestCase8, TIMEOUT, 301887)
(FSE_Modulo_Arithmetic_Mode_Using_Erroneous_Condition_1_NT_Loop0_TestCase9, TIMEOUT, 301885)
(FSE_Modulo_Arithmetic_Mode_Using_Erroneous_Condition_1_NT_Loop0_TestCase10, TIMEOUT, 301900)</t>
  </si>
  <si>
    <t>(FSE_Modulo_Arithmetic_Mode_Using_Erroneous_Condition_1_NT_Loop39_TestCase0, NO, 70436)</t>
  </si>
  <si>
    <t>(FSE_Modulo_Arithmetic_Mode_Using_Erroneous_Condition_1_NT_Loop0_TestCase0, TIMEOUT, 302909)</t>
  </si>
  <si>
    <t>(FSE_Modulo_Arithmetic_Mode_Unsigned_Wraparound_Error_4_T_Loop13_TestCase9, YES, 3820)
(FSE_Modulo_Arithmetic_Mode_Unsigned_Wraparound_Error_4_T_Loop13_TestCase8, YES, 3840)
(FSE_Modulo_Arithmetic_Mode_Unsigned_Wraparound_Error_4_T_Loop13_TestCase10, YES, 3829)
(FSE_Modulo_Arithmetic_Mode_Unsigned_Wraparound_Error_4_T_Loop13_TestCase3, YES, 3801)
(FSE_Modulo_Arithmetic_Mode_Unsigned_Wraparound_Error_4_T_Loop13_TestCase2, YES, 3831)
(FSE_Modulo_Arithmetic_Mode_Unsigned_Wraparound_Error_4_T_Loop13_TestCase1, YES, 3811)
(FSE_Modulo_Arithmetic_Mode_Unsigned_Wraparound_Error_4_T_Loop13_TestCase5, YES, 3912)
(FSE_Modulo_Arithmetic_Mode_Unsigned_Wraparound_Error_4_T_Loop13_TestCase4, YES, 6342)
(FSE_Modulo_Arithmetic_Mode_Unsigned_Wraparound_Error_4_T_Loop13_TestCase6, YES, 3829)
(FSE_Modulo_Arithmetic_Mode_Unsigned_Wraparound_Error_4_T_Loop13_TestCase7, YES, 3861)</t>
  </si>
  <si>
    <t>(FSE_Modulo_Arithmetic_Mode_Unsigned_Wraparound_Error_4_T_Loop0_TestCase6, YES, 3777)
(FSE_Modulo_Arithmetic_Mode_Unsigned_Wraparound_Error_4_T_Loop0_TestCase7, YES, 3791)
(FSE_Modulo_Arithmetic_Mode_Unsigned_Wraparound_Error_4_T_Loop0_TestCase5, YES, 3795)
(FSE_Modulo_Arithmetic_Mode_Unsigned_Wraparound_Error_4_T_Loop0_TestCase4, YES, 3777)
(FSE_Modulo_Arithmetic_Mode_Unsigned_Wraparound_Error_4_T_Loop0_TestCase1, YES, 3831)
(FSE_Modulo_Arithmetic_Mode_Unsigned_Wraparound_Error_4_T_Loop0_TestCase3, YES, 3854)
(FSE_Modulo_Arithmetic_Mode_Unsigned_Wraparound_Error_4_T_Loop0_TestCase2, YES, 3809)
(FSE_Modulo_Arithmetic_Mode_Unsigned_Wraparound_Error_4_T_Loop0_TestCase10, YES, 3842)
(FSE_Modulo_Arithmetic_Mode_Unsigned_Wraparound_Error_4_T_Loop0_TestCase9, YES, 3842)
(FSE_Modulo_Arithmetic_Mode_Unsigned_Wraparound_Error_4_T_Loop0_TestCase8, YES, 3783)</t>
  </si>
  <si>
    <t>(FSE_Modulo_Arithmetic_Mode_Unsigned_Wraparound_Error_4_T_Loop13_TestCase0, YES, 3874)</t>
  </si>
  <si>
    <t>(FSE_Modulo_Arithmetic_Mode_Unsigned_Wraparound_Error_4_T_Loop0_TestCase0, YES, 3864)</t>
  </si>
  <si>
    <t>(FSE_Modulo_Arithmetic_Mode_Unsigned_Wraparound_Error_4_NT_Loop15_TestCase8, TIMEOUT, 302171)
(FSE_Modulo_Arithmetic_Mode_Unsigned_Wraparound_Error_4_NT_Loop15_TestCase9, TIMEOUT, 302197)
(FSE_Modulo_Arithmetic_Mode_Unsigned_Wraparound_Error_4_NT_Loop15_TestCase10, TIMEOUT, 301707)
(FSE_Modulo_Arithmetic_Mode_Unsigned_Wraparound_Error_4_NT_Loop15_TestCase1, YES, 3870)
(FSE_Modulo_Arithmetic_Mode_Unsigned_Wraparound_Error_4_NT_Loop15_TestCase2, YES, 3849)
(FSE_Modulo_Arithmetic_Mode_Unsigned_Wraparound_Error_4_NT_Loop15_TestCase3, YES, 3872)
(FSE_Modulo_Arithmetic_Mode_Unsigned_Wraparound_Error_4_NT_Loop15_TestCase7, TIMEOUT, 301791)
(FSE_Modulo_Arithmetic_Mode_Unsigned_Wraparound_Error_4_NT_Loop15_TestCase6, TIMEOUT, 301721)
(FSE_Modulo_Arithmetic_Mode_Unsigned_Wraparound_Error_4_NT_Loop15_TestCase4, YES, 107519)
(FSE_Modulo_Arithmetic_Mode_Unsigned_Wraparound_Error_4_NT_Loop15_TestCase5, TIMEOUT, 302181)</t>
  </si>
  <si>
    <t>(FSE_Modulo_Arithmetic_Mode_Unsigned_Wraparound_Error_4_NT_Loop0_TestCase8, TIMEOUT, 301669)
(FSE_Modulo_Arithmetic_Mode_Unsigned_Wraparound_Error_4_NT_Loop0_TestCase9, TIMEOUT, 301886)
(FSE_Modulo_Arithmetic_Mode_Unsigned_Wraparound_Error_4_NT_Loop0_TestCase7, TIMEOUT, 301639)
(FSE_Modulo_Arithmetic_Mode_Unsigned_Wraparound_Error_4_NT_Loop0_TestCase10, TIMEOUT, 301664)
(FSE_Modulo_Arithmetic_Mode_Unsigned_Wraparound_Error_4_NT_Loop0_TestCase6, TIMEOUT, 301735)
(FSE_Modulo_Arithmetic_Mode_Unsigned_Wraparound_Error_4_NT_Loop0_TestCase4, YES, 105612)
(FSE_Modulo_Arithmetic_Mode_Unsigned_Wraparound_Error_4_NT_Loop0_TestCase5, TIMEOUT, 301894)
(FSE_Modulo_Arithmetic_Mode_Unsigned_Wraparound_Error_4_NT_Loop0_TestCase1, YES, 3829)
(FSE_Modulo_Arithmetic_Mode_Unsigned_Wraparound_Error_4_NT_Loop0_TestCase2, YES, 3834)
(FSE_Modulo_Arithmetic_Mode_Unsigned_Wraparound_Error_4_NT_Loop0_TestCase3, YES, 3890)</t>
  </si>
  <si>
    <t>(FSE_Modulo_Arithmetic_Mode_Unsigned_Wraparound_Error_4_NT_Loop15_TestCase0, TIMEOUT, 301700)</t>
  </si>
  <si>
    <t>(FSE_Modulo_Arithmetic_Mode_Unsigned_Wraparound_Error_4_NT_Loop0_TestCase0, TIMEOUT, 301740)</t>
  </si>
  <si>
    <t>(FSE_Modulo_Arithmetic_Mode_Unsigned_Wraparound_Error_3_T_Loop19_TestCase8, YES, 3827)
(FSE_Modulo_Arithmetic_Mode_Unsigned_Wraparound_Error_3_T_Loop19_TestCase10, YES, 3847)
(FSE_Modulo_Arithmetic_Mode_Unsigned_Wraparound_Error_3_T_Loop19_TestCase9, YES, 3828)
(FSE_Modulo_Arithmetic_Mode_Unsigned_Wraparound_Error_3_T_Loop19_TestCase4, YES, 3837)
(FSE_Modulo_Arithmetic_Mode_Unsigned_Wraparound_Error_3_T_Loop19_TestCase5, YES, 3830)
(FSE_Modulo_Arithmetic_Mode_Unsigned_Wraparound_Error_3_T_Loop19_TestCase7, YES, 3799)
(FSE_Modulo_Arithmetic_Mode_Unsigned_Wraparound_Error_3_T_Loop19_TestCase6, YES, 3882)
(FSE_Modulo_Arithmetic_Mode_Unsigned_Wraparound_Error_3_T_Loop19_TestCase2, YES, 3895)
(FSE_Modulo_Arithmetic_Mode_Unsigned_Wraparound_Error_3_T_Loop19_TestCase3, YES, 3807)
(FSE_Modulo_Arithmetic_Mode_Unsigned_Wraparound_Error_3_T_Loop19_TestCase1, YES, 3783)</t>
  </si>
  <si>
    <t>(FSE_Modulo_Arithmetic_Mode_Unsigned_Wraparound_Error_3_T_Loop0_TestCase8, YES, 3785)
(FSE_Modulo_Arithmetic_Mode_Unsigned_Wraparound_Error_3_T_Loop0_TestCase9, YES, 3827)
(FSE_Modulo_Arithmetic_Mode_Unsigned_Wraparound_Error_3_T_Loop0_TestCase10, YES, 3779)
(FSE_Modulo_Arithmetic_Mode_Unsigned_Wraparound_Error_3_T_Loop0_TestCase1, YES, 3784)
(FSE_Modulo_Arithmetic_Mode_Unsigned_Wraparound_Error_3_T_Loop0_TestCase2, YES, 3797)
(FSE_Modulo_Arithmetic_Mode_Unsigned_Wraparound_Error_3_T_Loop0_TestCase3, YES, 3772)
(FSE_Modulo_Arithmetic_Mode_Unsigned_Wraparound_Error_3_T_Loop0_TestCase7, YES, 3823)
(FSE_Modulo_Arithmetic_Mode_Unsigned_Wraparound_Error_3_T_Loop0_TestCase6, YES, 3810)
(FSE_Modulo_Arithmetic_Mode_Unsigned_Wraparound_Error_3_T_Loop0_TestCase4, YES, 3825)
(FSE_Modulo_Arithmetic_Mode_Unsigned_Wraparound_Error_3_T_Loop0_TestCase5, YES, 3784)</t>
  </si>
  <si>
    <t>(FSE_Modulo_Arithmetic_Mode_Unsigned_Wraparound_Error_3_T_Loop19_TestCase0, YES, 16058)</t>
  </si>
  <si>
    <t>(FSE_Modulo_Arithmetic_Mode_Unsigned_Wraparound_Error_3_T_Loop0_TestCase0, YES, 16137)</t>
  </si>
  <si>
    <t>(FSE_Modulo_Arithmetic_Mode_Unsigned_Wraparound_Error_3_NT_Loop20_TestCase10, TIMEOUT, 302175)
(FSE_Modulo_Arithmetic_Mode_Unsigned_Wraparound_Error_3_NT_Loop20_TestCase4, YES, 3857)
(FSE_Modulo_Arithmetic_Mode_Unsigned_Wraparound_Error_3_NT_Loop20_TestCase5, YES, 3836)
(FSE_Modulo_Arithmetic_Mode_Unsigned_Wraparound_Error_3_NT_Loop20_TestCase7, TIMEOUT, 302215)
(FSE_Modulo_Arithmetic_Mode_Unsigned_Wraparound_Error_3_NT_Loop20_TestCase6, NO, 139072)
(FSE_Modulo_Arithmetic_Mode_Unsigned_Wraparound_Error_3_NT_Loop20_TestCase2, YES, 3897)
(FSE_Modulo_Arithmetic_Mode_Unsigned_Wraparound_Error_3_NT_Loop20_TestCase3, YES, 3868)
(FSE_Modulo_Arithmetic_Mode_Unsigned_Wraparound_Error_3_NT_Loop20_TestCase1, YES, 3842)
(FSE_Modulo_Arithmetic_Mode_Unsigned_Wraparound_Error_3_NT_Loop20_TestCase8, TIMEOUT, 302295)
(FSE_Modulo_Arithmetic_Mode_Unsigned_Wraparound_Error_3_NT_Loop20_TestCase9, TIMEOUT, 302209)</t>
  </si>
  <si>
    <t>(FSE_Modulo_Arithmetic_Mode_Unsigned_Wraparound_Error_3_NT_Loop0_TestCase8, TIMEOUT, 302062)
(FSE_Modulo_Arithmetic_Mode_Unsigned_Wraparound_Error_3_NT_Loop0_TestCase9, TIMEOUT, 301908)
(FSE_Modulo_Arithmetic_Mode_Unsigned_Wraparound_Error_3_NT_Loop0_TestCase10, TIMEOUT, 301931)
(FSE_Modulo_Arithmetic_Mode_Unsigned_Wraparound_Error_3_NT_Loop0_TestCase4, YES, 2859)
(FSE_Modulo_Arithmetic_Mode_Unsigned_Wraparound_Error_3_NT_Loop0_TestCase5, YES, 2772)
(FSE_Modulo_Arithmetic_Mode_Unsigned_Wraparound_Error_3_NT_Loop0_TestCase7, TIMEOUT, 301897)
(FSE_Modulo_Arithmetic_Mode_Unsigned_Wraparound_Error_3_NT_Loop0_TestCase6, NO, 144390)
(FSE_Modulo_Arithmetic_Mode_Unsigned_Wraparound_Error_3_NT_Loop0_TestCase2, YES, 3847)
(FSE_Modulo_Arithmetic_Mode_Unsigned_Wraparound_Error_3_NT_Loop0_TestCase3, YES, 2817)
(FSE_Modulo_Arithmetic_Mode_Unsigned_Wraparound_Error_3_NT_Loop0_TestCase1, YES, 3807)</t>
  </si>
  <si>
    <t>(FSE_Modulo_Arithmetic_Mode_Unsigned_Wraparound_Error_3_NT_Loop20_TestCase0, TIMEOUT, 301721)</t>
  </si>
  <si>
    <t>(FSE_Modulo_Arithmetic_Mode_Unsigned_Wraparound_Error_3_NT_Loop0_TestCase0, TIMEOUT, 301930)</t>
  </si>
  <si>
    <t>(FSE_Modulo_Arithmetic_Mode_Unsigned_Wraparound_Error_2_T_Loop18_TestCase7, YES, 3860)
(FSE_Modulo_Arithmetic_Mode_Unsigned_Wraparound_Error_2_T_Loop18_TestCase6, YES, 3825)
(FSE_Modulo_Arithmetic_Mode_Unsigned_Wraparound_Error_2_T_Loop18_TestCase4, YES, 3822)
(FSE_Modulo_Arithmetic_Mode_Unsigned_Wraparound_Error_2_T_Loop18_TestCase5, YES, 4217)
(FSE_Modulo_Arithmetic_Mode_Unsigned_Wraparound_Error_2_T_Loop18_TestCase1, YES, 3903)
(FSE_Modulo_Arithmetic_Mode_Unsigned_Wraparound_Error_2_T_Loop18_TestCase2, YES, 3796)
(FSE_Modulo_Arithmetic_Mode_Unsigned_Wraparound_Error_2_T_Loop18_TestCase3, YES, 3836)
(FSE_Modulo_Arithmetic_Mode_Unsigned_Wraparound_Error_2_T_Loop18_TestCase8, YES, 3807)
(FSE_Modulo_Arithmetic_Mode_Unsigned_Wraparound_Error_2_T_Loop18_TestCase9, YES, 3831)
(FSE_Modulo_Arithmetic_Mode_Unsigned_Wraparound_Error_2_T_Loop18_TestCase10, YES, 3900)</t>
  </si>
  <si>
    <t>(FSE_Modulo_Arithmetic_Mode_Unsigned_Wraparound_Error_2_T_Loop0_TestCase10, YES, 3833)
(FSE_Modulo_Arithmetic_Mode_Unsigned_Wraparound_Error_2_T_Loop0_TestCase2, YES, 3753)
(FSE_Modulo_Arithmetic_Mode_Unsigned_Wraparound_Error_2_T_Loop0_TestCase3, YES, 3765)
(FSE_Modulo_Arithmetic_Mode_Unsigned_Wraparound_Error_2_T_Loop0_TestCase1, YES, 3785)
(FSE_Modulo_Arithmetic_Mode_Unsigned_Wraparound_Error_2_T_Loop0_TestCase4, YES, 3818)
(FSE_Modulo_Arithmetic_Mode_Unsigned_Wraparound_Error_2_T_Loop0_TestCase5, YES, 3843)
(FSE_Modulo_Arithmetic_Mode_Unsigned_Wraparound_Error_2_T_Loop0_TestCase7, YES, 3788)
(FSE_Modulo_Arithmetic_Mode_Unsigned_Wraparound_Error_2_T_Loop0_TestCase6, YES, 3769)
(FSE_Modulo_Arithmetic_Mode_Unsigned_Wraparound_Error_2_T_Loop0_TestCase8, YES, 3798)
(FSE_Modulo_Arithmetic_Mode_Unsigned_Wraparound_Error_2_T_Loop0_TestCase9, YES, 3753)</t>
  </si>
  <si>
    <t>(FSE_Modulo_Arithmetic_Mode_Unsigned_Wraparound_Error_2_T_Loop18_TestCase0, YES, 3850)</t>
  </si>
  <si>
    <t>(FSE_Modulo_Arithmetic_Mode_Unsigned_Wraparound_Error_2_T_Loop0_TestCase0, YES, 3885)</t>
  </si>
  <si>
    <t>(FSE_Modulo_Arithmetic_Mode_Unsigned_Wraparound_Error_2_NT_Loop18_TestCase7, TIMEOUT, 301957)
(FSE_Modulo_Arithmetic_Mode_Unsigned_Wraparound_Error_2_NT_Loop18_TestCase6, NO, 4588)
(FSE_Modulo_Arithmetic_Mode_Unsigned_Wraparound_Error_2_NT_Loop18_TestCase4, YES, 3784)
(FSE_Modulo_Arithmetic_Mode_Unsigned_Wraparound_Error_2_NT_Loop18_TestCase5, YES, 3777)
(FSE_Modulo_Arithmetic_Mode_Unsigned_Wraparound_Error_2_NT_Loop18_TestCase1, YES, 2800)
(FSE_Modulo_Arithmetic_Mode_Unsigned_Wraparound_Error_2_NT_Loop18_TestCase2, YES, 3864)
(FSE_Modulo_Arithmetic_Mode_Unsigned_Wraparound_Error_2_NT_Loop18_TestCase3, YES, 3875)
(FSE_Modulo_Arithmetic_Mode_Unsigned_Wraparound_Error_2_NT_Loop18_TestCase8, NO, 142540)
(FSE_Modulo_Arithmetic_Mode_Unsigned_Wraparound_Error_2_NT_Loop18_TestCase9, NO, 110437)
(FSE_Modulo_Arithmetic_Mode_Unsigned_Wraparound_Error_2_NT_Loop18_TestCase10, NO, 3835)</t>
  </si>
  <si>
    <t>(FSE_Modulo_Arithmetic_Mode_Unsigned_Wraparound_Error_2_NT_Loop0_TestCase10, NO, 3774)
(FSE_Modulo_Arithmetic_Mode_Unsigned_Wraparound_Error_2_NT_Loop0_TestCase9, NO, 85734)
(FSE_Modulo_Arithmetic_Mode_Unsigned_Wraparound_Error_2_NT_Loop0_TestCase8, TIMEOUT, 301655)
(FSE_Modulo_Arithmetic_Mode_Unsigned_Wraparound_Error_2_NT_Loop0_TestCase1, YES, 2757)
(FSE_Modulo_Arithmetic_Mode_Unsigned_Wraparound_Error_2_NT_Loop0_TestCase3, YES, 3878)
(FSE_Modulo_Arithmetic_Mode_Unsigned_Wraparound_Error_2_NT_Loop0_TestCase2, YES, 3778)
(FSE_Modulo_Arithmetic_Mode_Unsigned_Wraparound_Error_2_NT_Loop0_TestCase6, NO, 3754)
(FSE_Modulo_Arithmetic_Mode_Unsigned_Wraparound_Error_2_NT_Loop0_TestCase7, TIMEOUT, 301663)
(FSE_Modulo_Arithmetic_Mode_Unsigned_Wraparound_Error_2_NT_Loop0_TestCase5, YES, 3816)
(FSE_Modulo_Arithmetic_Mode_Unsigned_Wraparound_Error_2_NT_Loop0_TestCase4, YES, 3809)</t>
  </si>
  <si>
    <t>(FSE_Modulo_Arithmetic_Mode_Unsigned_Wraparound_Error_2_NT_Loop18_TestCase0, TIMEOUT, 301757)</t>
  </si>
  <si>
    <t>(FSE_Modulo_Arithmetic_Mode_Unsigned_Wraparound_Error_2_NT_Loop0_TestCase0, TIMEOUT, 301683)</t>
  </si>
  <si>
    <t>(FSE_Modulo_Arithmetic_Mode_Unsigned_Wraparound_Error_1_T_Loop22_TestCase7, YES, 3834)
(FSE_Modulo_Arithmetic_Mode_Unsigned_Wraparound_Error_1_T_Loop22_TestCase6, YES, 3798)
(FSE_Modulo_Arithmetic_Mode_Unsigned_Wraparound_Error_1_T_Loop22_TestCase4, YES, 6772)
(FSE_Modulo_Arithmetic_Mode_Unsigned_Wraparound_Error_1_T_Loop22_TestCase5, YES, 3837)
(FSE_Modulo_Arithmetic_Mode_Unsigned_Wraparound_Error_1_T_Loop22_TestCase1, YES, 1755)
(FSE_Modulo_Arithmetic_Mode_Unsigned_Wraparound_Error_1_T_Loop22_TestCase2, YES, 1771)
(FSE_Modulo_Arithmetic_Mode_Unsigned_Wraparound_Error_1_T_Loop22_TestCase3, YES, 3803)
(FSE_Modulo_Arithmetic_Mode_Unsigned_Wraparound_Error_1_T_Loop22_TestCase10, YES, 3825)
(FSE_Modulo_Arithmetic_Mode_Unsigned_Wraparound_Error_1_T_Loop22_TestCase8, YES, 3815)
(FSE_Modulo_Arithmetic_Mode_Unsigned_Wraparound_Error_1_T_Loop22_TestCase9, YES, 3905)</t>
  </si>
  <si>
    <t>(FSE_Modulo_Arithmetic_Mode_Unsigned_Wraparound_Error_1_T_Loop0_TestCase10, YES, 3791)
(FSE_Modulo_Arithmetic_Mode_Unsigned_Wraparound_Error_1_T_Loop0_TestCase9, YES, 3806)
(FSE_Modulo_Arithmetic_Mode_Unsigned_Wraparound_Error_1_T_Loop0_TestCase8, YES, 3799)
(FSE_Modulo_Arithmetic_Mode_Unsigned_Wraparound_Error_1_T_Loop0_TestCase6, YES, 3775)
(FSE_Modulo_Arithmetic_Mode_Unsigned_Wraparound_Error_1_T_Loop0_TestCase7, YES, 3759)
(FSE_Modulo_Arithmetic_Mode_Unsigned_Wraparound_Error_1_T_Loop0_TestCase5, YES, 3792)
(FSE_Modulo_Arithmetic_Mode_Unsigned_Wraparound_Error_1_T_Loop0_TestCase4, YES, 3760)
(FSE_Modulo_Arithmetic_Mode_Unsigned_Wraparound_Error_1_T_Loop0_TestCase1, YES, 1751)
(FSE_Modulo_Arithmetic_Mode_Unsigned_Wraparound_Error_1_T_Loop0_TestCase3, YES, 3771)
(FSE_Modulo_Arithmetic_Mode_Unsigned_Wraparound_Error_1_T_Loop0_TestCase2, YES, 1736)</t>
  </si>
  <si>
    <t>(FSE_Modulo_Arithmetic_Mode_Unsigned_Wraparound_Error_1_T_Loop22_TestCase0, YES, 5965)</t>
  </si>
  <si>
    <t>(FSE_Modulo_Arithmetic_Mode_Unsigned_Wraparound_Error_1_T_Loop0_TestCase0, YES, 5857)</t>
  </si>
  <si>
    <t>(FSE_Modulo_Arithmetic_Mode_Unsigned_Wraparound_Error_1_NT_Loop22_TestCase7, NO, 3809)
(FSE_Modulo_Arithmetic_Mode_Unsigned_Wraparound_Error_1_NT_Loop22_TestCase6, NO, 3783)
(FSE_Modulo_Arithmetic_Mode_Unsigned_Wraparound_Error_1_NT_Loop22_TestCase4, YES, 3808)
(FSE_Modulo_Arithmetic_Mode_Unsigned_Wraparound_Error_1_NT_Loop22_TestCase5, YES, 3779)
(FSE_Modulo_Arithmetic_Mode_Unsigned_Wraparound_Error_1_NT_Loop22_TestCase1, YES, 1760)
(FSE_Modulo_Arithmetic_Mode_Unsigned_Wraparound_Error_1_NT_Loop22_TestCase2, YES, 1756)
(FSE_Modulo_Arithmetic_Mode_Unsigned_Wraparound_Error_1_NT_Loop22_TestCase3, YES, 4150)
(FSE_Modulo_Arithmetic_Mode_Unsigned_Wraparound_Error_1_NT_Loop22_TestCase10, NO, 3813)
(FSE_Modulo_Arithmetic_Mode_Unsigned_Wraparound_Error_1_NT_Loop22_TestCase8, NO, 3774)
(FSE_Modulo_Arithmetic_Mode_Unsigned_Wraparound_Error_1_NT_Loop22_TestCase9, NO, 3884)</t>
  </si>
  <si>
    <t>(FSE_Modulo_Arithmetic_Mode_Unsigned_Wraparound_Error_1_NT_Loop0_TestCase10, NO, 3843)
(FSE_Modulo_Arithmetic_Mode_Unsigned_Wraparound_Error_1_NT_Loop0_TestCase9, NO, 3786)
(FSE_Modulo_Arithmetic_Mode_Unsigned_Wraparound_Error_1_NT_Loop0_TestCase8, NO, 3786)
(FSE_Modulo_Arithmetic_Mode_Unsigned_Wraparound_Error_1_NT_Loop0_TestCase5, YES, 3751)
(FSE_Modulo_Arithmetic_Mode_Unsigned_Wraparound_Error_1_NT_Loop0_TestCase4, YES, 3799)
(FSE_Modulo_Arithmetic_Mode_Unsigned_Wraparound_Error_1_NT_Loop0_TestCase6, NO, 3756)
(FSE_Modulo_Arithmetic_Mode_Unsigned_Wraparound_Error_1_NT_Loop0_TestCase7, NO, 3770)
(FSE_Modulo_Arithmetic_Mode_Unsigned_Wraparound_Error_1_NT_Loop0_TestCase3, YES, 3781)
(FSE_Modulo_Arithmetic_Mode_Unsigned_Wraparound_Error_1_NT_Loop0_TestCase2, YES, 1784)
(FSE_Modulo_Arithmetic_Mode_Unsigned_Wraparound_Error_1_NT_Loop0_TestCase1, YES, 1745)</t>
  </si>
  <si>
    <t>(FSE_Modulo_Arithmetic_Mode_Unsigned_Wraparound_Error_1_NT_Loop22_TestCase0, TIMEOUT, 301690)</t>
  </si>
  <si>
    <t>(FSE_Modulo_Arithmetic_Mode_Unsigned_Wraparound_Error_1_NT_Loop0_TestCase0, TIMEOUT, 301724)</t>
  </si>
  <si>
    <t>(FSE_Modulo_Arithmetic_Mode_Undefined_Behavior_3_T_Loop15_TestCase10, ERROR, 1648)
(FSE_Modulo_Arithmetic_Mode_Undefined_Behavior_3_T_Loop15_TestCase8, ERROR, 1686)
(FSE_Modulo_Arithmetic_Mode_Undefined_Behavior_3_T_Loop15_TestCase9, ERROR, 1674)
(FSE_Modulo_Arithmetic_Mode_Undefined_Behavior_3_T_Loop15_TestCase1, ERROR, 1671)
(FSE_Modulo_Arithmetic_Mode_Undefined_Behavior_3_T_Loop15_TestCase2, ERROR, 1630)
(FSE_Modulo_Arithmetic_Mode_Undefined_Behavior_3_T_Loop15_TestCase3, ERROR, 1744)
(FSE_Modulo_Arithmetic_Mode_Undefined_Behavior_3_T_Loop15_TestCase7, ERROR, 1664)
(FSE_Modulo_Arithmetic_Mode_Undefined_Behavior_3_T_Loop15_TestCase6, ERROR, 1692)
(FSE_Modulo_Arithmetic_Mode_Undefined_Behavior_3_T_Loop15_TestCase4, ERROR, 1693)
(FSE_Modulo_Arithmetic_Mode_Undefined_Behavior_3_T_Loop15_TestCase5, ERROR, 1689)</t>
  </si>
  <si>
    <t>(FSE_Modulo_Arithmetic_Mode_Undefined_Behavior_3_T_Loop0_TestCase8, ERROR, 1751)
(FSE_Modulo_Arithmetic_Mode_Undefined_Behavior_3_T_Loop0_TestCase9, ERROR, 1660)
(FSE_Modulo_Arithmetic_Mode_Undefined_Behavior_3_T_Loop0_TestCase1, ERROR, 1595)
(FSE_Modulo_Arithmetic_Mode_Undefined_Behavior_3_T_Loop0_TestCase2, ERROR, 1700)
(FSE_Modulo_Arithmetic_Mode_Undefined_Behavior_3_T_Loop0_TestCase3, ERROR, 1639)
(FSE_Modulo_Arithmetic_Mode_Undefined_Behavior_3_T_Loop0_TestCase7, ERROR, 1643)
(FSE_Modulo_Arithmetic_Mode_Undefined_Behavior_3_T_Loop0_TestCase6, ERROR, 1613)
(FSE_Modulo_Arithmetic_Mode_Undefined_Behavior_3_T_Loop0_TestCase4, ERROR, 1641)
(FSE_Modulo_Arithmetic_Mode_Undefined_Behavior_3_T_Loop0_TestCase5, ERROR, 1638)
(FSE_Modulo_Arithmetic_Mode_Undefined_Behavior_3_T_Loop0_TestCase10, ERROR, 1631)</t>
  </si>
  <si>
    <t>(FSE_Modulo_Arithmetic_Mode_Undefined_Behavior_3_T_Loop15_TestCase0, ERROR, 1657)</t>
  </si>
  <si>
    <t>(FSE_Modulo_Arithmetic_Mode_Undefined_Behavior_3_T_Loop0_TestCase0, ERROR, 1664)</t>
  </si>
  <si>
    <t>(FSE_Modulo_Arithmetic_Mode_Undefined_Behavior_3_Loop15_TestCase2, ERROR, 1663)
(FSE_Modulo_Arithmetic_Mode_Undefined_Behavior_3_Loop15_TestCase3, ERROR, 1672)
(FSE_Modulo_Arithmetic_Mode_Undefined_Behavior_3_Loop15_TestCase1, ERROR, 1658)
(FSE_Modulo_Arithmetic_Mode_Undefined_Behavior_3_Loop15_TestCase4, ERROR, 1715)
(FSE_Modulo_Arithmetic_Mode_Undefined_Behavior_3_Loop15_TestCase5, ERROR, 1665)
(FSE_Modulo_Arithmetic_Mode_Undefined_Behavior_3_Loop15_TestCase7, ERROR, 1665)
(FSE_Modulo_Arithmetic_Mode_Undefined_Behavior_3_Loop15_TestCase6, ERROR, 1663)
(FSE_Modulo_Arithmetic_Mode_Undefined_Behavior_3_Loop15_TestCase8, ERROR, 1647)
(FSE_Modulo_Arithmetic_Mode_Undefined_Behavior_3_Loop15_TestCase9, ERROR, 1679)
(FSE_Modulo_Arithmetic_Mode_Undefined_Behavior_3_Loop15_TestCase10, ERROR, 1643)</t>
  </si>
  <si>
    <t>(FSE_Modulo_Arithmetic_Mode_Undefined_Behavior_3_Loop0_TestCase7, ERROR, 1606)
(FSE_Modulo_Arithmetic_Mode_Undefined_Behavior_3_Loop0_TestCase6, ERROR, 1607)
(FSE_Modulo_Arithmetic_Mode_Undefined_Behavior_3_Loop0_TestCase4, ERROR, 1620)
(FSE_Modulo_Arithmetic_Mode_Undefined_Behavior_3_Loop0_TestCase5, ERROR, 1627)
(FSE_Modulo_Arithmetic_Mode_Undefined_Behavior_3_Loop0_TestCase10, ERROR, 1635)
(FSE_Modulo_Arithmetic_Mode_Undefined_Behavior_3_Loop0_TestCase1, ERROR, 1670)
(FSE_Modulo_Arithmetic_Mode_Undefined_Behavior_3_Loop0_TestCase2, ERROR, 1637)
(FSE_Modulo_Arithmetic_Mode_Undefined_Behavior_3_Loop0_TestCase3, ERROR, 1602)
(FSE_Modulo_Arithmetic_Mode_Undefined_Behavior_3_Loop0_TestCase8, ERROR, 1628)
(FSE_Modulo_Arithmetic_Mode_Undefined_Behavior_3_Loop0_TestCase9, ERROR, 1616)</t>
  </si>
  <si>
    <t>(FSE_Modulo_Arithmetic_Mode_Undefined_Behavior_3_Loop15_TestCase0, ERROR, 1701)</t>
  </si>
  <si>
    <t>(FSE_Modulo_Arithmetic_Mode_Undefined_Behavior_3_Loop0_TestCase0, ERROR, 1663)</t>
  </si>
  <si>
    <t>(FSE_Modulo_Arithmetic_Mode_Undefined_Behavior_2_T_Loop14_TestCase2, ERROR, 1812)
(FSE_Modulo_Arithmetic_Mode_Undefined_Behavior_2_T_Loop14_TestCase3, ERROR, 1982)
(FSE_Modulo_Arithmetic_Mode_Undefined_Behavior_2_T_Loop14_TestCase1, ERROR, 1735)
(FSE_Modulo_Arithmetic_Mode_Undefined_Behavior_2_T_Loop14_TestCase4, ERROR, 2228)
(FSE_Modulo_Arithmetic_Mode_Undefined_Behavior_2_T_Loop14_TestCase5, ERROR, 2188)
(FSE_Modulo_Arithmetic_Mode_Undefined_Behavior_2_T_Loop14_TestCase7, ERROR, 3809)
(FSE_Modulo_Arithmetic_Mode_Undefined_Behavior_2_T_Loop25_TestCase10, ERROR, 2185)
(FSE_Modulo_Arithmetic_Mode_Undefined_Behavior_2_T_Loop14_TestCase6, ERROR, 2127)
(FSE_Modulo_Arithmetic_Mode_Undefined_Behavior_2_T_Loop25_TestCase8, ERROR, 2127)
(FSE_Modulo_Arithmetic_Mode_Undefined_Behavior_2_T_Loop25_TestCase9, ERROR, 2153)
(FSE_Modulo_Arithmetic_Mode_Undefined_Behavior_2_T_Loop25_TestCase4, ERROR, 2109)
(FSE_Modulo_Arithmetic_Mode_Undefined_Behavior_2_T_Loop25_TestCase5, ERROR, 2144)
(FSE_Modulo_Arithmetic_Mode_Undefined_Behavior_2_T_Loop25_TestCase7, ERROR, 2239)
(FSE_Modulo_Arithmetic_Mode_Undefined_Behavior_2_T_Loop25_TestCase6, ERROR, 2200)
(FSE_Modulo_Arithmetic_Mode_Undefined_Behavior_2_T_Loop14_TestCase10, ERROR, 2116)
(FSE_Modulo_Arithmetic_Mode_Undefined_Behavior_2_T_Loop25_TestCase2, ERROR, 1682)
(FSE_Modulo_Arithmetic_Mode_Undefined_Behavior_2_T_Loop25_TestCase3, ERROR, 2183)
(FSE_Modulo_Arithmetic_Mode_Undefined_Behavior_2_T_Loop25_TestCase1, ERROR, 1719)
(FSE_Modulo_Arithmetic_Mode_Undefined_Behavior_2_T_Loop14_TestCase8, ERROR, 2157)
(FSE_Modulo_Arithmetic_Mode_Undefined_Behavior_2_T_Loop14_TestCase9, ERROR, 2300)</t>
  </si>
  <si>
    <t>(FSE_Modulo_Arithmetic_Mode_Undefined_Behavior_2_T_Loop0_TestCase2, ERROR, 1769)
(FSE_Modulo_Arithmetic_Mode_Undefined_Behavior_2_T_Loop0_TestCase3, ERROR, 1840)
(FSE_Modulo_Arithmetic_Mode_Undefined_Behavior_2_T_Loop0_TestCase1, ERROR, 1790)
(FSE_Modulo_Arithmetic_Mode_Undefined_Behavior_2_T_Loop0_TestCase4, ERROR, 1765)
(FSE_Modulo_Arithmetic_Mode_Undefined_Behavior_2_T_Loop0_TestCase5, ERROR, 2042)
(FSE_Modulo_Arithmetic_Mode_Undefined_Behavior_2_T_Loop0_TestCase7, ERROR, 2040)
(FSE_Modulo_Arithmetic_Mode_Undefined_Behavior_2_T_Loop0_TestCase6, ERROR, 2021)
(FSE_Modulo_Arithmetic_Mode_Undefined_Behavior_2_T_Loop0_TestCase10, ERROR, 2066)
(FSE_Modulo_Arithmetic_Mode_Undefined_Behavior_2_T_Loop0_TestCase8, ERROR, 2097)
(FSE_Modulo_Arithmetic_Mode_Undefined_Behavior_2_T_Loop0_TestCase9, ERROR, 2023)</t>
  </si>
  <si>
    <t>(FSE_Modulo_Arithmetic_Mode_Undefined_Behavior_2_T_Loop14_TestCase0, ERROR, 1792)
(FSE_Modulo_Arithmetic_Mode_Undefined_Behavior_2_T_Loop25_TestCase0, ERROR, 1755)</t>
  </si>
  <si>
    <t>(FSE_Modulo_Arithmetic_Mode_Undefined_Behavior_2_T_Loop0_TestCase0, ERROR, 1965)</t>
  </si>
  <si>
    <t>(FSE_Modulo_Arithmetic_Mode_Undefined_Behavior_2_Loop24_TestCase8, ERROR, 2245)
(FSE_Modulo_Arithmetic_Mode_Undefined_Behavior_2_Loop24_TestCase9, ERROR, 2260)
(FSE_Modulo_Arithmetic_Mode_Undefined_Behavior_2_Loop13_TestCase10, ERROR, 2131)
(FSE_Modulo_Arithmetic_Mode_Undefined_Behavior_2_Loop13_TestCase8, ERROR, 2199)
(FSE_Modulo_Arithmetic_Mode_Undefined_Behavior_2_Loop13_TestCase9, ERROR, 2181)
(FSE_Modulo_Arithmetic_Mode_Undefined_Behavior_2_Loop13_TestCase2, ERROR, 1844)
(FSE_Modulo_Arithmetic_Mode_Undefined_Behavior_2_Loop13_TestCase3, ERROR, 2155)
(FSE_Modulo_Arithmetic_Mode_Undefined_Behavior_2_Loop13_TestCase1, ERROR, 1717)
(FSE_Modulo_Arithmetic_Mode_Undefined_Behavior_2_Loop13_TestCase4, ERROR, 3520)
(FSE_Modulo_Arithmetic_Mode_Undefined_Behavior_2_Loop13_TestCase5, ERROR, 2097)
(FSE_Modulo_Arithmetic_Mode_Undefined_Behavior_2_Loop13_TestCase7, ERROR, 2224)
(FSE_Modulo_Arithmetic_Mode_Undefined_Behavior_2_Loop13_TestCase6, ERROR, 2178)
(FSE_Modulo_Arithmetic_Mode_Undefined_Behavior_2_Loop24_TestCase7, ERROR, 2143)
(FSE_Modulo_Arithmetic_Mode_Undefined_Behavior_2_Loop24_TestCase6, ERROR, 2121)
(FSE_Modulo_Arithmetic_Mode_Undefined_Behavior_2_Loop24_TestCase4, ERROR, 2139)
(FSE_Modulo_Arithmetic_Mode_Undefined_Behavior_2_Loop24_TestCase5, ERROR, 2130)
(FSE_Modulo_Arithmetic_Mode_Undefined_Behavior_2_Loop24_TestCase1, ERROR, 1792)
(FSE_Modulo_Arithmetic_Mode_Undefined_Behavior_2_Loop24_TestCase2, ERROR, 1702)
(FSE_Modulo_Arithmetic_Mode_Undefined_Behavior_2_Loop24_TestCase10, ERROR, 2101)
(FSE_Modulo_Arithmetic_Mode_Undefined_Behavior_2_Loop24_TestCase3, ERROR, 2269)</t>
  </si>
  <si>
    <t>(FSE_Modulo_Arithmetic_Mode_Undefined_Behavior_2_Loop0_TestCase10, ERROR, 1885)
(FSE_Modulo_Arithmetic_Mode_Undefined_Behavior_2_Loop0_TestCase6, ERROR, 2000)
(FSE_Modulo_Arithmetic_Mode_Undefined_Behavior_2_Loop0_TestCase7, ERROR, 1926)
(FSE_Modulo_Arithmetic_Mode_Undefined_Behavior_2_Loop0_TestCase5, ERROR, 1764)
(FSE_Modulo_Arithmetic_Mode_Undefined_Behavior_2_Loop0_TestCase4, ERROR, 1919)
(FSE_Modulo_Arithmetic_Mode_Undefined_Behavior_2_Loop0_TestCase1, ERROR, 1715)
(FSE_Modulo_Arithmetic_Mode_Undefined_Behavior_2_Loop0_TestCase3, ERROR, 1892)
(FSE_Modulo_Arithmetic_Mode_Undefined_Behavior_2_Loop0_TestCase2, ERROR, 1695)
(FSE_Modulo_Arithmetic_Mode_Undefined_Behavior_2_Loop0_TestCase9, ERROR, 2044)
(FSE_Modulo_Arithmetic_Mode_Undefined_Behavior_2_Loop0_TestCase8, ERROR, 2047)</t>
  </si>
  <si>
    <t>(FSE_Modulo_Arithmetic_Mode_Undefined_Behavior_2_Loop13_TestCase0, ERROR, 1792)
(FSE_Modulo_Arithmetic_Mode_Undefined_Behavior_2_Loop24_TestCase0, ERROR, 2038)</t>
  </si>
  <si>
    <t>(FSE_Modulo_Arithmetic_Mode_Undefined_Behavior_2_Loop0_TestCase0, ERROR, 1776)</t>
  </si>
  <si>
    <t>(FSE_Modulo_Arithmetic_Mode_Undefined_Behavior_1_T_Loop15_TestCase9, ERROR, 1606)
(FSE_Modulo_Arithmetic_Mode_Undefined_Behavior_1_T_Loop15_TestCase8, ERROR, 1641)
(FSE_Modulo_Arithmetic_Mode_Undefined_Behavior_1_T_Loop15_TestCase1, ERROR, 1649)
(FSE_Modulo_Arithmetic_Mode_Undefined_Behavior_1_T_Loop15_TestCase3, ERROR, 1628)
(FSE_Modulo_Arithmetic_Mode_Undefined_Behavior_1_T_Loop15_TestCase2, ERROR, 1612)
(FSE_Modulo_Arithmetic_Mode_Undefined_Behavior_1_T_Loop15_TestCase6, ERROR, 1652)
(FSE_Modulo_Arithmetic_Mode_Undefined_Behavior_1_T_Loop15_TestCase7, ERROR, 2995)
(FSE_Modulo_Arithmetic_Mode_Undefined_Behavior_1_T_Loop15_TestCase10, ERROR, 1678)
(FSE_Modulo_Arithmetic_Mode_Undefined_Behavior_1_T_Loop15_TestCase5, ERROR, 1638)
(FSE_Modulo_Arithmetic_Mode_Undefined_Behavior_1_T_Loop15_TestCase4, ERROR, 1630)</t>
  </si>
  <si>
    <t>(FSE_Modulo_Arithmetic_Mode_Undefined_Behavior_1_T_Loop0_TestCase9, ERROR, 1589)
(FSE_Modulo_Arithmetic_Mode_Undefined_Behavior_1_T_Loop0_TestCase8, ERROR, 1599)
(FSE_Modulo_Arithmetic_Mode_Undefined_Behavior_1_T_Loop0_TestCase6, ERROR, 1696)
(FSE_Modulo_Arithmetic_Mode_Undefined_Behavior_1_T_Loop0_TestCase10, ERROR, 1633)
(FSE_Modulo_Arithmetic_Mode_Undefined_Behavior_1_T_Loop0_TestCase7, ERROR, 1603)
(FSE_Modulo_Arithmetic_Mode_Undefined_Behavior_1_T_Loop0_TestCase5, ERROR, 1595)
(FSE_Modulo_Arithmetic_Mode_Undefined_Behavior_1_T_Loop0_TestCase4, ERROR, 1637)
(FSE_Modulo_Arithmetic_Mode_Undefined_Behavior_1_T_Loop0_TestCase1, ERROR, 1588)
(FSE_Modulo_Arithmetic_Mode_Undefined_Behavior_1_T_Loop0_TestCase3, ERROR, 1636)
(FSE_Modulo_Arithmetic_Mode_Undefined_Behavior_1_T_Loop0_TestCase2, ERROR, 1605)</t>
  </si>
  <si>
    <t>(FSE_Modulo_Arithmetic_Mode_Undefined_Behavior_1_T_Loop15_TestCase0, ERROR, 1647)</t>
  </si>
  <si>
    <t>(FSE_Modulo_Arithmetic_Mode_Undefined_Behavior_1_T_Loop0_TestCase0, ERROR, 1761)</t>
  </si>
  <si>
    <t>(FSE_Modulo_Arithmetic_Mode_Undefined_Behavior_1_Loop14_TestCase2, ERROR, 1633)
(FSE_Modulo_Arithmetic_Mode_Undefined_Behavior_1_Loop14_TestCase3, ERROR, 1658)
(FSE_Modulo_Arithmetic_Mode_Undefined_Behavior_1_Loop14_TestCase1, ERROR, 1612)
(FSE_Modulo_Arithmetic_Mode_Undefined_Behavior_1_Loop14_TestCase4, ERROR, 1626)
(FSE_Modulo_Arithmetic_Mode_Undefined_Behavior_1_Loop14_TestCase5, ERROR, 1632)
(FSE_Modulo_Arithmetic_Mode_Undefined_Behavior_1_Loop14_TestCase7, ERROR, 1599)
(FSE_Modulo_Arithmetic_Mode_Undefined_Behavior_1_Loop14_TestCase6, ERROR, 2891)
(FSE_Modulo_Arithmetic_Mode_Undefined_Behavior_1_Loop14_TestCase8, ERROR, 1622)
(FSE_Modulo_Arithmetic_Mode_Undefined_Behavior_1_Loop14_TestCase9, ERROR, 1636)
(FSE_Modulo_Arithmetic_Mode_Undefined_Behavior_1_Loop14_TestCase10, ERROR, 1637)</t>
  </si>
  <si>
    <t>(FSE_Modulo_Arithmetic_Mode_Undefined_Behavior_1_Loop0_TestCase4, ERROR, 1629)
(FSE_Modulo_Arithmetic_Mode_Undefined_Behavior_1_Loop0_TestCase5, ERROR, 1620)
(FSE_Modulo_Arithmetic_Mode_Undefined_Behavior_1_Loop0_TestCase7, ERROR, 1592)
(FSE_Modulo_Arithmetic_Mode_Undefined_Behavior_1_Loop0_TestCase6, ERROR, 1625)
(FSE_Modulo_Arithmetic_Mode_Undefined_Behavior_1_Loop0_TestCase2, ERROR, 1618)
(FSE_Modulo_Arithmetic_Mode_Undefined_Behavior_1_Loop0_TestCase3, ERROR, 1594)
(FSE_Modulo_Arithmetic_Mode_Undefined_Behavior_1_Loop0_TestCase1, ERROR, 1595)
(FSE_Modulo_Arithmetic_Mode_Undefined_Behavior_1_Loop0_TestCase8, ERROR, 1650)
(FSE_Modulo_Arithmetic_Mode_Undefined_Behavior_1_Loop0_TestCase9, ERROR, 1600)
(FSE_Modulo_Arithmetic_Mode_Undefined_Behavior_1_Loop0_TestCase10, ERROR, 1627)</t>
  </si>
  <si>
    <t>(FSE_Modulo_Arithmetic_Mode_Undefined_Behavior_1_Loop14_TestCase0, ERROR, 1645)</t>
  </si>
  <si>
    <t>(FSE_Modulo_Arithmetic_Mode_Undefined_Behavior_1_Loop0_TestCase0, ERROR, 1661)</t>
  </si>
  <si>
    <t>(FSE_Modulo_Arithmetic_Mode_Type_Conversion_in_Comparison_2_T_Loop16_TestCase10, NO, 2208)
(FSE_Modulo_Arithmetic_Mode_Type_Conversion_in_Comparison_2_T_Loop16_TestCase6, NO, 1745)
(FSE_Modulo_Arithmetic_Mode_Type_Conversion_in_Comparison_2_T_Loop16_TestCase7, NO, 1732)
(FSE_Modulo_Arithmetic_Mode_Type_Conversion_in_Comparison_2_T_Loop16_TestCase5, NO, 2252)
(FSE_Modulo_Arithmetic_Mode_Type_Conversion_in_Comparison_2_T_Loop16_TestCase4, NO, 1785)
(FSE_Modulo_Arithmetic_Mode_Type_Conversion_in_Comparison_2_T_Loop16_TestCase1, NO, 1742)
(FSE_Modulo_Arithmetic_Mode_Type_Conversion_in_Comparison_2_T_Loop16_TestCase3, NO, 1724)
(FSE_Modulo_Arithmetic_Mode_Type_Conversion_in_Comparison_2_T_Loop16_TestCase2, NO, 1772)
(FSE_Modulo_Arithmetic_Mode_Type_Conversion_in_Comparison_2_T_Loop16_TestCase9, NO, 2265)
(FSE_Modulo_Arithmetic_Mode_Type_Conversion_in_Comparison_2_T_Loop16_TestCase8, NO, 2288)</t>
  </si>
  <si>
    <t>(FSE_Modulo_Arithmetic_Mode_Type_Conversion_in_Comparison_2_T_Loop0_TestCase7, YES, 3752)
(FSE_Modulo_Arithmetic_Mode_Type_Conversion_in_Comparison_2_T_Loop0_TestCase6, YES, 3922)
(FSE_Modulo_Arithmetic_Mode_Type_Conversion_in_Comparison_2_T_Loop0_TestCase10, YES, 4109)
(FSE_Modulo_Arithmetic_Mode_Type_Conversion_in_Comparison_2_T_Loop0_TestCase4, YES, 3981)
(FSE_Modulo_Arithmetic_Mode_Type_Conversion_in_Comparison_2_T_Loop0_TestCase5, YES, 4099)
(FSE_Modulo_Arithmetic_Mode_Type_Conversion_in_Comparison_2_T_Loop0_TestCase1, YES, 3899)
(FSE_Modulo_Arithmetic_Mode_Type_Conversion_in_Comparison_2_T_Loop0_TestCase2, YES, 4010)
(FSE_Modulo_Arithmetic_Mode_Type_Conversion_in_Comparison_2_T_Loop0_TestCase3, YES, 3889)
(FSE_Modulo_Arithmetic_Mode_Type_Conversion_in_Comparison_2_T_Loop0_TestCase8, YES, 4163)
(FSE_Modulo_Arithmetic_Mode_Type_Conversion_in_Comparison_2_T_Loop0_TestCase9, YES, 3881)</t>
  </si>
  <si>
    <t>(FSE_Modulo_Arithmetic_Mode_Type_Conversion_in_Comparison_2_T_Loop16_TestCase0, NO, 2218)</t>
  </si>
  <si>
    <t>(FSE_Modulo_Arithmetic_Mode_Type_Conversion_in_Comparison_2_T_Loop0_TestCase0, TIMEOUT, 301967)</t>
  </si>
  <si>
    <t>(FSE_Modulo_Arithmetic_Mode_Type_Conversion_in_Comparison_2_NT_Loop17_TestCase10, NO, 1776)
(FSE_Modulo_Arithmetic_Mode_Type_Conversion_in_Comparison_2_NT_Loop17_TestCase1, NO, 1779)
(FSE_Modulo_Arithmetic_Mode_Type_Conversion_in_Comparison_2_NT_Loop17_TestCase2, NO, 1834)
(FSE_Modulo_Arithmetic_Mode_Type_Conversion_in_Comparison_2_NT_Loop17_TestCase3, NO, 1797)
(FSE_Modulo_Arithmetic_Mode_Type_Conversion_in_Comparison_2_NT_Loop17_TestCase7, NO, 1732)
(FSE_Modulo_Arithmetic_Mode_Type_Conversion_in_Comparison_2_NT_Loop17_TestCase6, NO, 1787)
(FSE_Modulo_Arithmetic_Mode_Type_Conversion_in_Comparison_2_NT_Loop17_TestCase4, NO, 1740)
(FSE_Modulo_Arithmetic_Mode_Type_Conversion_in_Comparison_2_NT_Loop17_TestCase5, NO, 2180)
(FSE_Modulo_Arithmetic_Mode_Type_Conversion_in_Comparison_2_NT_Loop17_TestCase8, NO, 1768)
(FSE_Modulo_Arithmetic_Mode_Type_Conversion_in_Comparison_2_NT_Loop17_TestCase9, NO, 1784)</t>
  </si>
  <si>
    <t>(FSE_Modulo_Arithmetic_Mode_Type_Conversion_in_Comparison_2_NT_Loop0_TestCase8, NO, 3787)
(FSE_Modulo_Arithmetic_Mode_Type_Conversion_in_Comparison_2_NT_Loop0_TestCase9, NO, 3799)
(FSE_Modulo_Arithmetic_Mode_Type_Conversion_in_Comparison_2_NT_Loop0_TestCase4, YES, 3737)
(FSE_Modulo_Arithmetic_Mode_Type_Conversion_in_Comparison_2_NT_Loop0_TestCase5, YES, 4263)
(FSE_Modulo_Arithmetic_Mode_Type_Conversion_in_Comparison_2_NT_Loop0_TestCase7, NO, 3754)
(FSE_Modulo_Arithmetic_Mode_Type_Conversion_in_Comparison_2_NT_Loop0_TestCase6, YES, 3765)
(FSE_Modulo_Arithmetic_Mode_Type_Conversion_in_Comparison_2_NT_Loop0_TestCase2, YES, 3770)
(FSE_Modulo_Arithmetic_Mode_Type_Conversion_in_Comparison_2_NT_Loop0_TestCase3, YES, 3759)
(FSE_Modulo_Arithmetic_Mode_Type_Conversion_in_Comparison_2_NT_Loop0_TestCase1, YES, 3755)
(FSE_Modulo_Arithmetic_Mode_Type_Conversion_in_Comparison_2_NT_Loop0_TestCase10, NO, 3778)</t>
  </si>
  <si>
    <t>(FSE_Modulo_Arithmetic_Mode_Type_Conversion_in_Comparison_2_NT_Loop17_TestCase0, NO, 1764)</t>
  </si>
  <si>
    <t>(FSE_Modulo_Arithmetic_Mode_Type_Conversion_in_Comparison_2_NT_Loop0_TestCase0, NO, 4236)</t>
  </si>
  <si>
    <t>(FSE_Modulo_Arithmetic_Mode_Type_Conversion_in_Comparison_1_T_Loop18_TestCase6, YES, 4659)
(FSE_Modulo_Arithmetic_Mode_Type_Conversion_in_Comparison_1_T_Loop18_TestCase7, YES, 3769)
(FSE_Modulo_Arithmetic_Mode_Type_Conversion_in_Comparison_1_T_Loop18_TestCase5, YES, 3781)
(FSE_Modulo_Arithmetic_Mode_Type_Conversion_in_Comparison_1_T_Loop18_TestCase4, YES, 3781)
(FSE_Modulo_Arithmetic_Mode_Type_Conversion_in_Comparison_1_T_Loop18_TestCase1, YES, 2785)
(FSE_Modulo_Arithmetic_Mode_Type_Conversion_in_Comparison_1_T_Loop18_TestCase3, YES, 3780)
(FSE_Modulo_Arithmetic_Mode_Type_Conversion_in_Comparison_1_T_Loop18_TestCase2, YES, 3777)
(FSE_Modulo_Arithmetic_Mode_Type_Conversion_in_Comparison_1_T_Loop18_TestCase10, YES, 2794)
(FSE_Modulo_Arithmetic_Mode_Type_Conversion_in_Comparison_1_T_Loop18_TestCase9, YES, 3817)
(FSE_Modulo_Arithmetic_Mode_Type_Conversion_in_Comparison_1_T_Loop18_TestCase8, YES, 3791)</t>
  </si>
  <si>
    <t>(FSE_Modulo_Arithmetic_Mode_Type_Conversion_in_Comparison_1_T_Loop0_TestCase10, YES, 5782)
(FSE_Modulo_Arithmetic_Mode_Type_Conversion_in_Comparison_1_T_Loop0_TestCase9, YES, 5768)
(FSE_Modulo_Arithmetic_Mode_Type_Conversion_in_Comparison_1_T_Loop0_TestCase8, YES, 5850)
(FSE_Modulo_Arithmetic_Mode_Type_Conversion_in_Comparison_1_T_Loop0_TestCase3, YES, 5862)
(FSE_Modulo_Arithmetic_Mode_Type_Conversion_in_Comparison_1_T_Loop0_TestCase2, YES, 5796)
(FSE_Modulo_Arithmetic_Mode_Type_Conversion_in_Comparison_1_T_Loop0_TestCase1, YES, 5794)
(FSE_Modulo_Arithmetic_Mode_Type_Conversion_in_Comparison_1_T_Loop0_TestCase5, YES, 5894)
(FSE_Modulo_Arithmetic_Mode_Type_Conversion_in_Comparison_1_T_Loop0_TestCase4, YES, 5789)
(FSE_Modulo_Arithmetic_Mode_Type_Conversion_in_Comparison_1_T_Loop0_TestCase6, YES, 5799)
(FSE_Modulo_Arithmetic_Mode_Type_Conversion_in_Comparison_1_T_Loop0_TestCase7, YES, 5780)</t>
  </si>
  <si>
    <t>(FSE_Modulo_Arithmetic_Mode_Type_Conversion_in_Comparison_1_T_Loop18_TestCase0, YES, 3827)</t>
  </si>
  <si>
    <t>(FSE_Modulo_Arithmetic_Mode_Type_Conversion_in_Comparison_1_T_Loop0_TestCase0, YES, 5965)</t>
  </si>
  <si>
    <t>(FSE_Modulo_Arithmetic_Mode_Type_Conversion_in_Comparison_1_NT_Loop16_TestCase9, YES, 1785)
(FSE_Modulo_Arithmetic_Mode_Type_Conversion_in_Comparison_1_NT_Loop16_TestCase8, YES, 1841)
(FSE_Modulo_Arithmetic_Mode_Type_Conversion_in_Comparison_1_NT_Loop16_TestCase10, YES, 1813)
(FSE_Modulo_Arithmetic_Mode_Type_Conversion_in_Comparison_1_NT_Loop16_TestCase3, YES, 1728)
(FSE_Modulo_Arithmetic_Mode_Type_Conversion_in_Comparison_1_NT_Loop16_TestCase2, YES, 1765)
(FSE_Modulo_Arithmetic_Mode_Type_Conversion_in_Comparison_1_NT_Loop16_TestCase1, YES, 1733)
(FSE_Modulo_Arithmetic_Mode_Type_Conversion_in_Comparison_1_NT_Loop16_TestCase5, YES, 3960)
(FSE_Modulo_Arithmetic_Mode_Type_Conversion_in_Comparison_1_NT_Loop16_TestCase4, YES, 1762)
(FSE_Modulo_Arithmetic_Mode_Type_Conversion_in_Comparison_1_NT_Loop16_TestCase6, YES, 1786)
(FSE_Modulo_Arithmetic_Mode_Type_Conversion_in_Comparison_1_NT_Loop16_TestCase7, YES, 1730)</t>
  </si>
  <si>
    <t>(FSE_Modulo_Arithmetic_Mode_Type_Conversion_in_Comparison_1_NT_Loop0_TestCase8, NO, 3763)
(FSE_Modulo_Arithmetic_Mode_Type_Conversion_in_Comparison_1_NT_Loop0_TestCase9, NO, 3820)
(FSE_Modulo_Arithmetic_Mode_Type_Conversion_in_Comparison_1_NT_Loop0_TestCase1, YES, 3746)
(FSE_Modulo_Arithmetic_Mode_Type_Conversion_in_Comparison_1_NT_Loop0_TestCase2, YES, 3760)
(FSE_Modulo_Arithmetic_Mode_Type_Conversion_in_Comparison_1_NT_Loop0_TestCase3, YES, 3780)
(FSE_Modulo_Arithmetic_Mode_Type_Conversion_in_Comparison_1_NT_Loop0_TestCase10, NO, 3759)
(FSE_Modulo_Arithmetic_Mode_Type_Conversion_in_Comparison_1_NT_Loop0_TestCase7, NO, 3786)
(FSE_Modulo_Arithmetic_Mode_Type_Conversion_in_Comparison_1_NT_Loop0_TestCase6, NO, 3758)
(FSE_Modulo_Arithmetic_Mode_Type_Conversion_in_Comparison_1_NT_Loop0_TestCase4, YES, 3760)
(FSE_Modulo_Arithmetic_Mode_Type_Conversion_in_Comparison_1_NT_Loop0_TestCase5, YES, 3804)</t>
  </si>
  <si>
    <t>(FSE_Modulo_Arithmetic_Mode_Type_Conversion_in_Comparison_1_NT_Loop16_TestCase0, YES, 1830)</t>
  </si>
  <si>
    <t>(FSE_Modulo_Arithmetic_Mode_Type_Conversion_in_Comparison_1_NT_Loop0_TestCase0, TIMEOUT, 301738)</t>
  </si>
  <si>
    <t>(FSE_Modulo_Arithmetic_Mode_Type_Conversion_in_Assignment_1_T_Loop26_TestCase8, MAYBE, 638)
(FSE_Modulo_Arithmetic_Mode_Type_Conversion_in_Assignment_1_T_Loop26_TestCase9, MAYBE, 561)
(FSE_Modulo_Arithmetic_Mode_Type_Conversion_in_Assignment_1_T_Loop26_TestCase10, MAYBE, 579)
(FSE_Modulo_Arithmetic_Mode_Type_Conversion_in_Assignment_1_T_Loop26_TestCase7, MAYBE, 568)
(FSE_Modulo_Arithmetic_Mode_Type_Conversion_in_Assignment_1_T_Loop26_TestCase6, MAYBE, 576)
(FSE_Modulo_Arithmetic_Mode_Type_Conversion_in_Assignment_1_T_Loop26_TestCase4, MAYBE, 576)
(FSE_Modulo_Arithmetic_Mode_Type_Conversion_in_Assignment_1_T_Loop26_TestCase5, MAYBE, 570)
(FSE_Modulo_Arithmetic_Mode_Type_Conversion_in_Assignment_1_T_Loop26_TestCase1, MAYBE, 583)
(FSE_Modulo_Arithmetic_Mode_Type_Conversion_in_Assignment_1_T_Loop26_TestCase2, MAYBE, 547)
(FSE_Modulo_Arithmetic_Mode_Type_Conversion_in_Assignment_1_T_Loop26_TestCase3, MAYBE, 569)</t>
  </si>
  <si>
    <t>(FSE_Modulo_Arithmetic_Mode_Type_Conversion_in_Assignment_1_T_Loop0_TestCase7, YES, 3786)
(FSE_Modulo_Arithmetic_Mode_Type_Conversion_in_Assignment_1_T_Loop0_TestCase6, YES, 3798)
(FSE_Modulo_Arithmetic_Mode_Type_Conversion_in_Assignment_1_T_Loop0_TestCase4, YES, 1771)
(FSE_Modulo_Arithmetic_Mode_Type_Conversion_in_Assignment_1_T_Loop0_TestCase5, YES, 1777)
(FSE_Modulo_Arithmetic_Mode_Type_Conversion_in_Assignment_1_T_Loop0_TestCase1, YES, 1762)
(FSE_Modulo_Arithmetic_Mode_Type_Conversion_in_Assignment_1_T_Loop0_TestCase2, YES, 1777)
(FSE_Modulo_Arithmetic_Mode_Type_Conversion_in_Assignment_1_T_Loop0_TestCase3, YES, 1757)
(FSE_Modulo_Arithmetic_Mode_Type_Conversion_in_Assignment_1_T_Loop0_TestCase8, YES, 3794)
(FSE_Modulo_Arithmetic_Mode_Type_Conversion_in_Assignment_1_T_Loop0_TestCase9, YES, 3796)
(FSE_Modulo_Arithmetic_Mode_Type_Conversion_in_Assignment_1_T_Loop0_TestCase10, YES, 3946)</t>
  </si>
  <si>
    <t>(FSE_Modulo_Arithmetic_Mode_Type_Conversion_in_Assignment_1_T_Loop26_TestCase0, MAYBE, 583)</t>
  </si>
  <si>
    <t>(FSE_Modulo_Arithmetic_Mode_Type_Conversion_in_Assignment_1_T_Loop0_TestCase0, YES, 3889)</t>
  </si>
  <si>
    <t>(FSE_Modulo_Arithmetic_Mode_Type_Conversion_in_Assignment_1_NT_Loop27_TestCase8, MAYBE, 583)
(FSE_Modulo_Arithmetic_Mode_Type_Conversion_in_Assignment_1_NT_Loop27_TestCase9, MAYBE, 583)
(FSE_Modulo_Arithmetic_Mode_Type_Conversion_in_Assignment_1_NT_Loop27_TestCase10, MAYBE, 580)
(FSE_Modulo_Arithmetic_Mode_Type_Conversion_in_Assignment_1_NT_Loop27_TestCase7, MAYBE, 577)
(FSE_Modulo_Arithmetic_Mode_Type_Conversion_in_Assignment_1_NT_Loop27_TestCase6, MAYBE, 567)
(FSE_Modulo_Arithmetic_Mode_Type_Conversion_in_Assignment_1_NT_Loop27_TestCase4, MAYBE, 570)
(FSE_Modulo_Arithmetic_Mode_Type_Conversion_in_Assignment_1_NT_Loop27_TestCase5, MAYBE, 582)
(FSE_Modulo_Arithmetic_Mode_Type_Conversion_in_Assignment_1_NT_Loop27_TestCase1, MAYBE, 574)
(FSE_Modulo_Arithmetic_Mode_Type_Conversion_in_Assignment_1_NT_Loop27_TestCase2, MAYBE, 565)
(FSE_Modulo_Arithmetic_Mode_Type_Conversion_in_Assignment_1_NT_Loop27_TestCase3, MAYBE, 579)</t>
  </si>
  <si>
    <t>(FSE_Modulo_Arithmetic_Mode_Type_Conversion_in_Assignment_1_NT_Loop0_TestCase10, NO, 1810)
(FSE_Modulo_Arithmetic_Mode_Type_Conversion_in_Assignment_1_NT_Loop0_TestCase4, YES, 1821)
(FSE_Modulo_Arithmetic_Mode_Type_Conversion_in_Assignment_1_NT_Loop0_TestCase5, YES, 1824)
(FSE_Modulo_Arithmetic_Mode_Type_Conversion_in_Assignment_1_NT_Loop0_TestCase7, NO, 2838)
(FSE_Modulo_Arithmetic_Mode_Type_Conversion_in_Assignment_1_NT_Loop0_TestCase6, NO, 1796)
(FSE_Modulo_Arithmetic_Mode_Type_Conversion_in_Assignment_1_NT_Loop0_TestCase2, YES, 1816)
(FSE_Modulo_Arithmetic_Mode_Type_Conversion_in_Assignment_1_NT_Loop0_TestCase3, YES, 1805)
(FSE_Modulo_Arithmetic_Mode_Type_Conversion_in_Assignment_1_NT_Loop0_TestCase1, YES, 1814)
(FSE_Modulo_Arithmetic_Mode_Type_Conversion_in_Assignment_1_NT_Loop0_TestCase8, NO, 1835)
(FSE_Modulo_Arithmetic_Mode_Type_Conversion_in_Assignment_1_NT_Loop0_TestCase9, NO, 1808)</t>
  </si>
  <si>
    <t>(FSE_Modulo_Arithmetic_Mode_Type_Conversion_in_Assignment_1_NT_Loop27_TestCase0, MAYBE, 593)</t>
  </si>
  <si>
    <t>(FSE_Modulo_Arithmetic_Mode_Type_Conversion_in_Assignment_1_NT_Loop0_TestCase0, NO, 1997)</t>
  </si>
  <si>
    <t>(FSE_Modulo_Arithmetic_Mode_Signed_Overflow_Error_3_T_Loop14_TestCase7, ERROR, 1764)
(FSE_Modulo_Arithmetic_Mode_Signed_Overflow_Error_3_T_Loop14_TestCase6, YES, 1757)
(FSE_Modulo_Arithmetic_Mode_Signed_Overflow_Error_3_T_Loop14_TestCase4, YES, 1778)
(FSE_Modulo_Arithmetic_Mode_Signed_Overflow_Error_3_T_Loop14_TestCase5, YES, 1777)
(FSE_Modulo_Arithmetic_Mode_Signed_Overflow_Error_3_T_Loop14_TestCase1, MAYBE, 555)
(FSE_Modulo_Arithmetic_Mode_Signed_Overflow_Error_3_T_Loop14_TestCase2, YES, 2941)
(FSE_Modulo_Arithmetic_Mode_Signed_Overflow_Error_3_T_Loop14_TestCase10, YES, 1767)
(FSE_Modulo_Arithmetic_Mode_Signed_Overflow_Error_3_T_Loop14_TestCase3, YES, 1814)
(FSE_Modulo_Arithmetic_Mode_Signed_Overflow_Error_3_T_Loop14_TestCase8, YES, 1786)
(FSE_Modulo_Arithmetic_Mode_Signed_Overflow_Error_3_T_Loop14_TestCase9, YES, 1745)</t>
  </si>
  <si>
    <t>(FSE_Modulo_Arithmetic_Mode_Signed_Overflow_Error_3_T_Loop0_TestCase7, YES, 3852)
(FSE_Modulo_Arithmetic_Mode_Signed_Overflow_Error_3_T_Loop0_TestCase6, YES, 3768)
(FSE_Modulo_Arithmetic_Mode_Signed_Overflow_Error_3_T_Loop0_TestCase4, YES, 3889)
(FSE_Modulo_Arithmetic_Mode_Signed_Overflow_Error_3_T_Loop0_TestCase5, YES, 3872)
(FSE_Modulo_Arithmetic_Mode_Signed_Overflow_Error_3_T_Loop0_TestCase1, MAYBE, 543)
(FSE_Modulo_Arithmetic_Mode_Signed_Overflow_Error_3_T_Loop0_TestCase2, YES, 3785)
(FSE_Modulo_Arithmetic_Mode_Signed_Overflow_Error_3_T_Loop0_TestCase3, YES, 3816)
(FSE_Modulo_Arithmetic_Mode_Signed_Overflow_Error_3_T_Loop0_TestCase10, YES, 3954)
(FSE_Modulo_Arithmetic_Mode_Signed_Overflow_Error_3_T_Loop0_TestCase8, YES, 3798)
(FSE_Modulo_Arithmetic_Mode_Signed_Overflow_Error_3_T_Loop0_TestCase9, YES, 3925)</t>
  </si>
  <si>
    <t>(FSE_Modulo_Arithmetic_Mode_Signed_Overflow_Error_3_T_Loop14_TestCase0, YES, 1761)</t>
  </si>
  <si>
    <t>(FSE_Modulo_Arithmetic_Mode_Signed_Overflow_Error_3_T_Loop0_TestCase0, YES, 3909)</t>
  </si>
  <si>
    <t>(FSE_Modulo_Arithmetic_Mode_Signed_Overflow_Error_3_NT_Loop15_TestCase10, TIMEOUT, 302125)
(FSE_Modulo_Arithmetic_Mode_Signed_Overflow_Error_3_NT_Loop15_TestCase9, TIMEOUT, 302083)
(FSE_Modulo_Arithmetic_Mode_Signed_Overflow_Error_3_NT_Loop15_TestCase8, TIMEOUT, 302155)
(FSE_Modulo_Arithmetic_Mode_Signed_Overflow_Error_3_NT_Loop15_TestCase5, YES, 3858)
(FSE_Modulo_Arithmetic_Mode_Signed_Overflow_Error_3_NT_Loop15_TestCase4, YES, 3918)
(FSE_Modulo_Arithmetic_Mode_Signed_Overflow_Error_3_NT_Loop15_TestCase6, NO, 3925)
(FSE_Modulo_Arithmetic_Mode_Signed_Overflow_Error_3_NT_Loop15_TestCase7, TIMEOUT, 302094)
(FSE_Modulo_Arithmetic_Mode_Signed_Overflow_Error_3_NT_Loop15_TestCase3, YES, 3867)
(FSE_Modulo_Arithmetic_Mode_Signed_Overflow_Error_3_NT_Loop15_TestCase2, YES, 2872)
(FSE_Modulo_Arithmetic_Mode_Signed_Overflow_Error_3_NT_Loop15_TestCase1, MAYBE, 557)</t>
  </si>
  <si>
    <t>(FSE_Modulo_Arithmetic_Mode_Signed_Overflow_Error_3_NT_Loop0_TestCase7, TIMEOUT, 301666)
(FSE_Modulo_Arithmetic_Mode_Signed_Overflow_Error_3_NT_Loop0_TestCase6, NO, 8109)
(FSE_Modulo_Arithmetic_Mode_Signed_Overflow_Error_3_NT_Loop0_TestCase4, YES, 6512)
(FSE_Modulo_Arithmetic_Mode_Signed_Overflow_Error_3_NT_Loop0_TestCase5, YES, 6557)
(FSE_Modulo_Arithmetic_Mode_Signed_Overflow_Error_3_NT_Loop0_TestCase1, MAYBE, 535)
(FSE_Modulo_Arithmetic_Mode_Signed_Overflow_Error_3_NT_Loop0_TestCase2, YES, 5806)
(FSE_Modulo_Arithmetic_Mode_Signed_Overflow_Error_3_NT_Loop0_TestCase3, YES, 5865)
(FSE_Modulo_Arithmetic_Mode_Signed_Overflow_Error_3_NT_Loop0_TestCase8, TIMEOUT, 301696)
(FSE_Modulo_Arithmetic_Mode_Signed_Overflow_Error_3_NT_Loop0_TestCase9, TIMEOUT, 301614)
(FSE_Modulo_Arithmetic_Mode_Signed_Overflow_Error_3_NT_Loop0_TestCase10, TIMEOUT, 301630)</t>
  </si>
  <si>
    <t>(FSE_Modulo_Arithmetic_Mode_Signed_Overflow_Error_3_NT_Loop15_TestCase0, TIMEOUT, 301678)</t>
  </si>
  <si>
    <t>(FSE_Modulo_Arithmetic_Mode_Signed_Overflow_Error_3_NT_Loop0_TestCase0, TIMEOUT, 301690)</t>
  </si>
  <si>
    <t>(FSE_Modulo_Arithmetic_Mode_Signed_Overflow_Error_2_T_Loop14_TestCase3, ERROR, 1668)
(FSE_Modulo_Arithmetic_Mode_Signed_Overflow_Error_2_T_Loop14_TestCase2, ERROR, 1642)
(FSE_Modulo_Arithmetic_Mode_Signed_Overflow_Error_2_T_Loop14_TestCase1, ERROR, 1646)
(FSE_Modulo_Arithmetic_Mode_Signed_Overflow_Error_2_T_Loop14_TestCase5, ERROR, 1679)
(FSE_Modulo_Arithmetic_Mode_Signed_Overflow_Error_2_T_Loop14_TestCase4, ERROR, 1682)
(FSE_Modulo_Arithmetic_Mode_Signed_Overflow_Error_2_T_Loop14_TestCase6, ERROR, 2064)
(FSE_Modulo_Arithmetic_Mode_Signed_Overflow_Error_2_T_Loop14_TestCase7, ERROR, 2118)
(FSE_Modulo_Arithmetic_Mode_Signed_Overflow_Error_2_T_Loop14_TestCase10, ERROR, 2064)
(FSE_Modulo_Arithmetic_Mode_Signed_Overflow_Error_2_T_Loop14_TestCase9, ERROR, 2070)
(FSE_Modulo_Arithmetic_Mode_Signed_Overflow_Error_2_T_Loop14_TestCase8, ERROR, 1664)</t>
  </si>
  <si>
    <t>(FSE_Modulo_Arithmetic_Mode_Signed_Overflow_Error_2_T_Loop0_TestCase8, ERROR, 1667)
(FSE_Modulo_Arithmetic_Mode_Signed_Overflow_Error_2_T_Loop0_TestCase9, ERROR, 1910)
(FSE_Modulo_Arithmetic_Mode_Signed_Overflow_Error_2_T_Loop0_TestCase4, ERROR, 1583)
(FSE_Modulo_Arithmetic_Mode_Signed_Overflow_Error_2_T_Loop0_TestCase5, ERROR, 1605)
(FSE_Modulo_Arithmetic_Mode_Signed_Overflow_Error_2_T_Loop0_TestCase7, ERROR, 1980)
(FSE_Modulo_Arithmetic_Mode_Signed_Overflow_Error_2_T_Loop0_TestCase6, ERROR, 1621)
(FSE_Modulo_Arithmetic_Mode_Signed_Overflow_Error_2_T_Loop0_TestCase2, ERROR, 1644)
(FSE_Modulo_Arithmetic_Mode_Signed_Overflow_Error_2_T_Loop0_TestCase3, ERROR, 1613)
(FSE_Modulo_Arithmetic_Mode_Signed_Overflow_Error_2_T_Loop0_TestCase1, ERROR, 1593)
(FSE_Modulo_Arithmetic_Mode_Signed_Overflow_Error_2_T_Loop0_TestCase10, ERROR, 1874)</t>
  </si>
  <si>
    <t>(FSE_Modulo_Arithmetic_Mode_Signed_Overflow_Error_2_T_Loop14_TestCase0, ERROR, 1694)</t>
  </si>
  <si>
    <t>(FSE_Modulo_Arithmetic_Mode_Signed_Overflow_Error_2_T_Loop0_TestCase0, ERROR, 1674)</t>
  </si>
  <si>
    <t>(FSE_Modulo_Arithmetic_Mode_Signed_Overflow_Error_2_NT_Loop15_TestCase1, ERROR, 1615)
(FSE_Modulo_Arithmetic_Mode_Signed_Overflow_Error_2_NT_Loop15_TestCase10, ERROR, 2019)
(FSE_Modulo_Arithmetic_Mode_Signed_Overflow_Error_2_NT_Loop15_TestCase2, ERROR, 1624)
(FSE_Modulo_Arithmetic_Mode_Signed_Overflow_Error_2_NT_Loop15_TestCase3, ERROR, 1675)
(FSE_Modulo_Arithmetic_Mode_Signed_Overflow_Error_2_NT_Loop15_TestCase7, ERROR, 1807)
(FSE_Modulo_Arithmetic_Mode_Signed_Overflow_Error_2_NT_Loop15_TestCase6, ERROR, 1647)
(FSE_Modulo_Arithmetic_Mode_Signed_Overflow_Error_2_NT_Loop15_TestCase4, ERROR, 1667)
(FSE_Modulo_Arithmetic_Mode_Signed_Overflow_Error_2_NT_Loop15_TestCase5, ERROR, 1630)
(FSE_Modulo_Arithmetic_Mode_Signed_Overflow_Error_2_NT_Loop15_TestCase8, ERROR, 2044)
(FSE_Modulo_Arithmetic_Mode_Signed_Overflow_Error_2_NT_Loop15_TestCase9, ERROR, 3696)</t>
  </si>
  <si>
    <t>(FSE_Modulo_Arithmetic_Mode_Signed_Overflow_Error_2_NT_Loop0_TestCase3, ERROR, 1601)
(FSE_Modulo_Arithmetic_Mode_Signed_Overflow_Error_2_NT_Loop0_TestCase2, ERROR, 1634)
(FSE_Modulo_Arithmetic_Mode_Signed_Overflow_Error_2_NT_Loop0_TestCase1, ERROR, 1611)
(FSE_Modulo_Arithmetic_Mode_Signed_Overflow_Error_2_NT_Loop0_TestCase5, ERROR, 1610)
(FSE_Modulo_Arithmetic_Mode_Signed_Overflow_Error_2_NT_Loop0_TestCase4, ERROR, 1564)
(FSE_Modulo_Arithmetic_Mode_Signed_Overflow_Error_2_NT_Loop0_TestCase6, ERROR, 1576)
(FSE_Modulo_Arithmetic_Mode_Signed_Overflow_Error_2_NT_Loop0_TestCase7, ERROR, 1808)
(FSE_Modulo_Arithmetic_Mode_Signed_Overflow_Error_2_NT_Loop0_TestCase10, ERROR, 1753)
(FSE_Modulo_Arithmetic_Mode_Signed_Overflow_Error_2_NT_Loop0_TestCase9, ERROR, 1839)
(FSE_Modulo_Arithmetic_Mode_Signed_Overflow_Error_2_NT_Loop0_TestCase8, ERROR, 1796)</t>
  </si>
  <si>
    <t>(FSE_Modulo_Arithmetic_Mode_Signed_Overflow_Error_2_NT_Loop15_TestCase0, ERROR, 1681)</t>
  </si>
  <si>
    <t>(FSE_Modulo_Arithmetic_Mode_Signed_Overflow_Error_2_NT_Loop0_TestCase0, ERROR, 1617)</t>
  </si>
  <si>
    <t>(FSE_Modulo_Arithmetic_Mode_Signed_Overflow_Error_1_T_Loop14_TestCase0, ERROR, 1652)</t>
  </si>
  <si>
    <t>(FSE_Modulo_Arithmetic_Mode_Signed_Overflow_Error_1_T_Loop0_TestCase0, ERROR, 1619)</t>
  </si>
  <si>
    <t>(FSE_Modulo_Arithmetic_Mode_Signed_Overflow_Error_1_T_Loop14_TestCase0, ERROR, 1700)</t>
  </si>
  <si>
    <t>(FSE_Modulo_Arithmetic_Mode_Signed_Overflow_Error_1_T_Loop0_TestCase0, ERROR, 1647)</t>
  </si>
  <si>
    <t>(FSE_Modulo_Arithmetic_Mode_Signed_Overflow_Error_1_NT_Loop13_TestCase0, ERROR, 1651)</t>
  </si>
  <si>
    <t>(FSE_Modulo_Arithmetic_Mode_Signed_Overflow_Error_1_NT_Loop0_TestCase0, ERROR, 1595)</t>
  </si>
  <si>
    <t>(FSE_Modulo_Arithmetic_Mode_Signed_Overflow_Error_1_NT_Loop13_TestCase0, ERROR, 1668)</t>
  </si>
  <si>
    <t>(FSE_Modulo_Arithmetic_Mode_Signed_Overflow_Error_1_NT_Loop0_TestCase0, ERROR, 1641)</t>
  </si>
  <si>
    <t>(FSE_Modulo_Arithmetic_Mode_Reusing_Same_Loop_Iterator_2_T_Loop17_TestCase9, YES, 3776)
(FSE_Modulo_Arithmetic_Mode_Reusing_Same_Loop_Iterator_2_T_Loop17_TestCase8, YES, 3827)
(FSE_Modulo_Arithmetic_Mode_Reusing_Same_Loop_Iterator_2_T_Loop20_TestCase9, YES, 6649)
(FSE_Modulo_Arithmetic_Mode_Reusing_Same_Loop_Iterator_2_T_Loop20_TestCase10, YES, 6425)
(FSE_Modulo_Arithmetic_Mode_Reusing_Same_Loop_Iterator_2_T_Loop20_TestCase8, YES, 6573)
(FSE_Modulo_Arithmetic_Mode_Reusing_Same_Loop_Iterator_2_T_Loop20_TestCase3, YES, 5810)
(FSE_Modulo_Arithmetic_Mode_Reusing_Same_Loop_Iterator_2_T_Loop20_TestCase2, YES, 5871)
(FSE_Modulo_Arithmetic_Mode_Reusing_Same_Loop_Iterator_2_T_Loop20_TestCase1, YES, 5830)
(FSE_Modulo_Arithmetic_Mode_Reusing_Same_Loop_Iterator_2_T_Loop20_TestCase5, YES, 1758)
(FSE_Modulo_Arithmetic_Mode_Reusing_Same_Loop_Iterator_2_T_Loop20_TestCase4, YES, 1793)
(FSE_Modulo_Arithmetic_Mode_Reusing_Same_Loop_Iterator_2_T_Loop20_TestCase6, YES, 6826)
(FSE_Modulo_Arithmetic_Mode_Reusing_Same_Loop_Iterator_2_T_Loop20_TestCase7, YES, 6449)
(FSE_Modulo_Arithmetic_Mode_Reusing_Same_Loop_Iterator_2_T_Loop17_TestCase6, YES, 3806)
(FSE_Modulo_Arithmetic_Mode_Reusing_Same_Loop_Iterator_2_T_Loop17_TestCase7, YES, 3811)
(FSE_Modulo_Arithmetic_Mode_Reusing_Same_Loop_Iterator_2_T_Loop17_TestCase5, YES, 2859)
(FSE_Modulo_Arithmetic_Mode_Reusing_Same_Loop_Iterator_2_T_Loop17_TestCase4, YES, 1847)
(FSE_Modulo_Arithmetic_Mode_Reusing_Same_Loop_Iterator_2_T_Loop17_TestCase10, YES, 3807)
(FSE_Modulo_Arithmetic_Mode_Reusing_Same_Loop_Iterator_2_T_Loop17_TestCase1, YES, 2812)
(FSE_Modulo_Arithmetic_Mode_Reusing_Same_Loop_Iterator_2_T_Loop17_TestCase3, YES, 2801)
(FSE_Modulo_Arithmetic_Mode_Reusing_Same_Loop_Iterator_2_T_Loop17_TestCase2, YES, 2784)</t>
  </si>
  <si>
    <t>(FSE_Modulo_Arithmetic_Mode_Reusing_Same_Loop_Iterator_2_T_Loop0_TestCase6, YES, 6384)
(FSE_Modulo_Arithmetic_Mode_Reusing_Same_Loop_Iterator_2_T_Loop0_TestCase7, YES, 6575)
(FSE_Modulo_Arithmetic_Mode_Reusing_Same_Loop_Iterator_2_T_Loop0_TestCase5, YES, 1745)
(FSE_Modulo_Arithmetic_Mode_Reusing_Same_Loop_Iterator_2_T_Loop0_TestCase4, YES, 1751)
(FSE_Modulo_Arithmetic_Mode_Reusing_Same_Loop_Iterator_2_T_Loop0_TestCase1, YES, 5810)
(FSE_Modulo_Arithmetic_Mode_Reusing_Same_Loop_Iterator_2_T_Loop0_TestCase3, YES, 5805)
(FSE_Modulo_Arithmetic_Mode_Reusing_Same_Loop_Iterator_2_T_Loop0_TestCase2, YES, 5781)
(FSE_Modulo_Arithmetic_Mode_Reusing_Same_Loop_Iterator_2_T_Loop0_TestCase10, YES, 6828)
(FSE_Modulo_Arithmetic_Mode_Reusing_Same_Loop_Iterator_2_T_Loop0_TestCase9, YES, 6512)
(FSE_Modulo_Arithmetic_Mode_Reusing_Same_Loop_Iterator_2_T_Loop0_TestCase8, YES, 6308)</t>
  </si>
  <si>
    <t>(FSE_Modulo_Arithmetic_Mode_Reusing_Same_Loop_Iterator_2_T_Loop20_TestCase0, YES, 8211)
(FSE_Modulo_Arithmetic_Mode_Reusing_Same_Loop_Iterator_2_T_Loop17_TestCase0, YES, 3820)</t>
  </si>
  <si>
    <t>(FSE_Modulo_Arithmetic_Mode_Reusing_Same_Loop_Iterator_2_T_Loop0_TestCase0, YES, 11216)</t>
  </si>
  <si>
    <t>(FSE_Modulo_Arithmetic_Mode_Reusing_Same_Loop_Iterator_2_NT_Loop18_TestCase7, NO, 4130)
(FSE_Modulo_Arithmetic_Mode_Reusing_Same_Loop_Iterator_2_NT_Loop18_TestCase6, NO, 4189)
(FSE_Modulo_Arithmetic_Mode_Reusing_Same_Loop_Iterator_2_NT_Loop18_TestCase4, YES, 1764)
(FSE_Modulo_Arithmetic_Mode_Reusing_Same_Loop_Iterator_2_NT_Loop18_TestCase5, YES, 1929)
(FSE_Modulo_Arithmetic_Mode_Reusing_Same_Loop_Iterator_2_NT_Loop18_TestCase1, YES, 3843)
(FSE_Modulo_Arithmetic_Mode_Reusing_Same_Loop_Iterator_2_NT_Loop18_TestCase2, YES, 3871)
(FSE_Modulo_Arithmetic_Mode_Reusing_Same_Loop_Iterator_2_NT_Loop18_TestCase3, YES, 3802)
(FSE_Modulo_Arithmetic_Mode_Reusing_Same_Loop_Iterator_2_NT_Loop16_TestCase2, YES, 3989)
(FSE_Modulo_Arithmetic_Mode_Reusing_Same_Loop_Iterator_2_NT_Loop16_TestCase3, YES, 3794)
(FSE_Modulo_Arithmetic_Mode_Reusing_Same_Loop_Iterator_2_NT_Loop16_TestCase1, YES, 3817)
(FSE_Modulo_Arithmetic_Mode_Reusing_Same_Loop_Iterator_2_NT_Loop16_TestCase4, YES, 1762)
(FSE_Modulo_Arithmetic_Mode_Reusing_Same_Loop_Iterator_2_NT_Loop16_TestCase5, YES, 1757)
(FSE_Modulo_Arithmetic_Mode_Reusing_Same_Loop_Iterator_2_NT_Loop16_TestCase7, NO, 4152)
(FSE_Modulo_Arithmetic_Mode_Reusing_Same_Loop_Iterator_2_NT_Loop16_TestCase6, NO, 4129)
(FSE_Modulo_Arithmetic_Mode_Reusing_Same_Loop_Iterator_2_NT_Loop18_TestCase10, NO, 4089)
(FSE_Modulo_Arithmetic_Mode_Reusing_Same_Loop_Iterator_2_NT_Loop16_TestCase8, NO, 4222)
(FSE_Modulo_Arithmetic_Mode_Reusing_Same_Loop_Iterator_2_NT_Loop16_TestCase9, NO, 4114)
(FSE_Modulo_Arithmetic_Mode_Reusing_Same_Loop_Iterator_2_NT_Loop16_TestCase10, NO, 4184)
(FSE_Modulo_Arithmetic_Mode_Reusing_Same_Loop_Iterator_2_NT_Loop18_TestCase8, NO, 4116)
(FSE_Modulo_Arithmetic_Mode_Reusing_Same_Loop_Iterator_2_NT_Loop18_TestCase9, NO, 4112)</t>
  </si>
  <si>
    <t>(FSE_Modulo_Arithmetic_Mode_Reusing_Same_Loop_Iterator_2_NT_Loop0_TestCase9, NO, 4062)
(FSE_Modulo_Arithmetic_Mode_Reusing_Same_Loop_Iterator_2_NT_Loop0_TestCase8, NO, 4060)
(FSE_Modulo_Arithmetic_Mode_Reusing_Same_Loop_Iterator_2_NT_Loop0_TestCase10, NO, 4005)
(FSE_Modulo_Arithmetic_Mode_Reusing_Same_Loop_Iterator_2_NT_Loop0_TestCase3, YES, 3763)
(FSE_Modulo_Arithmetic_Mode_Reusing_Same_Loop_Iterator_2_NT_Loop0_TestCase2, YES, 3782)
(FSE_Modulo_Arithmetic_Mode_Reusing_Same_Loop_Iterator_2_NT_Loop0_TestCase1, YES, 3787)
(FSE_Modulo_Arithmetic_Mode_Reusing_Same_Loop_Iterator_2_NT_Loop0_TestCase5, YES, 1740)
(FSE_Modulo_Arithmetic_Mode_Reusing_Same_Loop_Iterator_2_NT_Loop0_TestCase4, YES, 1769)
(FSE_Modulo_Arithmetic_Mode_Reusing_Same_Loop_Iterator_2_NT_Loop0_TestCase6, NO, 4102)
(FSE_Modulo_Arithmetic_Mode_Reusing_Same_Loop_Iterator_2_NT_Loop0_TestCase7, NO, 4083)</t>
  </si>
  <si>
    <t>(FSE_Modulo_Arithmetic_Mode_Reusing_Same_Loop_Iterator_2_NT_Loop18_TestCase0, NO, 35100)
(FSE_Modulo_Arithmetic_Mode_Reusing_Same_Loop_Iterator_2_NT_Loop16_TestCase0, NO, 35495)</t>
  </si>
  <si>
    <t>(FSE_Modulo_Arithmetic_Mode_Reusing_Same_Loop_Iterator_2_NT_Loop0_TestCase0, NO, 27083)</t>
  </si>
  <si>
    <t>(FSE_Modulo_Arithmetic_Mode_Reusing_Same_Loop_Iterator_1_T_Loop17_TestCase9, YES, 3796)
(FSE_Modulo_Arithmetic_Mode_Reusing_Same_Loop_Iterator_1_T_Loop17_TestCase8, YES, 3803)
(FSE_Modulo_Arithmetic_Mode_Reusing_Same_Loop_Iterator_1_T_Loop19_TestCase9, YES, 6028)
(FSE_Modulo_Arithmetic_Mode_Reusing_Same_Loop_Iterator_1_T_Loop19_TestCase8, YES, 6948)
(FSE_Modulo_Arithmetic_Mode_Reusing_Same_Loop_Iterator_1_T_Loop19_TestCase6, YES, 6420)
(FSE_Modulo_Arithmetic_Mode_Reusing_Same_Loop_Iterator_1_T_Loop19_TestCase7, YES, 6478)
(FSE_Modulo_Arithmetic_Mode_Reusing_Same_Loop_Iterator_1_T_Loop17_TestCase10, YES, 3814)
(FSE_Modulo_Arithmetic_Mode_Reusing_Same_Loop_Iterator_1_T_Loop19_TestCase5, YES, 6506)
(FSE_Modulo_Arithmetic_Mode_Reusing_Same_Loop_Iterator_1_T_Loop19_TestCase4, YES, 1769)
(FSE_Modulo_Arithmetic_Mode_Reusing_Same_Loop_Iterator_1_T_Loop19_TestCase1, YES, 5894)
(FSE_Modulo_Arithmetic_Mode_Reusing_Same_Loop_Iterator_1_T_Loop19_TestCase10, YES, 6512)
(FSE_Modulo_Arithmetic_Mode_Reusing_Same_Loop_Iterator_1_T_Loop19_TestCase3, YES, 1768)
(FSE_Modulo_Arithmetic_Mode_Reusing_Same_Loop_Iterator_1_T_Loop19_TestCase2, YES, 6882)
(FSE_Modulo_Arithmetic_Mode_Reusing_Same_Loop_Iterator_1_T_Loop17_TestCase3, YES, 1801)
(FSE_Modulo_Arithmetic_Mode_Reusing_Same_Loop_Iterator_1_T_Loop17_TestCase2, YES, 3808)
(FSE_Modulo_Arithmetic_Mode_Reusing_Same_Loop_Iterator_1_T_Loop17_TestCase1, YES, 2797)
(FSE_Modulo_Arithmetic_Mode_Reusing_Same_Loop_Iterator_1_T_Loop17_TestCase5, YES, 3797)
(FSE_Modulo_Arithmetic_Mode_Reusing_Same_Loop_Iterator_1_T_Loop17_TestCase4, YES, 1751)
(FSE_Modulo_Arithmetic_Mode_Reusing_Same_Loop_Iterator_1_T_Loop17_TestCase6, YES, 3780)
(FSE_Modulo_Arithmetic_Mode_Reusing_Same_Loop_Iterator_1_T_Loop17_TestCase7, YES, 3775)</t>
  </si>
  <si>
    <t>(FSE_Modulo_Arithmetic_Mode_Reusing_Same_Loop_Iterator_1_T_Loop0_TestCase8, YES, 6228)
(FSE_Modulo_Arithmetic_Mode_Reusing_Same_Loop_Iterator_1_T_Loop0_TestCase9, YES, 6014)
(FSE_Modulo_Arithmetic_Mode_Reusing_Same_Loop_Iterator_1_T_Loop0_TestCase10, YES, 6507)
(FSE_Modulo_Arithmetic_Mode_Reusing_Same_Loop_Iterator_1_T_Loop0_TestCase2, YES, 6895)
(FSE_Modulo_Arithmetic_Mode_Reusing_Same_Loop_Iterator_1_T_Loop0_TestCase3, YES, 1721)
(FSE_Modulo_Arithmetic_Mode_Reusing_Same_Loop_Iterator_1_T_Loop0_TestCase1, YES, 5854)
(FSE_Modulo_Arithmetic_Mode_Reusing_Same_Loop_Iterator_1_T_Loop0_TestCase4, YES, 1748)
(FSE_Modulo_Arithmetic_Mode_Reusing_Same_Loop_Iterator_1_T_Loop0_TestCase5, YES, 6398)
(FSE_Modulo_Arithmetic_Mode_Reusing_Same_Loop_Iterator_1_T_Loop0_TestCase7, YES, 6580)
(FSE_Modulo_Arithmetic_Mode_Reusing_Same_Loop_Iterator_1_T_Loop0_TestCase6, YES, 6586)</t>
  </si>
  <si>
    <t>(FSE_Modulo_Arithmetic_Mode_Reusing_Same_Loop_Iterator_1_T_Loop19_TestCase0, YES, 30623)
(FSE_Modulo_Arithmetic_Mode_Reusing_Same_Loop_Iterator_1_T_Loop17_TestCase0, YES, 3825)</t>
  </si>
  <si>
    <t>(FSE_Modulo_Arithmetic_Mode_Reusing_Same_Loop_Iterator_1_T_Loop0_TestCase0, YES, 25742)</t>
  </si>
  <si>
    <t>(FSE_Modulo_Arithmetic_Mode_Reusing_Same_Loop_Iterator_1_NT_Loop17_TestCase9, NO, 3789)
(FSE_Modulo_Arithmetic_Mode_Reusing_Same_Loop_Iterator_1_NT_Loop17_TestCase8, NO, 3824)
(FSE_Modulo_Arithmetic_Mode_Reusing_Same_Loop_Iterator_1_NT_Loop19_TestCase10, NO, 4144)
(FSE_Modulo_Arithmetic_Mode_Reusing_Same_Loop_Iterator_1_NT_Loop17_TestCase10, NO, 4134)
(FSE_Modulo_Arithmetic_Mode_Reusing_Same_Loop_Iterator_1_NT_Loop19_TestCase9, NO, 3789)
(FSE_Modulo_Arithmetic_Mode_Reusing_Same_Loop_Iterator_1_NT_Loop19_TestCase8, NO, 3793)
(FSE_Modulo_Arithmetic_Mode_Reusing_Same_Loop_Iterator_1_NT_Loop19_TestCase5, YES, 3876)
(FSE_Modulo_Arithmetic_Mode_Reusing_Same_Loop_Iterator_1_NT_Loop19_TestCase4, YES, 1756)
(FSE_Modulo_Arithmetic_Mode_Reusing_Same_Loop_Iterator_1_NT_Loop19_TestCase6, NO, 4142)
(FSE_Modulo_Arithmetic_Mode_Reusing_Same_Loop_Iterator_1_NT_Loop19_TestCase7, NO, 4130)
(FSE_Modulo_Arithmetic_Mode_Reusing_Same_Loop_Iterator_1_NT_Loop19_TestCase3, YES, 1800)
(FSE_Modulo_Arithmetic_Mode_Reusing_Same_Loop_Iterator_1_NT_Loop19_TestCase2, YES, 3923)
(FSE_Modulo_Arithmetic_Mode_Reusing_Same_Loop_Iterator_1_NT_Loop19_TestCase1, YES, 3859)
(FSE_Modulo_Arithmetic_Mode_Reusing_Same_Loop_Iterator_1_NT_Loop17_TestCase1, YES, 4227)
(FSE_Modulo_Arithmetic_Mode_Reusing_Same_Loop_Iterator_1_NT_Loop17_TestCase3, YES, 1754)
(FSE_Modulo_Arithmetic_Mode_Reusing_Same_Loop_Iterator_1_NT_Loop17_TestCase2, YES, 3900)
(FSE_Modulo_Arithmetic_Mode_Reusing_Same_Loop_Iterator_1_NT_Loop17_TestCase6, NO, 4013)
(FSE_Modulo_Arithmetic_Mode_Reusing_Same_Loop_Iterator_1_NT_Loop17_TestCase7, NO, 4099)
(FSE_Modulo_Arithmetic_Mode_Reusing_Same_Loop_Iterator_1_NT_Loop17_TestCase5, YES, 3987)
(FSE_Modulo_Arithmetic_Mode_Reusing_Same_Loop_Iterator_1_NT_Loop17_TestCase4, YES, 1854)</t>
  </si>
  <si>
    <t>(FSE_Modulo_Arithmetic_Mode_Reusing_Same_Loop_Iterator_1_NT_Loop0_TestCase9, NO, 3896)
(FSE_Modulo_Arithmetic_Mode_Reusing_Same_Loop_Iterator_1_NT_Loop0_TestCase8, NO, 3761)
(FSE_Modulo_Arithmetic_Mode_Reusing_Same_Loop_Iterator_1_NT_Loop0_TestCase10, NO, 4109)
(FSE_Modulo_Arithmetic_Mode_Reusing_Same_Loop_Iterator_1_NT_Loop0_TestCase6, NO, 4069)
(FSE_Modulo_Arithmetic_Mode_Reusing_Same_Loop_Iterator_1_NT_Loop0_TestCase7, NO, 4083)
(FSE_Modulo_Arithmetic_Mode_Reusing_Same_Loop_Iterator_1_NT_Loop0_TestCase5, YES, 3897)
(FSE_Modulo_Arithmetic_Mode_Reusing_Same_Loop_Iterator_1_NT_Loop0_TestCase4, YES, 1765)
(FSE_Modulo_Arithmetic_Mode_Reusing_Same_Loop_Iterator_1_NT_Loop0_TestCase1, YES, 3854)
(FSE_Modulo_Arithmetic_Mode_Reusing_Same_Loop_Iterator_1_NT_Loop0_TestCase3, YES, 1734)
(FSE_Modulo_Arithmetic_Mode_Reusing_Same_Loop_Iterator_1_NT_Loop0_TestCase2, YES, 3892)</t>
  </si>
  <si>
    <t>(FSE_Modulo_Arithmetic_Mode_Reusing_Same_Loop_Iterator_1_NT_Loop19_TestCase0, NO, 6952)
(FSE_Modulo_Arithmetic_Mode_Reusing_Same_Loop_Iterator_1_NT_Loop17_TestCase0, NO, 7003)</t>
  </si>
  <si>
    <t>(FSE_Modulo_Arithmetic_Mode_Reusing_Same_Loop_Iterator_1_NT_Loop0_TestCase0, NO, 7085)</t>
  </si>
  <si>
    <t>(FSE_Modulo_Arithmetic_Mode_Misusing_Variable_Type_2_T_Loop23_TestCase9, YES, 2321)
(FSE_Modulo_Arithmetic_Mode_Misusing_Variable_Type_2_T_Loop23_TestCase8, YES, 1784)
(FSE_Modulo_Arithmetic_Mode_Misusing_Variable_Type_2_T_Loop23_TestCase6, YES, 1766)
(FSE_Modulo_Arithmetic_Mode_Misusing_Variable_Type_2_T_Loop23_TestCase7, YES, 1794)
(FSE_Modulo_Arithmetic_Mode_Misusing_Variable_Type_2_T_Loop23_TestCase5, YES, 1793)
(FSE_Modulo_Arithmetic_Mode_Misusing_Variable_Type_2_T_Loop23_TestCase4, YES, 1833)
(FSE_Modulo_Arithmetic_Mode_Misusing_Variable_Type_2_T_Loop23_TestCase1, YES, 1775)
(FSE_Modulo_Arithmetic_Mode_Misusing_Variable_Type_2_T_Loop23_TestCase3, YES, 1791)
(FSE_Modulo_Arithmetic_Mode_Misusing_Variable_Type_2_T_Loop23_TestCase2, YES, 1853)
(FSE_Modulo_Arithmetic_Mode_Misusing_Variable_Type_2_T_Loop23_TestCase10, YES, 1783)</t>
  </si>
  <si>
    <t>(FSE_Modulo_Arithmetic_Mode_Misusing_Variable_Type_2_T_Loop0_TestCase8, YES, 1828)
(FSE_Modulo_Arithmetic_Mode_Misusing_Variable_Type_2_T_Loop0_TestCase9, YES, 1759)
(FSE_Modulo_Arithmetic_Mode_Misusing_Variable_Type_2_T_Loop0_TestCase10, YES, 1754)
(FSE_Modulo_Arithmetic_Mode_Misusing_Variable_Type_2_T_Loop0_TestCase1, YES, 1756)
(FSE_Modulo_Arithmetic_Mode_Misusing_Variable_Type_2_T_Loop0_TestCase2, YES, 1751)
(FSE_Modulo_Arithmetic_Mode_Misusing_Variable_Type_2_T_Loop0_TestCase3, YES, 1762)
(FSE_Modulo_Arithmetic_Mode_Misusing_Variable_Type_2_T_Loop0_TestCase7, YES, 1765)
(FSE_Modulo_Arithmetic_Mode_Misusing_Variable_Type_2_T_Loop0_TestCase6, YES, 1778)
(FSE_Modulo_Arithmetic_Mode_Misusing_Variable_Type_2_T_Loop0_TestCase4, YES, 1771)
(FSE_Modulo_Arithmetic_Mode_Misusing_Variable_Type_2_T_Loop0_TestCase5, YES, 1746)</t>
  </si>
  <si>
    <t>(FSE_Modulo_Arithmetic_Mode_Misusing_Variable_Type_2_T_Loop23_TestCase0, YES, 1852)</t>
  </si>
  <si>
    <t>(FSE_Modulo_Arithmetic_Mode_Misusing_Variable_Type_2_T_Loop0_TestCase0, YES, 1810)</t>
  </si>
  <si>
    <t>(FSE_Modulo_Arithmetic_Mode_Misusing_Variable_Type_2_NT_Loop24_TestCase6, YES, 1906)
(FSE_Modulo_Arithmetic_Mode_Misusing_Variable_Type_2_NT_Loop24_TestCase7, YES, 1796)
(FSE_Modulo_Arithmetic_Mode_Misusing_Variable_Type_2_NT_Loop24_TestCase5, YES, 1801)
(FSE_Modulo_Arithmetic_Mode_Misusing_Variable_Type_2_NT_Loop24_TestCase4, YES, 1780)
(FSE_Modulo_Arithmetic_Mode_Misusing_Variable_Type_2_NT_Loop24_TestCase1, YES, 3913)
(FSE_Modulo_Arithmetic_Mode_Misusing_Variable_Type_2_NT_Loop24_TestCase3, YES, 1799)
(FSE_Modulo_Arithmetic_Mode_Misusing_Variable_Type_2_NT_Loop24_TestCase2, YES, 1786)
(FSE_Modulo_Arithmetic_Mode_Misusing_Variable_Type_2_NT_Loop24_TestCase10, YES, 1911)
(FSE_Modulo_Arithmetic_Mode_Misusing_Variable_Type_2_NT_Loop24_TestCase9, YES, 1828)
(FSE_Modulo_Arithmetic_Mode_Misusing_Variable_Type_2_NT_Loop24_TestCase8, YES, 1799)</t>
  </si>
  <si>
    <t>(FSE_Modulo_Arithmetic_Mode_Misusing_Variable_Type_2_NT_Loop0_TestCase9, TIMEOUT, 301710)
(FSE_Modulo_Arithmetic_Mode_Misusing_Variable_Type_2_NT_Loop0_TestCase8, TIMEOUT, 301698)
(FSE_Modulo_Arithmetic_Mode_Misusing_Variable_Type_2_NT_Loop0_TestCase10, TIMEOUT, 301682)
(FSE_Modulo_Arithmetic_Mode_Misusing_Variable_Type_2_NT_Loop0_TestCase3, TIMEOUT, 301660)
(FSE_Modulo_Arithmetic_Mode_Misusing_Variable_Type_2_NT_Loop0_TestCase2, TIMEOUT, 301707)
(FSE_Modulo_Arithmetic_Mode_Misusing_Variable_Type_2_NT_Loop0_TestCase1, TIMEOUT, 301688)
(FSE_Modulo_Arithmetic_Mode_Misusing_Variable_Type_2_NT_Loop0_TestCase5, TIMEOUT, 301738)
(FSE_Modulo_Arithmetic_Mode_Misusing_Variable_Type_2_NT_Loop0_TestCase4, TIMEOUT, 301710)
(FSE_Modulo_Arithmetic_Mode_Misusing_Variable_Type_2_NT_Loop0_TestCase6, TIMEOUT, 301694)
(FSE_Modulo_Arithmetic_Mode_Misusing_Variable_Type_2_NT_Loop0_TestCase7, TIMEOUT, 301778)</t>
  </si>
  <si>
    <t>(FSE_Modulo_Arithmetic_Mode_Misusing_Variable_Type_2_NT_Loop24_TestCase0, YES, 1817)</t>
  </si>
  <si>
    <t>(FSE_Modulo_Arithmetic_Mode_Misusing_Variable_Type_2_NT_Loop0_TestCase0, TIMEOUT, 301723)</t>
  </si>
  <si>
    <t>(FSE_Modulo_Arithmetic_Mode_Misusing_Variable_Type_1_T_Loop16_TestCase0, YES, 6414)
(FSE_Modulo_Arithmetic_Mode_Misusing_Variable_Type_1_T_Loop18_TestCase0, YES, 9477)
(FSE_Modulo_Arithmetic_Mode_Misusing_Variable_Type_1_T_Loop14_TestCase0, YES, 3826)</t>
  </si>
  <si>
    <t>(FSE_Modulo_Arithmetic_Mode_Misusing_Variable_Type_1_T_Loop0_TestCase0, YES, 8135)</t>
  </si>
  <si>
    <t>(FSE_Modulo_Arithmetic_Mode_Misusing_Variable_Type_1_T_Loop16_TestCase0, YES, 6458)
(FSE_Modulo_Arithmetic_Mode_Misusing_Variable_Type_1_T_Loop18_TestCase0, YES, 8052)
(FSE_Modulo_Arithmetic_Mode_Misusing_Variable_Type_1_T_Loop14_TestCase0, YES, 3819)</t>
  </si>
  <si>
    <t>(FSE_Modulo_Arithmetic_Mode_Misusing_Variable_Type_1_T_Loop0_TestCase0, YES, 8289)</t>
  </si>
  <si>
    <t>(FSE_Modulo_Arithmetic_Mode_Misusing_Variable_Type_1_NT_Loop14_TestCase0, YES, 1836)
(FSE_Modulo_Arithmetic_Mode_Misusing_Variable_Type_1_NT_Loop18_TestCase0, NO, 3814)
(FSE_Modulo_Arithmetic_Mode_Misusing_Variable_Type_1_NT_Loop16_TestCase0, NO, 3836)</t>
  </si>
  <si>
    <t>(FSE_Modulo_Arithmetic_Mode_Misusing_Variable_Type_1_NT_Loop0_TestCase0, NO, 5829)</t>
  </si>
  <si>
    <t>(FSE_Modulo_Arithmetic_Mode_Misusing_Variable_Type_1_NT_Loop14_TestCase0, YES, 1768)
(FSE_Modulo_Arithmetic_Mode_Misusing_Variable_Type_1_NT_Loop18_TestCase0, NO, 3799)
(FSE_Modulo_Arithmetic_Mode_Misusing_Variable_Type_1_NT_Loop16_TestCase0, NO, 3794)</t>
  </si>
  <si>
    <t>(FSE_Modulo_Arithmetic_Mode_Misusing_Variable_Type_1_NT_Loop0_TestCase0, ERROR, 5840)</t>
  </si>
  <si>
    <t>(FSE_Modulo_Arithmetic_Mode_Missing_Iterator_Update_5_T_Loop22_TestCase9, MAYBE, 1347)
(FSE_Modulo_Arithmetic_Mode_Missing_Iterator_Update_5_T_Loop22_TestCase8, MAYBE, 2302)
(FSE_Modulo_Arithmetic_Mode_Missing_Iterator_Update_5_T_Loop17_TestCase10, MAYBE, 1353)
(FSE_Modulo_Arithmetic_Mode_Missing_Iterator_Update_5_T_Loop17_TestCase7, MAYBE, 1333)
(FSE_Modulo_Arithmetic_Mode_Missing_Iterator_Update_5_T_Loop17_TestCase6, MAYBE, 1425)
(FSE_Modulo_Arithmetic_Mode_Missing_Iterator_Update_5_T_Loop17_TestCase4, MAYBE, 1351)
(FSE_Modulo_Arithmetic_Mode_Missing_Iterator_Update_5_T_Loop17_TestCase5, MAYBE, 1380)
(FSE_Modulo_Arithmetic_Mode_Missing_Iterator_Update_5_T_Loop17_TestCase1, MAYBE, 1388)
(FSE_Modulo_Arithmetic_Mode_Missing_Iterator_Update_5_T_Loop17_TestCase2, MAYBE, 1360)
(FSE_Modulo_Arithmetic_Mode_Missing_Iterator_Update_5_T_Loop17_TestCase3, MAYBE, 1332)
(FSE_Modulo_Arithmetic_Mode_Missing_Iterator_Update_5_T_Loop17_TestCase8, MAYBE, 1372)
(FSE_Modulo_Arithmetic_Mode_Missing_Iterator_Update_5_T_Loop17_TestCase9, MAYBE, 1371)
(FSE_Modulo_Arithmetic_Mode_Missing_Iterator_Update_5_T_Loop22_TestCase10, MAYBE, 1331)
(FSE_Modulo_Arithmetic_Mode_Missing_Iterator_Update_5_T_Loop22_TestCase1, MAYBE, 1322)
(FSE_Modulo_Arithmetic_Mode_Missing_Iterator_Update_5_T_Loop22_TestCase3, MAYBE, 1327)
(FSE_Modulo_Arithmetic_Mode_Missing_Iterator_Update_5_T_Loop22_TestCase2, MAYBE, 1359)
(FSE_Modulo_Arithmetic_Mode_Missing_Iterator_Update_5_T_Loop22_TestCase6, MAYBE, 1332)
(FSE_Modulo_Arithmetic_Mode_Missing_Iterator_Update_5_T_Loop22_TestCase7, MAYBE, 1407)
(FSE_Modulo_Arithmetic_Mode_Missing_Iterator_Update_5_T_Loop22_TestCase5, MAYBE, 1324)
(FSE_Modulo_Arithmetic_Mode_Missing_Iterator_Update_5_T_Loop22_TestCase4, MAYBE, 1329)</t>
  </si>
  <si>
    <t>(FSE_Modulo_Arithmetic_Mode_Missing_Iterator_Update_5_T_Loop0_TestCase3, YES, 3779)
(FSE_Modulo_Arithmetic_Mode_Missing_Iterator_Update_5_T_Loop0_TestCase2, YES, 5842)
(FSE_Modulo_Arithmetic_Mode_Missing_Iterator_Update_5_T_Loop0_TestCase1, YES, 1755)
(FSE_Modulo_Arithmetic_Mode_Missing_Iterator_Update_5_T_Loop0_TestCase5, YES, 1778)
(FSE_Modulo_Arithmetic_Mode_Missing_Iterator_Update_5_T_Loop0_TestCase4, YES, 5788)
(FSE_Modulo_Arithmetic_Mode_Missing_Iterator_Update_5_T_Loop0_TestCase6, YES, 5906)
(FSE_Modulo_Arithmetic_Mode_Missing_Iterator_Update_5_T_Loop0_TestCase7, YES, 5814)
(FSE_Modulo_Arithmetic_Mode_Missing_Iterator_Update_5_T_Loop0_TestCase9, YES, 5849)
(FSE_Modulo_Arithmetic_Mode_Missing_Iterator_Update_5_T_Loop0_TestCase8, YES, 5848)
(FSE_Modulo_Arithmetic_Mode_Missing_Iterator_Update_5_T_Loop0_TestCase10, YES, 5902)</t>
  </si>
  <si>
    <t>(FSE_Modulo_Arithmetic_Mode_Missing_Iterator_Update_5_T_Loop17_TestCase0, MAYBE, 1391)
(FSE_Modulo_Arithmetic_Mode_Missing_Iterator_Update_5_T_Loop22_TestCase0, MAYBE, 1370)</t>
  </si>
  <si>
    <t>(FSE_Modulo_Arithmetic_Mode_Missing_Iterator_Update_5_T_Loop0_TestCase0, YES, 6109)</t>
  </si>
  <si>
    <t>(FSE_Modulo_Arithmetic_Mode_Missing_Iterator_Update_5_NT_Loop18_TestCase9, MAYBE, 1375)
(FSE_Modulo_Arithmetic_Mode_Missing_Iterator_Update_5_NT_Loop23_TestCase2, MAYBE, 1385)
(FSE_Modulo_Arithmetic_Mode_Missing_Iterator_Update_5_NT_Loop23_TestCase3, MAYBE, 1377)
(FSE_Modulo_Arithmetic_Mode_Missing_Iterator_Update_5_NT_Loop18_TestCase8, MAYBE, 1367)
(FSE_Modulo_Arithmetic_Mode_Missing_Iterator_Update_5_NT_Loop23_TestCase1, MAYBE, 1420)
(FSE_Modulo_Arithmetic_Mode_Missing_Iterator_Update_5_NT_Loop23_TestCase4, MAYBE, 2661)
(FSE_Modulo_Arithmetic_Mode_Missing_Iterator_Update_5_NT_Loop23_TestCase5, MAYBE, 1324)
(FSE_Modulo_Arithmetic_Mode_Missing_Iterator_Update_5_NT_Loop18_TestCase10, MAYBE, 1393)
(FSE_Modulo_Arithmetic_Mode_Missing_Iterator_Update_5_NT_Loop23_TestCase7, MAYBE, 1373)
(FSE_Modulo_Arithmetic_Mode_Missing_Iterator_Update_5_NT_Loop23_TestCase6, MAYBE, 1361)
(FSE_Modulo_Arithmetic_Mode_Missing_Iterator_Update_5_NT_Loop18_TestCase1, MAYBE, 1358)
(FSE_Modulo_Arithmetic_Mode_Missing_Iterator_Update_5_NT_Loop18_TestCase3, MAYBE, 1359)
(FSE_Modulo_Arithmetic_Mode_Missing_Iterator_Update_5_NT_Loop23_TestCase8, MAYBE, 1725)
(FSE_Modulo_Arithmetic_Mode_Missing_Iterator_Update_5_NT_Loop23_TestCase9, MAYBE, 1414)
(FSE_Modulo_Arithmetic_Mode_Missing_Iterator_Update_5_NT_Loop18_TestCase2, MAYBE, 1457)
(FSE_Modulo_Arithmetic_Mode_Missing_Iterator_Update_5_NT_Loop23_TestCase10, MAYBE, 1668)
(FSE_Modulo_Arithmetic_Mode_Missing_Iterator_Update_5_NT_Loop18_TestCase6, MAYBE, 1345)
(FSE_Modulo_Arithmetic_Mode_Missing_Iterator_Update_5_NT_Loop18_TestCase7, MAYBE, 1361)
(FSE_Modulo_Arithmetic_Mode_Missing_Iterator_Update_5_NT_Loop18_TestCase5, MAYBE, 1351)
(FSE_Modulo_Arithmetic_Mode_Missing_Iterator_Update_5_NT_Loop18_TestCase4, MAYBE, 1376)</t>
  </si>
  <si>
    <t>(FSE_Modulo_Arithmetic_Mode_Missing_Iterator_Update_5_NT_Loop0_TestCase2, NO, 5816)
(FSE_Modulo_Arithmetic_Mode_Missing_Iterator_Update_5_NT_Loop0_TestCase3, YES, 3818)
(FSE_Modulo_Arithmetic_Mode_Missing_Iterator_Update_5_NT_Loop0_TestCase1, YES, 1792)
(FSE_Modulo_Arithmetic_Mode_Missing_Iterator_Update_5_NT_Loop0_TestCase4, NO, 6045)
(FSE_Modulo_Arithmetic_Mode_Missing_Iterator_Update_5_NT_Loop0_TestCase5, YES, 1753)
(FSE_Modulo_Arithmetic_Mode_Missing_Iterator_Update_5_NT_Loop0_TestCase7, NO, 5968)
(FSE_Modulo_Arithmetic_Mode_Missing_Iterator_Update_5_NT_Loop0_TestCase6, NO, 5935)
(FSE_Modulo_Arithmetic_Mode_Missing_Iterator_Update_5_NT_Loop0_TestCase8, NO, 5865)
(FSE_Modulo_Arithmetic_Mode_Missing_Iterator_Update_5_NT_Loop0_TestCase9, NO, 5978)
(FSE_Modulo_Arithmetic_Mode_Missing_Iterator_Update_5_NT_Loop0_TestCase10, NO, 5959)</t>
  </si>
  <si>
    <t>(FSE_Modulo_Arithmetic_Mode_Missing_Iterator_Update_5_NT_Loop23_TestCase0, MAYBE, 1394)
(FSE_Modulo_Arithmetic_Mode_Missing_Iterator_Update_5_NT_Loop18_TestCase0, MAYBE, 1371)</t>
  </si>
  <si>
    <t>(FSE_Modulo_Arithmetic_Mode_Missing_Iterator_Update_5_NT_Loop0_TestCase0, NO, 6016)</t>
  </si>
  <si>
    <t>(FSE_Modulo_Arithmetic_Mode_Missing_Iterator_Update_4_T_Loop21_TestCase10, YES, 6432)
(FSE_Modulo_Arithmetic_Mode_Missing_Iterator_Update_4_T_Loop19_TestCase6, YES, 2793)
(FSE_Modulo_Arithmetic_Mode_Missing_Iterator_Update_4_T_Loop21_TestCase8, YES, 6416)
(FSE_Modulo_Arithmetic_Mode_Missing_Iterator_Update_4_T_Loop21_TestCase9, YES, 6732)
(FSE_Modulo_Arithmetic_Mode_Missing_Iterator_Update_4_T_Loop19_TestCase7, YES, 3868)
(FSE_Modulo_Arithmetic_Mode_Missing_Iterator_Update_4_T_Loop19_TestCase5, YES, 1780)
(FSE_Modulo_Arithmetic_Mode_Missing_Iterator_Update_4_T_Loop19_TestCase4, YES, 1762)
(FSE_Modulo_Arithmetic_Mode_Missing_Iterator_Update_4_T_Loop19_TestCase1, YES, 3034)
(FSE_Modulo_Arithmetic_Mode_Missing_Iterator_Update_4_T_Loop19_TestCase3, YES, 1768)
(FSE_Modulo_Arithmetic_Mode_Missing_Iterator_Update_4_T_Loop19_TestCase2, YES, 2790)
(FSE_Modulo_Arithmetic_Mode_Missing_Iterator_Update_4_T_Loop21_TestCase1, YES, 5843)
(FSE_Modulo_Arithmetic_Mode_Missing_Iterator_Update_4_T_Loop21_TestCase2, YES, 5829)
(FSE_Modulo_Arithmetic_Mode_Missing_Iterator_Update_4_T_Loop19_TestCase10, YES, 3817)
(FSE_Modulo_Arithmetic_Mode_Missing_Iterator_Update_4_T_Loop21_TestCase3, YES, 1816)
(FSE_Modulo_Arithmetic_Mode_Missing_Iterator_Update_4_T_Loop19_TestCase9, YES, 3806)
(FSE_Modulo_Arithmetic_Mode_Missing_Iterator_Update_4_T_Loop21_TestCase7, YES, 6814)
(FSE_Modulo_Arithmetic_Mode_Missing_Iterator_Update_4_T_Loop21_TestCase6, YES, 5916)
(FSE_Modulo_Arithmetic_Mode_Missing_Iterator_Update_4_T_Loop19_TestCase8, YES, 3825)
(FSE_Modulo_Arithmetic_Mode_Missing_Iterator_Update_4_T_Loop21_TestCase4, YES, 1789)
(FSE_Modulo_Arithmetic_Mode_Missing_Iterator_Update_4_T_Loop21_TestCase5, YES, 1798)</t>
  </si>
  <si>
    <t>(FSE_Modulo_Arithmetic_Mode_Missing_Iterator_Update_4_T_Loop0_TestCase9, YES, 14843)
(FSE_Modulo_Arithmetic_Mode_Missing_Iterator_Update_4_T_Loop0_TestCase8, YES, 13491)
(FSE_Modulo_Arithmetic_Mode_Missing_Iterator_Update_4_T_Loop0_TestCase10, YES, 13856)
(FSE_Modulo_Arithmetic_Mode_Missing_Iterator_Update_4_T_Loop0_TestCase1, YES, 7948)
(FSE_Modulo_Arithmetic_Mode_Missing_Iterator_Update_4_T_Loop0_TestCase3, YES, 1740)
(FSE_Modulo_Arithmetic_Mode_Missing_Iterator_Update_4_T_Loop0_TestCase2, YES, 8020)
(FSE_Modulo_Arithmetic_Mode_Missing_Iterator_Update_4_T_Loop0_TestCase6, YES, 8703)
(FSE_Modulo_Arithmetic_Mode_Missing_Iterator_Update_4_T_Loop0_TestCase7, YES, 19323)
(FSE_Modulo_Arithmetic_Mode_Missing_Iterator_Update_4_T_Loop0_TestCase5, YES, 1741)
(FSE_Modulo_Arithmetic_Mode_Missing_Iterator_Update_4_T_Loop0_TestCase4, YES, 1747)</t>
  </si>
  <si>
    <t>(FSE_Modulo_Arithmetic_Mode_Missing_Iterator_Update_4_T_Loop19_TestCase0, YES, 3821)
(FSE_Modulo_Arithmetic_Mode_Missing_Iterator_Update_4_T_Loop21_TestCase0, YES, 16275)</t>
  </si>
  <si>
    <t>(FSE_Modulo_Arithmetic_Mode_Missing_Iterator_Update_4_T_Loop0_TestCase0, YES, 32350)</t>
  </si>
  <si>
    <t>(FSE_Modulo_Arithmetic_Mode_Missing_Iterator_Update_4_NT_Loop21_TestCase4, YES, 1800)
(FSE_Modulo_Arithmetic_Mode_Missing_Iterator_Update_4_NT_Loop21_TestCase5, YES, 1832)
(FSE_Modulo_Arithmetic_Mode_Missing_Iterator_Update_4_NT_Loop19_TestCase9, NO, 1733)
(FSE_Modulo_Arithmetic_Mode_Missing_Iterator_Update_4_NT_Loop21_TestCase7, NO, 3801)
(FSE_Modulo_Arithmetic_Mode_Missing_Iterator_Update_4_NT_Loop21_TestCase6, NO, 3827)
(FSE_Modulo_Arithmetic_Mode_Missing_Iterator_Update_4_NT_Loop19_TestCase8, NO, 1754)
(FSE_Modulo_Arithmetic_Mode_Missing_Iterator_Update_4_NT_Loop19_TestCase10, NO, 1745)
(FSE_Modulo_Arithmetic_Mode_Missing_Iterator_Update_4_NT_Loop21_TestCase2, YES, 1746)
(FSE_Modulo_Arithmetic_Mode_Missing_Iterator_Update_4_NT_Loop21_TestCase3, YES, 1775)
(FSE_Modulo_Arithmetic_Mode_Missing_Iterator_Update_4_NT_Loop21_TestCase1, YES, 1852)
(FSE_Modulo_Arithmetic_Mode_Missing_Iterator_Update_4_NT_Loop19_TestCase3, YES, 1744)
(FSE_Modulo_Arithmetic_Mode_Missing_Iterator_Update_4_NT_Loop19_TestCase2, YES, 1762)
(FSE_Modulo_Arithmetic_Mode_Missing_Iterator_Update_4_NT_Loop19_TestCase1, YES, 1726)
(FSE_Modulo_Arithmetic_Mode_Missing_Iterator_Update_4_NT_Loop19_TestCase5, YES, 1777)
(FSE_Modulo_Arithmetic_Mode_Missing_Iterator_Update_4_NT_Loop19_TestCase4, YES, 1755)
(FSE_Modulo_Arithmetic_Mode_Missing_Iterator_Update_4_NT_Loop19_TestCase6, NO, 1777)
(FSE_Modulo_Arithmetic_Mode_Missing_Iterator_Update_4_NT_Loop21_TestCase8, NO, 3810)
(FSE_Modulo_Arithmetic_Mode_Missing_Iterator_Update_4_NT_Loop21_TestCase9, NO, 3803)
(FSE_Modulo_Arithmetic_Mode_Missing_Iterator_Update_4_NT_Loop19_TestCase7, NO, 1768)
(FSE_Modulo_Arithmetic_Mode_Missing_Iterator_Update_4_NT_Loop21_TestCase10, NO, 3817)</t>
  </si>
  <si>
    <t>(FSE_Modulo_Arithmetic_Mode_Missing_Iterator_Update_4_NT_Loop0_TestCase6, NO, 22657)
(FSE_Modulo_Arithmetic_Mode_Missing_Iterator_Update_4_NT_Loop0_TestCase7, NO, 23330)
(FSE_Modulo_Arithmetic_Mode_Missing_Iterator_Update_4_NT_Loop0_TestCase5, YES, 1723)
(FSE_Modulo_Arithmetic_Mode_Missing_Iterator_Update_4_NT_Loop0_TestCase4, YES, 1735)
(FSE_Modulo_Arithmetic_Mode_Missing_Iterator_Update_4_NT_Loop0_TestCase1, YES, 1739)
(FSE_Modulo_Arithmetic_Mode_Missing_Iterator_Update_4_NT_Loop0_TestCase3, YES, 1758)
(FSE_Modulo_Arithmetic_Mode_Missing_Iterator_Update_4_NT_Loop0_TestCase2, YES, 1739)
(FSE_Modulo_Arithmetic_Mode_Missing_Iterator_Update_4_NT_Loop0_TestCase10, NO, 22483)
(FSE_Modulo_Arithmetic_Mode_Missing_Iterator_Update_4_NT_Loop0_TestCase9, NO, 22644)
(FSE_Modulo_Arithmetic_Mode_Missing_Iterator_Update_4_NT_Loop0_TestCase8, NO, 22881)</t>
  </si>
  <si>
    <t>(FSE_Modulo_Arithmetic_Mode_Missing_Iterator_Update_4_NT_Loop21_TestCase0, NO, 3827)
(FSE_Modulo_Arithmetic_Mode_Missing_Iterator_Update_4_NT_Loop19_TestCase0, NO, 1895)</t>
  </si>
  <si>
    <t>(FSE_Modulo_Arithmetic_Mode_Missing_Iterator_Update_4_NT_Loop0_TestCase0, TIMEOUT, 301865)</t>
  </si>
  <si>
    <t>(FSE_Modulo_Arithmetic_Mode_Missing_Iterator_Update_3_T_Loop36_TestCase10, MAYBE, 1264)
(FSE_Modulo_Arithmetic_Mode_Missing_Iterator_Update_3_T_Loop30_TestCase10, MAYBE, 1352)
(FSE_Modulo_Arithmetic_Mode_Missing_Iterator_Update_3_T_Loop30_TestCase1, MAYBE, 1328)
(FSE_Modulo_Arithmetic_Mode_Missing_Iterator_Update_3_T_Loop30_TestCase2, MAYBE, 1381)
(FSE_Modulo_Arithmetic_Mode_Missing_Iterator_Update_3_T_Loop36_TestCase8, MAYBE, 1315)
(FSE_Modulo_Arithmetic_Mode_Missing_Iterator_Update_3_T_Loop36_TestCase9, MAYBE, 1257)
(FSE_Modulo_Arithmetic_Mode_Missing_Iterator_Update_3_T_Loop30_TestCase3, MAYBE, 1334)
(FSE_Modulo_Arithmetic_Mode_Missing_Iterator_Update_3_T_Loop30_TestCase7, MAYBE, 1335)
(FSE_Modulo_Arithmetic_Mode_Missing_Iterator_Update_3_T_Loop30_TestCase6, MAYBE, 1349)
(FSE_Modulo_Arithmetic_Mode_Missing_Iterator_Update_3_T_Loop30_TestCase4, MAYBE, 1333)
(FSE_Modulo_Arithmetic_Mode_Missing_Iterator_Update_3_T_Loop30_TestCase5, MAYBE, 1340)
(FSE_Modulo_Arithmetic_Mode_Missing_Iterator_Update_3_T_Loop30_TestCase8, MAYBE, 1322)
(FSE_Modulo_Arithmetic_Mode_Missing_Iterator_Update_3_T_Loop36_TestCase2, MAYBE, 1290)
(FSE_Modulo_Arithmetic_Mode_Missing_Iterator_Update_3_T_Loop36_TestCase3, MAYBE, 1317)
(FSE_Modulo_Arithmetic_Mode_Missing_Iterator_Update_3_T_Loop30_TestCase9, MAYBE, 1362)
(FSE_Modulo_Arithmetic_Mode_Missing_Iterator_Update_3_T_Loop36_TestCase1, MAYBE, 1298)
(FSE_Modulo_Arithmetic_Mode_Missing_Iterator_Update_3_T_Loop36_TestCase4, MAYBE, 1286)
(FSE_Modulo_Arithmetic_Mode_Missing_Iterator_Update_3_T_Loop36_TestCase5, MAYBE, 1331)
(FSE_Modulo_Arithmetic_Mode_Missing_Iterator_Update_3_T_Loop36_TestCase7, MAYBE, 1727)
(FSE_Modulo_Arithmetic_Mode_Missing_Iterator_Update_3_T_Loop36_TestCase6, MAYBE, 1274)</t>
  </si>
  <si>
    <t>(FSE_Modulo_Arithmetic_Mode_Missing_Iterator_Update_3_T_Loop0_TestCase7, MAYBE, 1241)
(FSE_Modulo_Arithmetic_Mode_Missing_Iterator_Update_3_T_Loop0_TestCase6, MAYBE, 1259)
(FSE_Modulo_Arithmetic_Mode_Missing_Iterator_Update_3_T_Loop0_TestCase4, MAYBE, 1314)
(FSE_Modulo_Arithmetic_Mode_Missing_Iterator_Update_3_T_Loop0_TestCase5, MAYBE, 1264)
(FSE_Modulo_Arithmetic_Mode_Missing_Iterator_Update_3_T_Loop0_TestCase1, MAYBE, 1235)
(FSE_Modulo_Arithmetic_Mode_Missing_Iterator_Update_3_T_Loop0_TestCase2, MAYBE, 1229)
(FSE_Modulo_Arithmetic_Mode_Missing_Iterator_Update_3_T_Loop0_TestCase3, MAYBE, 1234)
(FSE_Modulo_Arithmetic_Mode_Missing_Iterator_Update_3_T_Loop0_TestCase10, MAYBE, 1265)
(FSE_Modulo_Arithmetic_Mode_Missing_Iterator_Update_3_T_Loop0_TestCase8, MAYBE, 1250)
(FSE_Modulo_Arithmetic_Mode_Missing_Iterator_Update_3_T_Loop0_TestCase9, MAYBE, 1270)</t>
  </si>
  <si>
    <t>(FSE_Modulo_Arithmetic_Mode_Missing_Iterator_Update_3_T_Loop30_TestCase0, MAYBE, 1380)
(FSE_Modulo_Arithmetic_Mode_Missing_Iterator_Update_3_T_Loop36_TestCase0, MAYBE, 1336)</t>
  </si>
  <si>
    <t>(FSE_Modulo_Arithmetic_Mode_Missing_Iterator_Update_3_T_Loop0_TestCase0, TIMEOUT, 302868)</t>
  </si>
  <si>
    <t>(FSE_Modulo_Arithmetic_Mode_Missing_Iterator_Update_3_NT_Loop35_TestCase3, MAYBE, 1274)
(FSE_Modulo_Arithmetic_Mode_Missing_Iterator_Update_3_NT_Loop35_TestCase2, MAYBE, 1285)
(FSE_Modulo_Arithmetic_Mode_Missing_Iterator_Update_3_NT_Loop35_TestCase1, MAYBE, 1259)
(FSE_Modulo_Arithmetic_Mode_Missing_Iterator_Update_3_NT_Loop35_TestCase5, MAYBE, 1273)
(FSE_Modulo_Arithmetic_Mode_Missing_Iterator_Update_3_NT_Loop35_TestCase4, MAYBE, 2593)
(FSE_Modulo_Arithmetic_Mode_Missing_Iterator_Update_3_NT_Loop35_TestCase6, MAYBE, 1375)
(FSE_Modulo_Arithmetic_Mode_Missing_Iterator_Update_3_NT_Loop35_TestCase7, MAYBE, 1349)
(FSE_Modulo_Arithmetic_Mode_Missing_Iterator_Update_3_NT_Loop29_TestCase9, MAYBE, 1356)
(FSE_Modulo_Arithmetic_Mode_Missing_Iterator_Update_3_NT_Loop35_TestCase10, MAYBE, 1301)
(FSE_Modulo_Arithmetic_Mode_Missing_Iterator_Update_3_NT_Loop29_TestCase8, MAYBE, 1335)
(FSE_Modulo_Arithmetic_Mode_Missing_Iterator_Update_3_NT_Loop29_TestCase10, MAYBE, 1298)
(FSE_Modulo_Arithmetic_Mode_Missing_Iterator_Update_3_NT_Loop29_TestCase1, MAYBE, 1353)
(FSE_Modulo_Arithmetic_Mode_Missing_Iterator_Update_3_NT_Loop29_TestCase3, MAYBE, 1334)
(FSE_Modulo_Arithmetic_Mode_Missing_Iterator_Update_3_NT_Loop29_TestCase2, MAYBE, 1345)
(FSE_Modulo_Arithmetic_Mode_Missing_Iterator_Update_3_NT_Loop29_TestCase6, MAYBE, 1346)
(FSE_Modulo_Arithmetic_Mode_Missing_Iterator_Update_3_NT_Loop29_TestCase7, MAYBE, 1345)
(FSE_Modulo_Arithmetic_Mode_Missing_Iterator_Update_3_NT_Loop29_TestCase5, MAYBE, 1347)
(FSE_Modulo_Arithmetic_Mode_Missing_Iterator_Update_3_NT_Loop29_TestCase4, MAYBE, 1314)
(FSE_Modulo_Arithmetic_Mode_Missing_Iterator_Update_3_NT_Loop35_TestCase9, MAYBE, 1296)
(FSE_Modulo_Arithmetic_Mode_Missing_Iterator_Update_3_NT_Loop35_TestCase8, MAYBE, 1283)</t>
  </si>
  <si>
    <t>(FSE_Modulo_Arithmetic_Mode_Missing_Iterator_Update_3_NT_Loop0_TestCase5, MAYBE, 1274)
(FSE_Modulo_Arithmetic_Mode_Missing_Iterator_Update_3_NT_Loop0_TestCase4, MAYBE, 1230)
(FSE_Modulo_Arithmetic_Mode_Missing_Iterator_Update_3_NT_Loop0_TestCase6, MAYBE, 1250)
(FSE_Modulo_Arithmetic_Mode_Missing_Iterator_Update_3_NT_Loop0_TestCase7, MAYBE, 1250)
(FSE_Modulo_Arithmetic_Mode_Missing_Iterator_Update_3_NT_Loop0_TestCase3, MAYBE, 1263)
(FSE_Modulo_Arithmetic_Mode_Missing_Iterator_Update_3_NT_Loop0_TestCase10, MAYBE, 1261)
(FSE_Modulo_Arithmetic_Mode_Missing_Iterator_Update_3_NT_Loop0_TestCase2, MAYBE, 1294)
(FSE_Modulo_Arithmetic_Mode_Missing_Iterator_Update_3_NT_Loop0_TestCase1, MAYBE, 1240)
(FSE_Modulo_Arithmetic_Mode_Missing_Iterator_Update_3_NT_Loop0_TestCase9, MAYBE, 1244)
(FSE_Modulo_Arithmetic_Mode_Missing_Iterator_Update_3_NT_Loop0_TestCase8, MAYBE, 1248)</t>
  </si>
  <si>
    <t>(FSE_Modulo_Arithmetic_Mode_Missing_Iterator_Update_3_NT_Loop35_TestCase0, MAYBE, 1364)
(FSE_Modulo_Arithmetic_Mode_Missing_Iterator_Update_3_NT_Loop29_TestCase0, MAYBE, 1342)</t>
  </si>
  <si>
    <t>(FSE_Modulo_Arithmetic_Mode_Missing_Iterator_Update_3_NT_Loop0_TestCase0, TIMEOUT, 303141)</t>
  </si>
  <si>
    <t>(FSE_Modulo_Arithmetic_Mode_Missing_Iterator_Update_2_T_Loop28_TestCase8, YES, 4255)
(FSE_Modulo_Arithmetic_Mode_Missing_Iterator_Update_2_T_Loop28_TestCase9, YES, 4313)
(FSE_Modulo_Arithmetic_Mode_Missing_Iterator_Update_2_T_Loop28_TestCase7, YES, 4330)
(FSE_Modulo_Arithmetic_Mode_Missing_Iterator_Update_2_T_Loop28_TestCase6, YES, 4692)
(FSE_Modulo_Arithmetic_Mode_Missing_Iterator_Update_2_T_Loop28_TestCase4, YES, 1801)
(FSE_Modulo_Arithmetic_Mode_Missing_Iterator_Update_2_T_Loop28_TestCase5, YES, 4152)
(FSE_Modulo_Arithmetic_Mode_Missing_Iterator_Update_2_T_Loop28_TestCase1, YES, 1829)
(FSE_Modulo_Arithmetic_Mode_Missing_Iterator_Update_2_T_Loop28_TestCase2, YES, 4177)
(FSE_Modulo_Arithmetic_Mode_Missing_Iterator_Update_2_T_Loop28_TestCase3, YES, 4285)
(FSE_Modulo_Arithmetic_Mode_Missing_Iterator_Update_2_T_Loop28_TestCase10, YES, 4340)</t>
  </si>
  <si>
    <t>(FSE_Modulo_Arithmetic_Mode_Missing_Iterator_Update_2_T_Loop0_TestCase8, YES, 4497)
(FSE_Modulo_Arithmetic_Mode_Missing_Iterator_Update_2_T_Loop0_TestCase9, YES, 4185)
(FSE_Modulo_Arithmetic_Mode_Missing_Iterator_Update_2_T_Loop0_TestCase4, YES, 1768)
(FSE_Modulo_Arithmetic_Mode_Missing_Iterator_Update_2_T_Loop0_TestCase5, YES, 4220)
(FSE_Modulo_Arithmetic_Mode_Missing_Iterator_Update_2_T_Loop0_TestCase7, YES, 4132)
(FSE_Modulo_Arithmetic_Mode_Missing_Iterator_Update_2_T_Loop0_TestCase6, YES, 4301)
(FSE_Modulo_Arithmetic_Mode_Missing_Iterator_Update_2_T_Loop0_TestCase2, YES, 4146)
(FSE_Modulo_Arithmetic_Mode_Missing_Iterator_Update_2_T_Loop0_TestCase3, YES, 4225)
(FSE_Modulo_Arithmetic_Mode_Missing_Iterator_Update_2_T_Loop0_TestCase1, YES, 1775)
(FSE_Modulo_Arithmetic_Mode_Missing_Iterator_Update_2_T_Loop0_TestCase10, YES, 4136)</t>
  </si>
  <si>
    <t>(FSE_Modulo_Arithmetic_Mode_Missing_Iterator_Update_2_T_Loop28_TestCase0, YES, 4538)</t>
  </si>
  <si>
    <t>(FSE_Modulo_Arithmetic_Mode_Missing_Iterator_Update_2_T_Loop0_TestCase0, YES, 4592)</t>
  </si>
  <si>
    <t>(FSE_Modulo_Arithmetic_Mode_Missing_Iterator_Update_2_NT_Loop28_TestCase9, NO, 1838)
(FSE_Modulo_Arithmetic_Mode_Missing_Iterator_Update_2_NT_Loop28_TestCase8, NO, 1809)
(FSE_Modulo_Arithmetic_Mode_Missing_Iterator_Update_2_NT_Loop28_TestCase10, NO, 1786)
(FSE_Modulo_Arithmetic_Mode_Missing_Iterator_Update_2_NT_Loop28_TestCase3, YES, 4234)
(FSE_Modulo_Arithmetic_Mode_Missing_Iterator_Update_2_NT_Loop28_TestCase2, YES, 4242)
(FSE_Modulo_Arithmetic_Mode_Missing_Iterator_Update_2_NT_Loop28_TestCase1, YES, 1796)
(FSE_Modulo_Arithmetic_Mode_Missing_Iterator_Update_2_NT_Loop28_TestCase5, YES, 4233)
(FSE_Modulo_Arithmetic_Mode_Missing_Iterator_Update_2_NT_Loop28_TestCase4, YES, 3734)
(FSE_Modulo_Arithmetic_Mode_Missing_Iterator_Update_2_NT_Loop28_TestCase6, NO, 1864)
(FSE_Modulo_Arithmetic_Mode_Missing_Iterator_Update_2_NT_Loop28_TestCase7, NO, 1888)</t>
  </si>
  <si>
    <t>(FSE_Modulo_Arithmetic_Mode_Missing_Iterator_Update_2_NT_Loop0_TestCase1, YES, 1739)
(FSE_Modulo_Arithmetic_Mode_Missing_Iterator_Update_2_NT_Loop0_TestCase2, YES, 4214)
(FSE_Modulo_Arithmetic_Mode_Missing_Iterator_Update_2_NT_Loop0_TestCase3, YES, 4149)
(FSE_Modulo_Arithmetic_Mode_Missing_Iterator_Update_2_NT_Loop0_TestCase7, NO, 1783)
(FSE_Modulo_Arithmetic_Mode_Missing_Iterator_Update_2_NT_Loop0_TestCase6, NO, 1753)
(FSE_Modulo_Arithmetic_Mode_Missing_Iterator_Update_2_NT_Loop0_TestCase4, YES, 1765)
(FSE_Modulo_Arithmetic_Mode_Missing_Iterator_Update_2_NT_Loop0_TestCase5, YES, 4196)
(FSE_Modulo_Arithmetic_Mode_Missing_Iterator_Update_2_NT_Loop0_TestCase8, NO, 1773)
(FSE_Modulo_Arithmetic_Mode_Missing_Iterator_Update_2_NT_Loop0_TestCase9, NO, 1792)
(FSE_Modulo_Arithmetic_Mode_Missing_Iterator_Update_2_NT_Loop0_TestCase10, NO, 1805)</t>
  </si>
  <si>
    <t>(FSE_Modulo_Arithmetic_Mode_Missing_Iterator_Update_2_NT_Loop28_TestCase0, NO, 3893)</t>
  </si>
  <si>
    <t>(FSE_Modulo_Arithmetic_Mode_Missing_Iterator_Update_2_NT_Loop0_TestCase0, NO, 3845)</t>
  </si>
  <si>
    <t>(FSE_Modulo_Arithmetic_Mode_Missing_Iterator_Update_1_T_Loop35_TestCase9, YES, 1760)
(FSE_Modulo_Arithmetic_Mode_Missing_Iterator_Update_1_T_Loop17_TestCase10, YES, 1802)
(FSE_Modulo_Arithmetic_Mode_Missing_Iterator_Update_1_T_Loop35_TestCase8, YES, 1745)
(FSE_Modulo_Arithmetic_Mode_Missing_Iterator_Update_1_T_Loop17_TestCase1, YES, 1811)
(FSE_Modulo_Arithmetic_Mode_Missing_Iterator_Update_1_T_Loop17_TestCase2, YES, 1798)
(FSE_Modulo_Arithmetic_Mode_Missing_Iterator_Update_1_T_Loop17_TestCase3, YES, 1823)
(FSE_Modulo_Arithmetic_Mode_Missing_Iterator_Update_1_T_Loop17_TestCase7, YES, 1765)
(FSE_Modulo_Arithmetic_Mode_Missing_Iterator_Update_1_T_Loop17_TestCase6, YES, 1780)
(FSE_Modulo_Arithmetic_Mode_Missing_Iterator_Update_1_T_Loop17_TestCase4, YES, 1797)
(FSE_Modulo_Arithmetic_Mode_Missing_Iterator_Update_1_T_Loop17_TestCase5, YES, 1769)
(FSE_Modulo_Arithmetic_Mode_Missing_Iterator_Update_1_T_Loop17_TestCase8, YES, 1801)
(FSE_Modulo_Arithmetic_Mode_Missing_Iterator_Update_1_T_Loop17_TestCase9, YES, 1805)
(FSE_Modulo_Arithmetic_Mode_Missing_Iterator_Update_1_T_Loop35_TestCase10, YES, 1781)
(FSE_Modulo_Arithmetic_Mode_Missing_Iterator_Update_1_T_Loop35_TestCase6, YES, 1779)
(FSE_Modulo_Arithmetic_Mode_Missing_Iterator_Update_1_T_Loop35_TestCase7, YES, 1851)
(FSE_Modulo_Arithmetic_Mode_Missing_Iterator_Update_1_T_Loop35_TestCase5, YES, 1856)
(FSE_Modulo_Arithmetic_Mode_Missing_Iterator_Update_1_T_Loop35_TestCase4, YES, 1786)
(FSE_Modulo_Arithmetic_Mode_Missing_Iterator_Update_1_T_Loop35_TestCase1, YES, 1753)
(FSE_Modulo_Arithmetic_Mode_Missing_Iterator_Update_1_T_Loop35_TestCase3, YES, 2637)
(FSE_Modulo_Arithmetic_Mode_Missing_Iterator_Update_1_T_Loop35_TestCase2, YES, 1785)</t>
  </si>
  <si>
    <t>(FSE_Modulo_Arithmetic_Mode_Missing_Iterator_Update_1_T_Loop0_TestCase1, YES, 1727)
(FSE_Modulo_Arithmetic_Mode_Missing_Iterator_Update_1_T_Loop0_TestCase3, YES, 1748)
(FSE_Modulo_Arithmetic_Mode_Missing_Iterator_Update_1_T_Loop0_TestCase2, YES, 1748)
(FSE_Modulo_Arithmetic_Mode_Missing_Iterator_Update_1_T_Loop0_TestCase6, YES, 1778)
(FSE_Modulo_Arithmetic_Mode_Missing_Iterator_Update_1_T_Loop0_TestCase7, YES, 1752)
(FSE_Modulo_Arithmetic_Mode_Missing_Iterator_Update_1_T_Loop0_TestCase5, YES, 1738)
(FSE_Modulo_Arithmetic_Mode_Missing_Iterator_Update_1_T_Loop0_TestCase4, YES, 1763)
(FSE_Modulo_Arithmetic_Mode_Missing_Iterator_Update_1_T_Loop0_TestCase9, YES, 1797)
(FSE_Modulo_Arithmetic_Mode_Missing_Iterator_Update_1_T_Loop0_TestCase8, YES, 1772)
(FSE_Modulo_Arithmetic_Mode_Missing_Iterator_Update_1_T_Loop0_TestCase10, YES, 1742)</t>
  </si>
  <si>
    <t>(FSE_Modulo_Arithmetic_Mode_Missing_Iterator_Update_1_T_Loop17_TestCase0, YES, 1799)
(FSE_Modulo_Arithmetic_Mode_Missing_Iterator_Update_1_T_Loop35_TestCase0, YES, 2351)</t>
  </si>
  <si>
    <t>(FSE_Modulo_Arithmetic_Mode_Missing_Iterator_Update_1_T_Loop0_TestCase0, YES, 2377)</t>
  </si>
  <si>
    <t>(FSE_Modulo_Arithmetic_Mode_Missing_Iterator_Update_1_NT_Loop18_TestCase8, YES, 1869)
(FSE_Modulo_Arithmetic_Mode_Missing_Iterator_Update_1_NT_Loop18_TestCase9, YES, 1782)
(FSE_Modulo_Arithmetic_Mode_Missing_Iterator_Update_1_NT_Loop18_TestCase10, YES, 1850)
(FSE_Modulo_Arithmetic_Mode_Missing_Iterator_Update_1_NT_Loop18_TestCase7, YES, 1797)
(FSE_Modulo_Arithmetic_Mode_Missing_Iterator_Update_1_NT_Loop18_TestCase6, YES, 1802)
(FSE_Modulo_Arithmetic_Mode_Missing_Iterator_Update_1_NT_Loop18_TestCase4, YES, 1824)
(FSE_Modulo_Arithmetic_Mode_Missing_Iterator_Update_1_NT_Loop18_TestCase5, YES, 1824)
(FSE_Modulo_Arithmetic_Mode_Missing_Iterator_Update_1_NT_Loop18_TestCase1, YES, 1803)
(FSE_Modulo_Arithmetic_Mode_Missing_Iterator_Update_1_NT_Loop18_TestCase2, YES, 1786)
(FSE_Modulo_Arithmetic_Mode_Missing_Iterator_Update_1_NT_Loop18_TestCase3, YES, 1805)</t>
  </si>
  <si>
    <t>(FSE_Modulo_Arithmetic_Mode_Missing_Iterator_Update_1_NT_Loop0_TestCase4, YES, 1779)
(FSE_Modulo_Arithmetic_Mode_Missing_Iterator_Update_1_NT_Loop0_TestCase5, YES, 1762)
(FSE_Modulo_Arithmetic_Mode_Missing_Iterator_Update_1_NT_Loop0_TestCase7, NO, 1744)
(FSE_Modulo_Arithmetic_Mode_Missing_Iterator_Update_1_NT_Loop0_TestCase6, NO, 1774)
(FSE_Modulo_Arithmetic_Mode_Missing_Iterator_Update_1_NT_Loop0_TestCase2, YES, 1735)
(FSE_Modulo_Arithmetic_Mode_Missing_Iterator_Update_1_NT_Loop0_TestCase3, YES, 1752)
(FSE_Modulo_Arithmetic_Mode_Missing_Iterator_Update_1_NT_Loop0_TestCase1, YES, 1739)
(FSE_Modulo_Arithmetic_Mode_Missing_Iterator_Update_1_NT_Loop0_TestCase8, NO, 1740)
(FSE_Modulo_Arithmetic_Mode_Missing_Iterator_Update_1_NT_Loop0_TestCase9, NO, 1765)
(FSE_Modulo_Arithmetic_Mode_Missing_Iterator_Update_1_NT_Loop0_TestCase10, NO, 1776)</t>
  </si>
  <si>
    <t>(FSE_Modulo_Arithmetic_Mode_Missing_Iterator_Update_1_NT_Loop18_TestCase0, YES, 1877)</t>
  </si>
  <si>
    <t>(FSE_Modulo_Arithmetic_Mode_Missing_Iterator_Update_1_NT_Loop0_TestCase0, NO, 1865)</t>
  </si>
  <si>
    <t>(FSE_Modulo_Arithmetic_Mode_Missing_Initialization_1_T_Loop14_TestCase8, YES, 3878)
(FSE_Modulo_Arithmetic_Mode_Missing_Initialization_1_T_Loop14_TestCase9, YES, 3876)
(FSE_Modulo_Arithmetic_Mode_Missing_Initialization_1_T_Loop17_TestCase8, YES, 3816)
(FSE_Modulo_Arithmetic_Mode_Missing_Initialization_1_T_Loop17_TestCase9, YES, 3821)
(FSE_Modulo_Arithmetic_Mode_Missing_Initialization_1_T_Loop17_TestCase7, YES, 4181)
(FSE_Modulo_Arithmetic_Mode_Missing_Initialization_1_T_Loop14_TestCase2, YES, 1763)
(FSE_Modulo_Arithmetic_Mode_Missing_Initialization_1_T_Loop14_TestCase3, YES, 1782)
(FSE_Modulo_Arithmetic_Mode_Missing_Initialization_1_T_Loop17_TestCase6, YES, 3988)
(FSE_Modulo_Arithmetic_Mode_Missing_Initialization_1_T_Loop17_TestCase4, YES, 1800)
(FSE_Modulo_Arithmetic_Mode_Missing_Initialization_1_T_Loop14_TestCase1, YES, 1766)
(FSE_Modulo_Arithmetic_Mode_Missing_Initialization_1_T_Loop17_TestCase5, YES, 4344)
(FSE_Modulo_Arithmetic_Mode_Missing_Initialization_1_T_Loop17_TestCase10, YES, 4361)
(FSE_Modulo_Arithmetic_Mode_Missing_Initialization_1_T_Loop17_TestCase1, YES, 1797)
(FSE_Modulo_Arithmetic_Mode_Missing_Initialization_1_T_Loop14_TestCase4, YES, 1778)
(FSE_Modulo_Arithmetic_Mode_Missing_Initialization_1_T_Loop14_TestCase5, YES, 3937)
(FSE_Modulo_Arithmetic_Mode_Missing_Initialization_1_T_Loop17_TestCase2, YES, 1755)
(FSE_Modulo_Arithmetic_Mode_Missing_Initialization_1_T_Loop14_TestCase7, YES, 4308)
(FSE_Modulo_Arithmetic_Mode_Missing_Initialization_1_T_Loop14_TestCase6, YES, 4306)
(FSE_Modulo_Arithmetic_Mode_Missing_Initialization_1_T_Loop17_TestCase3, YES, 2963)
(FSE_Modulo_Arithmetic_Mode_Missing_Initialization_1_T_Loop14_TestCase10, YES, 4116)</t>
  </si>
  <si>
    <t>(FSE_Modulo_Arithmetic_Mode_Missing_Initialization_1_T_Loop0_TestCase7, YES, 4076)
(FSE_Modulo_Arithmetic_Mode_Missing_Initialization_1_T_Loop0_TestCase6, YES, 4194)
(FSE_Modulo_Arithmetic_Mode_Missing_Initialization_1_T_Loop0_TestCase4, YES, 1752)
(FSE_Modulo_Arithmetic_Mode_Missing_Initialization_1_T_Loop0_TestCase5, YES, 3891)
(FSE_Modulo_Arithmetic_Mode_Missing_Initialization_1_T_Loop0_TestCase1, YES, 1748)
(FSE_Modulo_Arithmetic_Mode_Missing_Initialization_1_T_Loop0_TestCase2, YES, 1736)
(FSE_Modulo_Arithmetic_Mode_Missing_Initialization_1_T_Loop0_TestCase10, YES, 4214)
(FSE_Modulo_Arithmetic_Mode_Missing_Initialization_1_T_Loop0_TestCase3, YES, 1759)
(FSE_Modulo_Arithmetic_Mode_Missing_Initialization_1_T_Loop0_TestCase8, YES, 3749)
(FSE_Modulo_Arithmetic_Mode_Missing_Initialization_1_T_Loop0_TestCase9, YES, 3774)</t>
  </si>
  <si>
    <t>(FSE_Modulo_Arithmetic_Mode_Missing_Initialization_1_T_Loop14_TestCase0, YES, 5185)
(FSE_Modulo_Arithmetic_Mode_Missing_Initialization_1_T_Loop17_TestCase0, YES, 4917)</t>
  </si>
  <si>
    <t>(FSE_Modulo_Arithmetic_Mode_Missing_Initialization_1_T_Loop0_TestCase0, YES, 5248)</t>
  </si>
  <si>
    <t>(FSE_Modulo_Arithmetic_Mode_Missing_Initialization_1_NT_Loop16_TestCase6, NO, 3814)
(FSE_Modulo_Arithmetic_Mode_Missing_Initialization_1_NT_Loop16_TestCase7, NO, 3797)
(FSE_Modulo_Arithmetic_Mode_Missing_Initialization_1_NT_Loop16_TestCase5, YES, 3816)
(FSE_Modulo_Arithmetic_Mode_Missing_Initialization_1_NT_Loop16_TestCase4, YES, 1764)
(FSE_Modulo_Arithmetic_Mode_Missing_Initialization_1_NT_Loop16_TestCase1, YES, 1745)
(FSE_Modulo_Arithmetic_Mode_Missing_Initialization_1_NT_Loop14_TestCase8, NO, 3918)
(FSE_Modulo_Arithmetic_Mode_Missing_Initialization_1_NT_Loop16_TestCase3, YES, 1791)
(FSE_Modulo_Arithmetic_Mode_Missing_Initialization_1_NT_Loop16_TestCase2, YES, 1790)
(FSE_Modulo_Arithmetic_Mode_Missing_Initialization_1_NT_Loop14_TestCase9, NO, 2787)
(FSE_Modulo_Arithmetic_Mode_Missing_Initialization_1_NT_Loop14_TestCase10, NO, 3794)
(FSE_Modulo_Arithmetic_Mode_Missing_Initialization_1_NT_Loop16_TestCase10, NO, 3777)
(FSE_Modulo_Arithmetic_Mode_Missing_Initialization_1_NT_Loop14_TestCase4, YES, 1807)
(FSE_Modulo_Arithmetic_Mode_Missing_Initialization_1_NT_Loop14_TestCase5, YES, 3803)
(FSE_Modulo_Arithmetic_Mode_Missing_Initialization_1_NT_Loop14_TestCase7, NO, 4145)
(FSE_Modulo_Arithmetic_Mode_Missing_Initialization_1_NT_Loop14_TestCase6, NO, 3766)
(FSE_Modulo_Arithmetic_Mode_Missing_Initialization_1_NT_Loop14_TestCase2, YES, 1738)
(FSE_Modulo_Arithmetic_Mode_Missing_Initialization_1_NT_Loop16_TestCase9, NO, 2758)
(FSE_Modulo_Arithmetic_Mode_Missing_Initialization_1_NT_Loop16_TestCase8, NO, 2904)
(FSE_Modulo_Arithmetic_Mode_Missing_Initialization_1_NT_Loop14_TestCase3, YES, 1807)
(FSE_Modulo_Arithmetic_Mode_Missing_Initialization_1_NT_Loop14_TestCase1, YES, 1768)</t>
  </si>
  <si>
    <t>(FSE_Modulo_Arithmetic_Mode_Missing_Initialization_1_NT_Loop0_TestCase8, NO, 2780)
(FSE_Modulo_Arithmetic_Mode_Missing_Initialization_1_NT_Loop0_TestCase10, NO, 3837)
(FSE_Modulo_Arithmetic_Mode_Missing_Initialization_1_NT_Loop0_TestCase9, NO, 2732)
(FSE_Modulo_Arithmetic_Mode_Missing_Initialization_1_NT_Loop0_TestCase2, YES, 1724)
(FSE_Modulo_Arithmetic_Mode_Missing_Initialization_1_NT_Loop0_TestCase3, YES, 1727)
(FSE_Modulo_Arithmetic_Mode_Missing_Initialization_1_NT_Loop0_TestCase1, YES, 1735)
(FSE_Modulo_Arithmetic_Mode_Missing_Initialization_1_NT_Loop0_TestCase4, YES, 1730)
(FSE_Modulo_Arithmetic_Mode_Missing_Initialization_1_NT_Loop0_TestCase5, YES, 3767)
(FSE_Modulo_Arithmetic_Mode_Missing_Initialization_1_NT_Loop0_TestCase7, NO, 3756)
(FSE_Modulo_Arithmetic_Mode_Missing_Initialization_1_NT_Loop0_TestCase6, NO, 3740)</t>
  </si>
  <si>
    <t>(FSE_Modulo_Arithmetic_Mode_Missing_Initialization_1_NT_Loop16_TestCase0, NO, 3860)
(FSE_Modulo_Arithmetic_Mode_Missing_Initialization_1_NT_Loop14_TestCase0, NO, 3883)</t>
  </si>
  <si>
    <t>(FSE_Modulo_Arithmetic_Mode_Missing_Initialization_1_NT_Loop0_TestCase0, NO, 3936)</t>
  </si>
  <si>
    <t>(FSE_Modulo_Arithmetic_Mode_Missing_Corner-case_Handling_4_T_Loop23_TestCase6, MAYBE, 1406)
(FSE_Modulo_Arithmetic_Mode_Missing_Corner-case_Handling_4_T_Loop50_TestCase1, MAYBE, 1739)
(FSE_Modulo_Arithmetic_Mode_Missing_Corner-case_Handling_4_T_Loop23_TestCase7, MAYBE, 1455)
(FSE_Modulo_Arithmetic_Mode_Missing_Corner-case_Handling_4_T_Loop23_TestCase5, MAYBE, 1382)
(FSE_Modulo_Arithmetic_Mode_Missing_Corner-case_Handling_4_T_Loop50_TestCase3, MAYBE, 1707)
(FSE_Modulo_Arithmetic_Mode_Missing_Corner-case_Handling_4_T_Loop50_TestCase2, MAYBE, 1717)
(FSE_Modulo_Arithmetic_Mode_Missing_Corner-case_Handling_4_T_Loop23_TestCase4, MAYBE, 1447)
(FSE_Modulo_Arithmetic_Mode_Missing_Corner-case_Handling_4_T_Loop50_TestCase6, MAYBE, 1712)
(FSE_Modulo_Arithmetic_Mode_Missing_Corner-case_Handling_4_T_Loop23_TestCase1, MAYBE, 1407)
(FSE_Modulo_Arithmetic_Mode_Missing_Corner-case_Handling_4_T_Loop50_TestCase7, MAYBE, 1771)
(FSE_Modulo_Arithmetic_Mode_Missing_Corner-case_Handling_4_T_Loop50_TestCase5, MAYBE, 1706)
(FSE_Modulo_Arithmetic_Mode_Missing_Corner-case_Handling_4_T_Loop23_TestCase3, MAYBE, 1422)
(FSE_Modulo_Arithmetic_Mode_Missing_Corner-case_Handling_4_T_Loop36_TestCase8, MAYBE, 1650)
(FSE_Modulo_Arithmetic_Mode_Missing_Corner-case_Handling_4_T_Loop36_TestCase9, MAYBE, 1612)
(FSE_Modulo_Arithmetic_Mode_Missing_Corner-case_Handling_4_T_Loop23_TestCase2, MAYBE, 1403)
(FSE_Modulo_Arithmetic_Mode_Missing_Corner-case_Handling_4_T_Loop50_TestCase4, MAYBE, 1736)
(FSE_Modulo_Arithmetic_Mode_Missing_Corner-case_Handling_4_T_Loop50_TestCase10, MAYBE, 1729)
(FSE_Modulo_Arithmetic_Mode_Missing_Corner-case_Handling_4_T_Loop50_TestCase9, MAYBE, 1798)
(FSE_Modulo_Arithmetic_Mode_Missing_Corner-case_Handling_4_T_Loop36_TestCase4, MAYBE, 1599)
(FSE_Modulo_Arithmetic_Mode_Missing_Corner-case_Handling_4_T_Loop36_TestCase5, MAYBE, 1584)
(FSE_Modulo_Arithmetic_Mode_Missing_Corner-case_Handling_4_T_Loop50_TestCase8, MAYBE, 1790)
(FSE_Modulo_Arithmetic_Mode_Missing_Corner-case_Handling_4_T_Loop23_TestCase10, MAYBE, 1425)
(FSE_Modulo_Arithmetic_Mode_Missing_Corner-case_Handling_4_T_Loop36_TestCase10, MAYBE, 1602)
(FSE_Modulo_Arithmetic_Mode_Missing_Corner-case_Handling_4_T_Loop36_TestCase7, MAYBE, 1609)
(FSE_Modulo_Arithmetic_Mode_Missing_Corner-case_Handling_4_T_Loop36_TestCase6, MAYBE, 1577)
(FSE_Modulo_Arithmetic_Mode_Missing_Corner-case_Handling_4_T_Loop23_TestCase9, MAYBE, 1427)
(FSE_Modulo_Arithmetic_Mode_Missing_Corner-case_Handling_4_T_Loop36_TestCase2, MAYBE, 1588)
(FSE_Modulo_Arithmetic_Mode_Missing_Corner-case_Handling_4_T_Loop36_TestCase3, MAYBE, 1639)
(FSE_Modulo_Arithmetic_Mode_Missing_Corner-case_Handling_4_T_Loop23_TestCase8, MAYBE, 1408)
(FSE_Modulo_Arithmetic_Mode_Missing_Corner-case_Handling_4_T_Loop36_TestCase1, MAYBE, 1550)</t>
  </si>
  <si>
    <t>(FSE_Modulo_Arithmetic_Mode_Missing_Corner-case_Handling_4_T_Loop0_TestCase3, YES, 2303)
(FSE_Modulo_Arithmetic_Mode_Missing_Corner-case_Handling_4_T_Loop0_TestCase2, YES, 2151)
(FSE_Modulo_Arithmetic_Mode_Missing_Corner-case_Handling_4_T_Loop0_TestCase1, YES, 2153)
(FSE_Modulo_Arithmetic_Mode_Missing_Corner-case_Handling_4_T_Loop0_TestCase5, YES, 2277)
(FSE_Modulo_Arithmetic_Mode_Missing_Corner-case_Handling_4_T_Loop0_TestCase4, YES, 2150)
(FSE_Modulo_Arithmetic_Mode_Missing_Corner-case_Handling_4_T_Loop0_TestCase6, YES, 4398)
(FSE_Modulo_Arithmetic_Mode_Missing_Corner-case_Handling_4_T_Loop0_TestCase7, TIMEOUT, 302284)
(FSE_Modulo_Arithmetic_Mode_Missing_Corner-case_Handling_4_T_Loop0_TestCase9, TIMEOUT, 302448)
(FSE_Modulo_Arithmetic_Mode_Missing_Corner-case_Handling_4_T_Loop0_TestCase8, TIMEOUT, 302159)
(FSE_Modulo_Arithmetic_Mode_Missing_Corner-case_Handling_4_T_Loop0_TestCase10, TIMEOUT, 302340)</t>
  </si>
  <si>
    <t>(FSE_Modulo_Arithmetic_Mode_Missing_Corner-case_Handling_4_T_Loop50_TestCase0, MAYBE, 1730)
(FSE_Modulo_Arithmetic_Mode_Missing_Corner-case_Handling_4_T_Loop23_TestCase0, MAYBE, 1412)
(FSE_Modulo_Arithmetic_Mode_Missing_Corner-case_Handling_4_T_Loop36_TestCase0, MAYBE, 1608)</t>
  </si>
  <si>
    <t>(FSE_Modulo_Arithmetic_Mode_Missing_Corner-case_Handling_4_T_Loop0_TestCase0, TIMEOUT, 302492)</t>
  </si>
  <si>
    <t>(FSE_Modulo_Arithmetic_Mode_Missing_Corner-case_Handling_4_NT_Loop51_TestCase10, MAYBE, 1530)
(FSE_Modulo_Arithmetic_Mode_Missing_Corner-case_Handling_4_NT_Loop24_TestCase1, MAYBE, 1362)
(FSE_Modulo_Arithmetic_Mode_Missing_Corner-case_Handling_4_NT_Loop37_TestCase1, MAYBE, 1603)
(FSE_Modulo_Arithmetic_Mode_Missing_Corner-case_Handling_4_NT_Loop24_TestCase2, MAYBE, 1424)
(FSE_Modulo_Arithmetic_Mode_Missing_Corner-case_Handling_4_NT_Loop37_TestCase3, MAYBE, 1593)
(FSE_Modulo_Arithmetic_Mode_Missing_Corner-case_Handling_4_NT_Loop37_TestCase2, MAYBE, 1592)
(FSE_Modulo_Arithmetic_Mode_Missing_Corner-case_Handling_4_NT_Loop24_TestCase3, MAYBE, 1408)
(FSE_Modulo_Arithmetic_Mode_Missing_Corner-case_Handling_4_NT_Loop24_TestCase7, MAYBE, 1452)
(FSE_Modulo_Arithmetic_Mode_Missing_Corner-case_Handling_4_NT_Loop37_TestCase6, MAYBE, 1686)
(FSE_Modulo_Arithmetic_Mode_Missing_Corner-case_Handling_4_NT_Loop37_TestCase7, MAYBE, 1567)
(FSE_Modulo_Arithmetic_Mode_Missing_Corner-case_Handling_4_NT_Loop24_TestCase6, MAYBE, 1398)
(FSE_Modulo_Arithmetic_Mode_Missing_Corner-case_Handling_4_NT_Loop24_TestCase4, MAYBE, 1412)
(FSE_Modulo_Arithmetic_Mode_Missing_Corner-case_Handling_4_NT_Loop37_TestCase5, MAYBE, 1573)
(FSE_Modulo_Arithmetic_Mode_Missing_Corner-case_Handling_4_NT_Loop51_TestCase8, MAYBE, 1541)
(FSE_Modulo_Arithmetic_Mode_Missing_Corner-case_Handling_4_NT_Loop51_TestCase9, MAYBE, 1546)
(FSE_Modulo_Arithmetic_Mode_Missing_Corner-case_Handling_4_NT_Loop37_TestCase4, MAYBE, 1620)
(FSE_Modulo_Arithmetic_Mode_Missing_Corner-case_Handling_4_NT_Loop24_TestCase5, MAYBE, 1392)
(FSE_Modulo_Arithmetic_Mode_Missing_Corner-case_Handling_4_NT_Loop24_TestCase10, MAYBE, 1401)
(FSE_Modulo_Arithmetic_Mode_Missing_Corner-case_Handling_4_NT_Loop37_TestCase10, MAYBE, 1566)
(FSE_Modulo_Arithmetic_Mode_Missing_Corner-case_Handling_4_NT_Loop24_TestCase8, MAYBE, 1385)
(FSE_Modulo_Arithmetic_Mode_Missing_Corner-case_Handling_4_NT_Loop37_TestCase9, MAYBE, 1606)
(FSE_Modulo_Arithmetic_Mode_Missing_Corner-case_Handling_4_NT_Loop51_TestCase4, MAYBE, 1559)
(FSE_Modulo_Arithmetic_Mode_Missing_Corner-case_Handling_4_NT_Loop51_TestCase5, MAYBE, 1564)
(FSE_Modulo_Arithmetic_Mode_Missing_Corner-case_Handling_4_NT_Loop37_TestCase8, MAYBE, 1600)
(FSE_Modulo_Arithmetic_Mode_Missing_Corner-case_Handling_4_NT_Loop24_TestCase9, MAYBE, 1389)
(FSE_Modulo_Arithmetic_Mode_Missing_Corner-case_Handling_4_NT_Loop51_TestCase7, MAYBE, 1612)
(FSE_Modulo_Arithmetic_Mode_Missing_Corner-case_Handling_4_NT_Loop51_TestCase6, MAYBE, 1540)
(FSE_Modulo_Arithmetic_Mode_Missing_Corner-case_Handling_4_NT_Loop51_TestCase2, MAYBE, 1580)
(FSE_Modulo_Arithmetic_Mode_Missing_Corner-case_Handling_4_NT_Loop51_TestCase3, MAYBE, 2375)
(FSE_Modulo_Arithmetic_Mode_Missing_Corner-case_Handling_4_NT_Loop51_TestCase1, MAYBE, 1569)</t>
  </si>
  <si>
    <t>(FSE_Modulo_Arithmetic_Mode_Missing_Corner-case_Handling_4_NT_Loop0_TestCase3, YES, 2180)
(FSE_Modulo_Arithmetic_Mode_Missing_Corner-case_Handling_4_NT_Loop0_TestCase2, YES, 2164)
(FSE_Modulo_Arithmetic_Mode_Missing_Corner-case_Handling_4_NT_Loop0_TestCase1, YES, 2159)
(FSE_Modulo_Arithmetic_Mode_Missing_Corner-case_Handling_4_NT_Loop0_TestCase5, YES, 2152)
(FSE_Modulo_Arithmetic_Mode_Missing_Corner-case_Handling_4_NT_Loop0_TestCase4, YES, 2163)
(FSE_Modulo_Arithmetic_Mode_Missing_Corner-case_Handling_4_NT_Loop0_TestCase6, TIMEOUT, 302430)
(FSE_Modulo_Arithmetic_Mode_Missing_Corner-case_Handling_4_NT_Loop0_TestCase7, TIMEOUT, 302078)
(FSE_Modulo_Arithmetic_Mode_Missing_Corner-case_Handling_4_NT_Loop0_TestCase9, TIMEOUT, 302118)
(FSE_Modulo_Arithmetic_Mode_Missing_Corner-case_Handling_4_NT_Loop0_TestCase8, TIMEOUT, 302056)
(FSE_Modulo_Arithmetic_Mode_Missing_Corner-case_Handling_4_NT_Loop0_TestCase10, TIMEOUT, 302357)</t>
  </si>
  <si>
    <t>(FSE_Modulo_Arithmetic_Mode_Missing_Corner-case_Handling_4_NT_Loop37_TestCase0, MAYBE, 1661)
(FSE_Modulo_Arithmetic_Mode_Missing_Corner-case_Handling_4_NT_Loop24_TestCase0, MAYBE, 1442)
(FSE_Modulo_Arithmetic_Mode_Missing_Corner-case_Handling_4_NT_Loop51_TestCase0, MAYBE, 1582)</t>
  </si>
  <si>
    <t>(FSE_Modulo_Arithmetic_Mode_Missing_Corner-case_Handling_4_NT_Loop0_TestCase0, TIMEOUT, 302521)</t>
  </si>
  <si>
    <t>40/40</t>
  </si>
  <si>
    <t>(FSE_Modulo_Arithmetic_Mode_Missing_Corner-case_Handling_3_T_Loop33_TestCase1, YES, 12272)
(FSE_Modulo_Arithmetic_Mode_Missing_Corner-case_Handling_3_T_Loop19_TestCase1, YES, 11033)
(FSE_Modulo_Arithmetic_Mode_Missing_Corner-case_Handling_3_T_Loop33_TestCase2, YES, 23316)
(FSE_Modulo_Arithmetic_Mode_Missing_Corner-case_Handling_3_T_Loop31_TestCase9, YES, 21382)
(FSE_Modulo_Arithmetic_Mode_Missing_Corner-case_Handling_3_T_Loop19_TestCase3, YES, 15462)
(FSE_Modulo_Arithmetic_Mode_Missing_Corner-case_Handling_3_T_Loop19_TestCase2, YES, 18110)
(FSE_Modulo_Arithmetic_Mode_Missing_Corner-case_Handling_3_T_Loop31_TestCase8, YES, 24647)
(FSE_Modulo_Arithmetic_Mode_Missing_Corner-case_Handling_3_T_Loop33_TestCase3, YES, 15223)
(FSE_Modulo_Arithmetic_Mode_Missing_Corner-case_Handling_3_T_Loop33_TestCase7, YES, 18433)
(FSE_Modulo_Arithmetic_Mode_Missing_Corner-case_Handling_3_T_Loop19_TestCase6, YES, 32926)
(FSE_Modulo_Arithmetic_Mode_Missing_Corner-case_Handling_3_T_Loop21_TestCase8, YES, 18950)
(FSE_Modulo_Arithmetic_Mode_Missing_Corner-case_Handling_3_T_Loop21_TestCase9, YES, 37409)
(FSE_Modulo_Arithmetic_Mode_Missing_Corner-case_Handling_3_T_Loop19_TestCase7, YES, 19737)
(FSE_Modulo_Arithmetic_Mode_Missing_Corner-case_Handling_3_T_Loop33_TestCase6, YES, 19193)
(FSE_Modulo_Arithmetic_Mode_Missing_Corner-case_Handling_3_T_Loop33_TestCase4, YES, 20957)
(FSE_Modulo_Arithmetic_Mode_Missing_Corner-case_Handling_3_T_Loop19_TestCase5, YES, 16600)
(FSE_Modulo_Arithmetic_Mode_Missing_Corner-case_Handling_3_T_Loop19_TestCase4, YES, 27496)
(FSE_Modulo_Arithmetic_Mode_Missing_Corner-case_Handling_3_T_Loop33_TestCase5, YES, 20451)
(FSE_Modulo_Arithmetic_Mode_Missing_Corner-case_Handling_3_T_Loop19_TestCase10, YES, 21272)
(FSE_Modulo_Arithmetic_Mode_Missing_Corner-case_Handling_3_T_Loop31_TestCase10, YES, 17277)
(FSE_Modulo_Arithmetic_Mode_Missing_Corner-case_Handling_3_T_Loop33_TestCase8, YES, 18852)
(FSE_Modulo_Arithmetic_Mode_Missing_Corner-case_Handling_3_T_Loop31_TestCase3, YES, 18495)
(FSE_Modulo_Arithmetic_Mode_Missing_Corner-case_Handling_3_T_Loop19_TestCase9, YES, 22670)
(FSE_Modulo_Arithmetic_Mode_Missing_Corner-case_Handling_3_T_Loop21_TestCase7, YES, 15774)
(FSE_Modulo_Arithmetic_Mode_Missing_Corner-case_Handling_3_T_Loop21_TestCase6, YES, 18630)
(FSE_Modulo_Arithmetic_Mode_Missing_Corner-case_Handling_3_T_Loop19_TestCase8, YES, 15174)
(FSE_Modulo_Arithmetic_Mode_Missing_Corner-case_Handling_3_T_Loop31_TestCase2, YES, 20113)
(FSE_Modulo_Arithmetic_Mode_Missing_Corner-case_Handling_3_T_Loop33_TestCase9, YES, 18203)
(FSE_Modulo_Arithmetic_Mode_Missing_Corner-case_Handling_3_T_Loop21_TestCase4, YES, 17930)
(FSE_Modulo_Arithmetic_Mode_Missing_Corner-case_Handling_3_T_Loop21_TestCase5, YES, 18339)
(FSE_Modulo_Arithmetic_Mode_Missing_Corner-case_Handling_3_T_Loop31_TestCase1, YES, 11503)
(FSE_Modulo_Arithmetic_Mode_Missing_Corner-case_Handling_3_T_Loop31_TestCase5, YES, 16513)
(FSE_Modulo_Arithmetic_Mode_Missing_Corner-case_Handling_3_T_Loop21_TestCase1, YES, 11992)
(FSE_Modulo_Arithmetic_Mode_Missing_Corner-case_Handling_3_T_Loop31_TestCase4, YES, 18410)
(FSE_Modulo_Arithmetic_Mode_Missing_Corner-case_Handling_3_T_Loop33_TestCase10, YES, 29608)
(FSE_Modulo_Arithmetic_Mode_Missing_Corner-case_Handling_3_T_Loop31_TestCase6, YES, 24656)
(FSE_Modulo_Arithmetic_Mode_Missing_Corner-case_Handling_3_T_Loop21_TestCase2, YES, 17783)
(FSE_Modulo_Arithmetic_Mode_Missing_Corner-case_Handling_3_T_Loop21_TestCase3, YES, 21863)
(FSE_Modulo_Arithmetic_Mode_Missing_Corner-case_Handling_3_T_Loop31_TestCase7, YES, 18655)
(FSE_Modulo_Arithmetic_Mode_Missing_Corner-case_Handling_3_T_Loop21_TestCase10, YES, 24199)</t>
  </si>
  <si>
    <t>(FSE_Modulo_Arithmetic_Mode_Missing_Corner-case_Handling_3_T_Loop0_TestCase8, YES, 17633)
(FSE_Modulo_Arithmetic_Mode_Missing_Corner-case_Handling_3_T_Loop0_TestCase9, YES, 21474)
(FSE_Modulo_Arithmetic_Mode_Missing_Corner-case_Handling_3_T_Loop0_TestCase4, YES, 18246)
(FSE_Modulo_Arithmetic_Mode_Missing_Corner-case_Handling_3_T_Loop0_TestCase5, YES, 39053)
(FSE_Modulo_Arithmetic_Mode_Missing_Corner-case_Handling_3_T_Loop0_TestCase7, YES, 16305)
(FSE_Modulo_Arithmetic_Mode_Missing_Corner-case_Handling_3_T_Loop0_TestCase6, YES, 23722)
(FSE_Modulo_Arithmetic_Mode_Missing_Corner-case_Handling_3_T_Loop0_TestCase2, YES, 20214)
(FSE_Modulo_Arithmetic_Mode_Missing_Corner-case_Handling_3_T_Loop0_TestCase3, YES, 18258)
(FSE_Modulo_Arithmetic_Mode_Missing_Corner-case_Handling_3_T_Loop0_TestCase10, YES, 18247)
(FSE_Modulo_Arithmetic_Mode_Missing_Corner-case_Handling_3_T_Loop0_TestCase1, YES, 11831)</t>
  </si>
  <si>
    <t>(FSE_Modulo_Arithmetic_Mode_Missing_Corner-case_Handling_3_T_Loop19_TestCase0, TIMEOUT, 302515)
(FSE_Modulo_Arithmetic_Mode_Missing_Corner-case_Handling_3_T_Loop33_TestCase0, TIMEOUT, 302515)
(FSE_Modulo_Arithmetic_Mode_Missing_Corner-case_Handling_3_T_Loop31_TestCase0, TIMEOUT, 302499)
(FSE_Modulo_Arithmetic_Mode_Missing_Corner-case_Handling_3_T_Loop21_TestCase0, TIMEOUT, 302635)</t>
  </si>
  <si>
    <t>(FSE_Modulo_Arithmetic_Mode_Missing_Corner-case_Handling_3_T_Loop0_TestCase0, TIMEOUT, 302310)</t>
  </si>
  <si>
    <t>(FSE_Modulo_Arithmetic_Mode_Missing_Corner-case_Handling_3_NT_Loop19_TestCase10, TIMEOUT, 302147)
(FSE_Modulo_Arithmetic_Mode_Missing_Corner-case_Handling_3_NT_Loop33_TestCase3, TIMEOUT, 302165)
(FSE_Modulo_Arithmetic_Mode_Missing_Corner-case_Handling_3_NT_Loop19_TestCase2, TIMEOUT, 302021)
(FSE_Modulo_Arithmetic_Mode_Missing_Corner-case_Handling_3_NT_Loop31_TestCase8, TIMEOUT, 302133)
(FSE_Modulo_Arithmetic_Mode_Missing_Corner-case_Handling_3_NT_Loop31_TestCase9, TIMEOUT, 302127)
(FSE_Modulo_Arithmetic_Mode_Missing_Corner-case_Handling_3_NT_Loop19_TestCase3, TIMEOUT, 302162)
(FSE_Modulo_Arithmetic_Mode_Missing_Corner-case_Handling_3_NT_Loop33_TestCase2, TIMEOUT, 302398)
(FSE_Modulo_Arithmetic_Mode_Missing_Corner-case_Handling_3_NT_Loop19_TestCase1, TIMEOUT, 302224)
(FSE_Modulo_Arithmetic_Mode_Missing_Corner-case_Handling_3_NT_Loop33_TestCase1, TIMEOUT, 302118)
(FSE_Modulo_Arithmetic_Mode_Missing_Corner-case_Handling_3_NT_Loop33_TestCase5, TIMEOUT, 302117)
(FSE_Modulo_Arithmetic_Mode_Missing_Corner-case_Handling_3_NT_Loop19_TestCase4, TIMEOUT, 302274)
(FSE_Modulo_Arithmetic_Mode_Missing_Corner-case_Handling_3_NT_Loop19_TestCase5, TIMEOUT, 301959)
(FSE_Modulo_Arithmetic_Mode_Missing_Corner-case_Handling_3_NT_Loop33_TestCase4, TIMEOUT, 302101)
(FSE_Modulo_Arithmetic_Mode_Missing_Corner-case_Handling_3_NT_Loop21_TestCase9, TIMEOUT, 302151)
(FSE_Modulo_Arithmetic_Mode_Missing_Corner-case_Handling_3_NT_Loop33_TestCase6, TIMEOUT, 302222)
(FSE_Modulo_Arithmetic_Mode_Missing_Corner-case_Handling_3_NT_Loop19_TestCase7, TIMEOUT, 302182)
(FSE_Modulo_Arithmetic_Mode_Missing_Corner-case_Handling_3_NT_Loop19_TestCase6, TIMEOUT, 302016)
(FSE_Modulo_Arithmetic_Mode_Missing_Corner-case_Handling_3_NT_Loop33_TestCase7, TIMEOUT, 302120)
(FSE_Modulo_Arithmetic_Mode_Missing_Corner-case_Handling_3_NT_Loop21_TestCase8, TIMEOUT, 302183)
(FSE_Modulo_Arithmetic_Mode_Missing_Corner-case_Handling_3_NT_Loop21_TestCase5, TIMEOUT, 301990)
(FSE_Modulo_Arithmetic_Mode_Missing_Corner-case_Handling_3_NT_Loop21_TestCase10, TIMEOUT, 302093)
(FSE_Modulo_Arithmetic_Mode_Missing_Corner-case_Handling_3_NT_Loop31_TestCase1, TIMEOUT, 302132)
(FSE_Modulo_Arithmetic_Mode_Missing_Corner-case_Handling_3_NT_Loop21_TestCase4, TIMEOUT, 302210)
(FSE_Modulo_Arithmetic_Mode_Missing_Corner-case_Handling_3_NT_Loop21_TestCase6, TIMEOUT, 302165)
(FSE_Modulo_Arithmetic_Mode_Missing_Corner-case_Handling_3_NT_Loop33_TestCase9, TIMEOUT, 302166)
(FSE_Modulo_Arithmetic_Mode_Missing_Corner-case_Handling_3_NT_Loop19_TestCase8, TIMEOUT, 302036)
(FSE_Modulo_Arithmetic_Mode_Missing_Corner-case_Handling_3_NT_Loop33_TestCase10, TIMEOUT, 302124)
(FSE_Modulo_Arithmetic_Mode_Missing_Corner-case_Handling_3_NT_Loop31_TestCase2, TIMEOUT, 302186)
(FSE_Modulo_Arithmetic_Mode_Missing_Corner-case_Handling_3_NT_Loop31_TestCase3, TIMEOUT, 302169)
(FSE_Modulo_Arithmetic_Mode_Missing_Corner-case_Handling_3_NT_Loop19_TestCase9, TIMEOUT, 302131)
(FSE_Modulo_Arithmetic_Mode_Missing_Corner-case_Handling_3_NT_Loop33_TestCase8, TIMEOUT, 302203)
(FSE_Modulo_Arithmetic_Mode_Missing_Corner-case_Handling_3_NT_Loop21_TestCase7, TIMEOUT, 302203)
(FSE_Modulo_Arithmetic_Mode_Missing_Corner-case_Handling_3_NT_Loop21_TestCase3, TIMEOUT, 302154)
(FSE_Modulo_Arithmetic_Mode_Missing_Corner-case_Handling_3_NT_Loop31_TestCase7, TIMEOUT, 302169)
(FSE_Modulo_Arithmetic_Mode_Missing_Corner-case_Handling_3_NT_Loop31_TestCase6, TIMEOUT, 302170)
(FSE_Modulo_Arithmetic_Mode_Missing_Corner-case_Handling_3_NT_Loop21_TestCase2, TIMEOUT, 302247)
(FSE_Modulo_Arithmetic_Mode_Missing_Corner-case_Handling_3_NT_Loop31_TestCase4, TIMEOUT, 302198)
(FSE_Modulo_Arithmetic_Mode_Missing_Corner-case_Handling_3_NT_Loop31_TestCase5, TIMEOUT, 302223)
(FSE_Modulo_Arithmetic_Mode_Missing_Corner-case_Handling_3_NT_Loop21_TestCase1, TIMEOUT, 302004)
(FSE_Modulo_Arithmetic_Mode_Missing_Corner-case_Handling_3_NT_Loop31_TestCase10, TIMEOUT, 302116)</t>
  </si>
  <si>
    <t>(FSE_Modulo_Arithmetic_Mode_Missing_Corner-case_Handling_3_NT_Loop0_TestCase1, TIMEOUT, 301976)
(FSE_Modulo_Arithmetic_Mode_Missing_Corner-case_Handling_3_NT_Loop0_TestCase3, TIMEOUT, 301776)
(FSE_Modulo_Arithmetic_Mode_Missing_Corner-case_Handling_3_NT_Loop0_TestCase2, TIMEOUT, 302090)
(FSE_Modulo_Arithmetic_Mode_Missing_Corner-case_Handling_3_NT_Loop0_TestCase6, TIMEOUT, 301922)
(FSE_Modulo_Arithmetic_Mode_Missing_Corner-case_Handling_3_NT_Loop0_TestCase7, TIMEOUT, 302003)
(FSE_Modulo_Arithmetic_Mode_Missing_Corner-case_Handling_3_NT_Loop0_TestCase5, TIMEOUT, 301754)
(FSE_Modulo_Arithmetic_Mode_Missing_Corner-case_Handling_3_NT_Loop0_TestCase4, TIMEOUT, 302117)
(FSE_Modulo_Arithmetic_Mode_Missing_Corner-case_Handling_3_NT_Loop0_TestCase9, TIMEOUT, 301742)
(FSE_Modulo_Arithmetic_Mode_Missing_Corner-case_Handling_3_NT_Loop0_TestCase8, TIMEOUT, 302023)
(FSE_Modulo_Arithmetic_Mode_Missing_Corner-case_Handling_3_NT_Loop0_TestCase10, TIMEOUT, 301757)</t>
  </si>
  <si>
    <t>(FSE_Modulo_Arithmetic_Mode_Missing_Corner-case_Handling_3_NT_Loop33_TestCase0, TIMEOUT, 302496)
(FSE_Modulo_Arithmetic_Mode_Missing_Corner-case_Handling_3_NT_Loop19_TestCase0, TIMEOUT, 302496)
(FSE_Modulo_Arithmetic_Mode_Missing_Corner-case_Handling_3_NT_Loop31_TestCase0, TIMEOUT, 302467)
(FSE_Modulo_Arithmetic_Mode_Missing_Corner-case_Handling_3_NT_Loop21_TestCase0, TIMEOUT, 302565)</t>
  </si>
  <si>
    <t>(FSE_Modulo_Arithmetic_Mode_Missing_Corner-case_Handling_3_NT_Loop0_TestCase0, TIMEOUT, 302565)</t>
  </si>
  <si>
    <t>(FSE_Modulo_Arithmetic_Mode_Missing_Corner-case_Handling_2_T_Loop16_TestCase9, ERROR, 1641)
(FSE_Modulo_Arithmetic_Mode_Missing_Corner-case_Handling_2_T_Loop16_TestCase8, ERROR, 1629)
(FSE_Modulo_Arithmetic_Mode_Missing_Corner-case_Handling_2_T_Loop16_TestCase6, ERROR, 1651)
(FSE_Modulo_Arithmetic_Mode_Missing_Corner-case_Handling_2_T_Loop16_TestCase7, ERROR, 1689)
(FSE_Modulo_Arithmetic_Mode_Missing_Corner-case_Handling_2_T_Loop16_TestCase5, ERROR, 1629)
(FSE_Modulo_Arithmetic_Mode_Missing_Corner-case_Handling_2_T_Loop16_TestCase4, ERROR, 1642)
(FSE_Modulo_Arithmetic_Mode_Missing_Corner-case_Handling_2_T_Loop16_TestCase1, ERROR, 1626)
(FSE_Modulo_Arithmetic_Mode_Missing_Corner-case_Handling_2_T_Loop16_TestCase3, ERROR, 1609)
(FSE_Modulo_Arithmetic_Mode_Missing_Corner-case_Handling_2_T_Loop16_TestCase10, ERROR, 1623)
(FSE_Modulo_Arithmetic_Mode_Missing_Corner-case_Handling_2_T_Loop16_TestCase2, ERROR, 1638)</t>
  </si>
  <si>
    <t>(FSE_Modulo_Arithmetic_Mode_Missing_Corner-case_Handling_2_T_Loop0_TestCase7, ERROR, 1610)
(FSE_Modulo_Arithmetic_Mode_Missing_Corner-case_Handling_2_T_Loop0_TestCase6, ERROR, 1601)
(FSE_Modulo_Arithmetic_Mode_Missing_Corner-case_Handling_2_T_Loop0_TestCase4, ERROR, 1620)
(FSE_Modulo_Arithmetic_Mode_Missing_Corner-case_Handling_2_T_Loop0_TestCase5, ERROR, 1614)
(FSE_Modulo_Arithmetic_Mode_Missing_Corner-case_Handling_2_T_Loop0_TestCase1, ERROR, 1617)
(FSE_Modulo_Arithmetic_Mode_Missing_Corner-case_Handling_2_T_Loop0_TestCase2, ERROR, 1614)
(FSE_Modulo_Arithmetic_Mode_Missing_Corner-case_Handling_2_T_Loop0_TestCase3, ERROR, 1602)
(FSE_Modulo_Arithmetic_Mode_Missing_Corner-case_Handling_2_T_Loop0_TestCase10, ERROR, 1659)
(FSE_Modulo_Arithmetic_Mode_Missing_Corner-case_Handling_2_T_Loop0_TestCase8, ERROR, 1615)
(FSE_Modulo_Arithmetic_Mode_Missing_Corner-case_Handling_2_T_Loop0_TestCase9, ERROR, 1578)</t>
  </si>
  <si>
    <t>(FSE_Modulo_Arithmetic_Mode_Missing_Corner-case_Handling_2_T_Loop16_TestCase0, ERROR, 1677)</t>
  </si>
  <si>
    <t>(FSE_Modulo_Arithmetic_Mode_Missing_Corner-case_Handling_2_T_Loop0_TestCase0, ERROR, 1732)</t>
  </si>
  <si>
    <t>(FSE_Modulo_Arithmetic_Mode_Missing_Corner-case_Handling_2_NT_Loop17_TestCase9, ERROR, 1644)
(FSE_Modulo_Arithmetic_Mode_Missing_Corner-case_Handling_2_NT_Loop17_TestCase8, ERROR, 1634)
(FSE_Modulo_Arithmetic_Mode_Missing_Corner-case_Handling_2_NT_Loop17_TestCase10, ERROR, 1643)
(FSE_Modulo_Arithmetic_Mode_Missing_Corner-case_Handling_2_NT_Loop17_TestCase3, ERROR, 1634)
(FSE_Modulo_Arithmetic_Mode_Missing_Corner-case_Handling_2_NT_Loop17_TestCase2, ERROR, 1638)
(FSE_Modulo_Arithmetic_Mode_Missing_Corner-case_Handling_2_NT_Loop17_TestCase1, ERROR, 1619)
(FSE_Modulo_Arithmetic_Mode_Missing_Corner-case_Handling_2_NT_Loop17_TestCase5, ERROR, 1621)
(FSE_Modulo_Arithmetic_Mode_Missing_Corner-case_Handling_2_NT_Loop17_TestCase4, ERROR, 1597)
(FSE_Modulo_Arithmetic_Mode_Missing_Corner-case_Handling_2_NT_Loop17_TestCase6, ERROR, 1613)
(FSE_Modulo_Arithmetic_Mode_Missing_Corner-case_Handling_2_NT_Loop17_TestCase7, ERROR, 1677)</t>
  </si>
  <si>
    <t>(FSE_Modulo_Arithmetic_Mode_Missing_Corner-case_Handling_2_NT_Loop0_TestCase4, ERROR, 1635)
(FSE_Modulo_Arithmetic_Mode_Missing_Corner-case_Handling_2_NT_Loop0_TestCase10, ERROR, 1643)
(FSE_Modulo_Arithmetic_Mode_Missing_Corner-case_Handling_2_NT_Loop0_TestCase5, ERROR, 1610)
(FSE_Modulo_Arithmetic_Mode_Missing_Corner-case_Handling_2_NT_Loop0_TestCase7, ERROR, 1623)
(FSE_Modulo_Arithmetic_Mode_Missing_Corner-case_Handling_2_NT_Loop0_TestCase6, ERROR, 1604)
(FSE_Modulo_Arithmetic_Mode_Missing_Corner-case_Handling_2_NT_Loop0_TestCase2, ERROR, 1594)
(FSE_Modulo_Arithmetic_Mode_Missing_Corner-case_Handling_2_NT_Loop0_TestCase3, ERROR, 1630)
(FSE_Modulo_Arithmetic_Mode_Missing_Corner-case_Handling_2_NT_Loop0_TestCase1, ERROR, 1613)
(FSE_Modulo_Arithmetic_Mode_Missing_Corner-case_Handling_2_NT_Loop0_TestCase8, ERROR, 1593)
(FSE_Modulo_Arithmetic_Mode_Missing_Corner-case_Handling_2_NT_Loop0_TestCase9, ERROR, 1618)</t>
  </si>
  <si>
    <t>(FSE_Modulo_Arithmetic_Mode_Missing_Corner-case_Handling_2_NT_Loop17_TestCase0, ERROR, 1710)</t>
  </si>
  <si>
    <t>(FSE_Modulo_Arithmetic_Mode_Missing_Corner-case_Handling_2_NT_Loop0_TestCase0, ERROR, 1641)</t>
  </si>
  <si>
    <t>(FSE_Modulo_Arithmetic_Mode_Missing_Corner-case_Handling_1_T_Loop40_TestCase6, YES, 3892)
(FSE_Modulo_Arithmetic_Mode_Missing_Corner-case_Handling_1_T_Loop40_TestCase7, YES, 3829)
(FSE_Modulo_Arithmetic_Mode_Missing_Corner-case_Handling_1_T_Loop40_TestCase10, YES, 1800)
(FSE_Modulo_Arithmetic_Mode_Missing_Corner-case_Handling_1_T_Loop40_TestCase5, YES, 1788)
(FSE_Modulo_Arithmetic_Mode_Missing_Corner-case_Handling_1_T_Loop40_TestCase4, YES, 1789)
(FSE_Modulo_Arithmetic_Mode_Missing_Corner-case_Handling_1_T_Loop40_TestCase1, YES, 1799)
(FSE_Modulo_Arithmetic_Mode_Missing_Corner-case_Handling_1_T_Loop40_TestCase3, YES, 1773)
(FSE_Modulo_Arithmetic_Mode_Missing_Corner-case_Handling_1_T_Loop40_TestCase2, YES, 1815)
(FSE_Modulo_Arithmetic_Mode_Missing_Corner-case_Handling_1_T_Loop40_TestCase9, YES, 1770)
(FSE_Modulo_Arithmetic_Mode_Missing_Corner-case_Handling_1_T_Loop40_TestCase8, YES, 3838)</t>
  </si>
  <si>
    <t>(FSE_Modulo_Arithmetic_Mode_Missing_Corner-case_Handling_1_T_Loop0_TestCase9, YES, 1758)
(FSE_Modulo_Arithmetic_Mode_Missing_Corner-case_Handling_1_T_Loop0_TestCase8, YES, 3804)
(FSE_Modulo_Arithmetic_Mode_Missing_Corner-case_Handling_1_T_Loop0_TestCase10, YES, 1804)
(FSE_Modulo_Arithmetic_Mode_Missing_Corner-case_Handling_1_T_Loop0_TestCase3, YES, 1782)
(FSE_Modulo_Arithmetic_Mode_Missing_Corner-case_Handling_1_T_Loop0_TestCase2, YES, 1799)
(FSE_Modulo_Arithmetic_Mode_Missing_Corner-case_Handling_1_T_Loop0_TestCase1, YES, 1786)
(FSE_Modulo_Arithmetic_Mode_Missing_Corner-case_Handling_1_T_Loop0_TestCase5, YES, 1867)
(FSE_Modulo_Arithmetic_Mode_Missing_Corner-case_Handling_1_T_Loop0_TestCase4, YES, 1807)
(FSE_Modulo_Arithmetic_Mode_Missing_Corner-case_Handling_1_T_Loop0_TestCase6, YES, 3807)
(FSE_Modulo_Arithmetic_Mode_Missing_Corner-case_Handling_1_T_Loop0_TestCase7, YES, 3835)</t>
  </si>
  <si>
    <t>(FSE_Modulo_Arithmetic_Mode_Missing_Corner-case_Handling_1_T_Loop40_TestCase0, YES, 3869)</t>
  </si>
  <si>
    <t>(FSE_Modulo_Arithmetic_Mode_Missing_Corner-case_Handling_1_T_Loop0_TestCase0, YES, 3868)</t>
  </si>
  <si>
    <t>(FSE_Modulo_Arithmetic_Mode_Missing_Corner-case_Handling_1_NT_Loop40_TestCase10, NO, 1789)
(FSE_Modulo_Arithmetic_Mode_Missing_Corner-case_Handling_1_NT_Loop40_TestCase8, NO, 1813)
(FSE_Modulo_Arithmetic_Mode_Missing_Corner-case_Handling_1_NT_Loop40_TestCase9, NO, 1781)
(FSE_Modulo_Arithmetic_Mode_Missing_Corner-case_Handling_1_NT_Loop40_TestCase4, YES, 1837)
(FSE_Modulo_Arithmetic_Mode_Missing_Corner-case_Handling_1_NT_Loop40_TestCase5, YES, 1771)
(FSE_Modulo_Arithmetic_Mode_Missing_Corner-case_Handling_1_NT_Loop40_TestCase7, NO, 2800)
(FSE_Modulo_Arithmetic_Mode_Missing_Corner-case_Handling_1_NT_Loop40_TestCase6, NO, 1799)
(FSE_Modulo_Arithmetic_Mode_Missing_Corner-case_Handling_1_NT_Loop40_TestCase2, YES, 1781)
(FSE_Modulo_Arithmetic_Mode_Missing_Corner-case_Handling_1_NT_Loop40_TestCase3, YES, 1812)
(FSE_Modulo_Arithmetic_Mode_Missing_Corner-case_Handling_1_NT_Loop40_TestCase1, YES, 1789)</t>
  </si>
  <si>
    <t>(FSE_Modulo_Arithmetic_Mode_Missing_Corner-case_Handling_1_NT_Loop0_TestCase1, YES, 1779)
(FSE_Modulo_Arithmetic_Mode_Missing_Corner-case_Handling_1_NT_Loop0_TestCase2, YES, 1736)
(FSE_Modulo_Arithmetic_Mode_Missing_Corner-case_Handling_1_NT_Loop0_TestCase3, YES, 1785)
(FSE_Modulo_Arithmetic_Mode_Missing_Corner-case_Handling_1_NT_Loop0_TestCase7, NO, 2816)
(FSE_Modulo_Arithmetic_Mode_Missing_Corner-case_Handling_1_NT_Loop0_TestCase6, NO, 2790)
(FSE_Modulo_Arithmetic_Mode_Missing_Corner-case_Handling_1_NT_Loop0_TestCase4, YES, 1735)
(FSE_Modulo_Arithmetic_Mode_Missing_Corner-case_Handling_1_NT_Loop0_TestCase5, YES, 1744)
(FSE_Modulo_Arithmetic_Mode_Missing_Corner-case_Handling_1_NT_Loop0_TestCase10, NO, 2795)
(FSE_Modulo_Arithmetic_Mode_Missing_Corner-case_Handling_1_NT_Loop0_TestCase8, NO, 1753)
(FSE_Modulo_Arithmetic_Mode_Missing_Corner-case_Handling_1_NT_Loop0_TestCase9, NO, 1796)</t>
  </si>
  <si>
    <t>(FSE_Modulo_Arithmetic_Mode_Missing_Corner-case_Handling_1_NT_Loop40_TestCase0, NO, 3910)</t>
  </si>
  <si>
    <t>(FSE_Modulo_Arithmetic_Mode_Missing_Corner-case_Handling_1_NT_Loop0_TestCase0, NO, 3850)</t>
  </si>
  <si>
    <t>(FSE_Modulo_Arithmetic_Mode_Incorrect_Update_for_Loop_Iterator_3_NT_Loop18_TestCase8, NO, 3772)
(FSE_Modulo_Arithmetic_Mode_Incorrect_Update_for_Loop_Iterator_3_NT_Loop18_TestCase9, NO, 3739)
(FSE_Modulo_Arithmetic_Mode_Incorrect_Update_for_Loop_Iterator_3_NT_Loop18_TestCase4, YES, 3789)
(FSE_Modulo_Arithmetic_Mode_Incorrect_Update_for_Loop_Iterator_3_NT_Loop18_TestCase5, YES, 3816)
(FSE_Modulo_Arithmetic_Mode_Incorrect_Update_for_Loop_Iterator_3_NT_Loop18_TestCase7, NO, 3749)
(FSE_Modulo_Arithmetic_Mode_Incorrect_Update_for_Loop_Iterator_3_NT_Loop18_TestCase6, NO, 3780)
(FSE_Modulo_Arithmetic_Mode_Incorrect_Update_for_Loop_Iterator_3_NT_Loop18_TestCase2, YES, 3875)
(FSE_Modulo_Arithmetic_Mode_Incorrect_Update_for_Loop_Iterator_3_NT_Loop18_TestCase3, YES, 3785)
(FSE_Modulo_Arithmetic_Mode_Incorrect_Update_for_Loop_Iterator_3_NT_Loop18_TestCase1, YES, 3782)
(FSE_Modulo_Arithmetic_Mode_Incorrect_Update_for_Loop_Iterator_3_NT_Loop18_TestCase10, NO, 3768)</t>
  </si>
  <si>
    <t>(FSE_Modulo_Arithmetic_Mode_Incorrect_Update_for_Loop_Iterator_3_NT_Loop0_TestCase8, NO, 3780)
(FSE_Modulo_Arithmetic_Mode_Incorrect_Update_for_Loop_Iterator_3_NT_Loop0_TestCase9, NO, 3783)
(FSE_Modulo_Arithmetic_Mode_Incorrect_Update_for_Loop_Iterator_3_NT_Loop0_TestCase10, NO, 3833)
(FSE_Modulo_Arithmetic_Mode_Incorrect_Update_for_Loop_Iterator_3_NT_Loop0_TestCase2, YES, 3765)
(FSE_Modulo_Arithmetic_Mode_Incorrect_Update_for_Loop_Iterator_3_NT_Loop0_TestCase3, YES, 3737)
(FSE_Modulo_Arithmetic_Mode_Incorrect_Update_for_Loop_Iterator_3_NT_Loop0_TestCase1, YES, 3763)
(FSE_Modulo_Arithmetic_Mode_Incorrect_Update_for_Loop_Iterator_3_NT_Loop0_TestCase4, YES, 3764)
(FSE_Modulo_Arithmetic_Mode_Incorrect_Update_for_Loop_Iterator_3_NT_Loop0_TestCase5, YES, 3875)
(FSE_Modulo_Arithmetic_Mode_Incorrect_Update_for_Loop_Iterator_3_NT_Loop0_TestCase7, NO, 3840)
(FSE_Modulo_Arithmetic_Mode_Incorrect_Update_for_Loop_Iterator_3_NT_Loop0_TestCase6, NO, 3802)</t>
  </si>
  <si>
    <t>(FSE_Modulo_Arithmetic_Mode_Incorrect_Update_for_Loop_Iterator_3_NT_Loop18_TestCase0, NO, 7817)</t>
  </si>
  <si>
    <t>(FSE_Modulo_Arithmetic_Mode_Incorrect_Update_for_Loop_Iterator_3_NT_Loop0_TestCase0, NO, 7867)</t>
  </si>
  <si>
    <t>(FSE_Modulo_Arithmetic_Mode_Incorrect_Update_for_Loop_Iterator_2_T_Loop14_TestCase9, YES, 1774)
(FSE_Modulo_Arithmetic_Mode_Incorrect_Update_for_Loop_Iterator_2_T_Loop14_TestCase8, YES, 1760)
(FSE_Modulo_Arithmetic_Mode_Incorrect_Update_for_Loop_Iterator_2_T_Loop14_TestCase6, YES, 1781)
(FSE_Modulo_Arithmetic_Mode_Incorrect_Update_for_Loop_Iterator_2_T_Loop14_TestCase10, YES, 1785)
(FSE_Modulo_Arithmetic_Mode_Incorrect_Update_for_Loop_Iterator_2_T_Loop14_TestCase7, YES, 1762)
(FSE_Modulo_Arithmetic_Mode_Incorrect_Update_for_Loop_Iterator_2_T_Loop14_TestCase5, YES, 1776)
(FSE_Modulo_Arithmetic_Mode_Incorrect_Update_for_Loop_Iterator_2_T_Loop14_TestCase4, YES, 1832)
(FSE_Modulo_Arithmetic_Mode_Incorrect_Update_for_Loop_Iterator_2_T_Loop14_TestCase1, YES, 1781)
(FSE_Modulo_Arithmetic_Mode_Incorrect_Update_for_Loop_Iterator_2_T_Loop14_TestCase3, YES, 1727)
(FSE_Modulo_Arithmetic_Mode_Incorrect_Update_for_Loop_Iterator_2_T_Loop14_TestCase2, YES, 1757)</t>
  </si>
  <si>
    <t>(FSE_Modulo_Arithmetic_Mode_Incorrect_Update_for_Loop_Iterator_2_T_Loop0_TestCase10, YES, 13153)
(FSE_Modulo_Arithmetic_Mode_Incorrect_Update_for_Loop_Iterator_2_T_Loop0_TestCase8, YES, 13355)
(FSE_Modulo_Arithmetic_Mode_Incorrect_Update_for_Loop_Iterator_2_T_Loop0_TestCase9, YES, 13060)
(FSE_Modulo_Arithmetic_Mode_Incorrect_Update_for_Loop_Iterator_2_T_Loop0_TestCase7, YES, 13090)
(FSE_Modulo_Arithmetic_Mode_Incorrect_Update_for_Loop_Iterator_2_T_Loop0_TestCase6, YES, 13081)
(FSE_Modulo_Arithmetic_Mode_Incorrect_Update_for_Loop_Iterator_2_T_Loop0_TestCase4, YES, 12981)
(FSE_Modulo_Arithmetic_Mode_Incorrect_Update_for_Loop_Iterator_2_T_Loop0_TestCase5, YES, 13055)
(FSE_Modulo_Arithmetic_Mode_Incorrect_Update_for_Loop_Iterator_2_T_Loop0_TestCase1, YES, 13099)
(FSE_Modulo_Arithmetic_Mode_Incorrect_Update_for_Loop_Iterator_2_T_Loop0_TestCase2, YES, 13475)
(FSE_Modulo_Arithmetic_Mode_Incorrect_Update_for_Loop_Iterator_2_T_Loop0_TestCase3, YES, 13086)</t>
  </si>
  <si>
    <t>(FSE_Modulo_Arithmetic_Mode_Incorrect_Update_for_Loop_Iterator_2_T_Loop14_TestCase0, YES, 1858)</t>
  </si>
  <si>
    <t>(FSE_Modulo_Arithmetic_Mode_Incorrect_Update_for_Loop_Iterator_2_T_Loop0_TestCase0, YES, 13166)</t>
  </si>
  <si>
    <t>(FSE_Modulo_Arithmetic_Mode_Incorrect_Update_for_Loop_Iterator_2_NT_Loop15_TestCase1, YES, 1752)
(FSE_Modulo_Arithmetic_Mode_Incorrect_Update_for_Loop_Iterator_2_NT_Loop15_TestCase3, YES, 1790)
(FSE_Modulo_Arithmetic_Mode_Incorrect_Update_for_Loop_Iterator_2_NT_Loop15_TestCase2, YES, 1799)
(FSE_Modulo_Arithmetic_Mode_Incorrect_Update_for_Loop_Iterator_2_NT_Loop15_TestCase6, NO, 1804)
(FSE_Modulo_Arithmetic_Mode_Incorrect_Update_for_Loop_Iterator_2_NT_Loop15_TestCase7, NO, 1762)
(FSE_Modulo_Arithmetic_Mode_Incorrect_Update_for_Loop_Iterator_2_NT_Loop15_TestCase5, TIMEOUT, 301730)
(FSE_Modulo_Arithmetic_Mode_Incorrect_Update_for_Loop_Iterator_2_NT_Loop15_TestCase4, TIMEOUT, 301774)
(FSE_Modulo_Arithmetic_Mode_Incorrect_Update_for_Loop_Iterator_2_NT_Loop15_TestCase9, TIMEOUT, 301791)
(FSE_Modulo_Arithmetic_Mode_Incorrect_Update_for_Loop_Iterator_2_NT_Loop15_TestCase8, TIMEOUT, 301697)
(FSE_Modulo_Arithmetic_Mode_Incorrect_Update_for_Loop_Iterator_2_NT_Loop15_TestCase10, TIMEOUT, 301784)</t>
  </si>
  <si>
    <t>(FSE_Modulo_Arithmetic_Mode_Incorrect_Update_for_Loop_Iterator_2_NT_Loop0_TestCase10, TIMEOUT, 302488)
(FSE_Modulo_Arithmetic_Mode_Incorrect_Update_for_Loop_Iterator_2_NT_Loop0_TestCase9, TIMEOUT, 302293)
(FSE_Modulo_Arithmetic_Mode_Incorrect_Update_for_Loop_Iterator_2_NT_Loop0_TestCase8, TIMEOUT, 302674)
(FSE_Modulo_Arithmetic_Mode_Incorrect_Update_for_Loop_Iterator_2_NT_Loop0_TestCase6, TIMEOUT, 302618)
(FSE_Modulo_Arithmetic_Mode_Incorrect_Update_for_Loop_Iterator_2_NT_Loop0_TestCase7, TIMEOUT, 302283)
(FSE_Modulo_Arithmetic_Mode_Incorrect_Update_for_Loop_Iterator_2_NT_Loop0_TestCase5, YES, 9982)
(FSE_Modulo_Arithmetic_Mode_Incorrect_Update_for_Loop_Iterator_2_NT_Loop0_TestCase4, YES, 10051)
(FSE_Modulo_Arithmetic_Mode_Incorrect_Update_for_Loop_Iterator_2_NT_Loop0_TestCase1, YES, 9947)
(FSE_Modulo_Arithmetic_Mode_Incorrect_Update_for_Loop_Iterator_2_NT_Loop0_TestCase3, YES, 10126)
(FSE_Modulo_Arithmetic_Mode_Incorrect_Update_for_Loop_Iterator_2_NT_Loop0_TestCase2, YES, 10044)</t>
  </si>
  <si>
    <t>(FSE_Modulo_Arithmetic_Mode_Incorrect_Update_for_Loop_Iterator_2_NT_Loop15_TestCase0, NO, 1862)</t>
  </si>
  <si>
    <t>(FSE_Modulo_Arithmetic_Mode_Incorrect_Update_for_Loop_Iterator_2_NT_Loop0_TestCase0, TIMEOUT, 302395)</t>
  </si>
  <si>
    <t>(FSE_Modulo_Arithmetic_Mode_Incorrect_Update_for_Loop_Iterator_1_T_Loop19_TestCase9, YES, 8140)
(FSE_Modulo_Arithmetic_Mode_Incorrect_Update_for_Loop_Iterator_1_T_Loop19_TestCase8, YES, 8219)
(FSE_Modulo_Arithmetic_Mode_Incorrect_Update_for_Loop_Iterator_1_T_Loop19_TestCase10, YES, 8109)
(FSE_Modulo_Arithmetic_Mode_Incorrect_Update_for_Loop_Iterator_1_T_Loop19_TestCase3, YES, 8092)
(FSE_Modulo_Arithmetic_Mode_Incorrect_Update_for_Loop_Iterator_1_T_Loop19_TestCase2, YES, 8383)
(FSE_Modulo_Arithmetic_Mode_Incorrect_Update_for_Loop_Iterator_1_T_Loop19_TestCase1, YES, 8992)
(FSE_Modulo_Arithmetic_Mode_Incorrect_Update_for_Loop_Iterator_1_T_Loop19_TestCase5, YES, 8194)
(FSE_Modulo_Arithmetic_Mode_Incorrect_Update_for_Loop_Iterator_1_T_Loop19_TestCase4, YES, 8400)
(FSE_Modulo_Arithmetic_Mode_Incorrect_Update_for_Loop_Iterator_1_T_Loop19_TestCase6, YES, 8158)
(FSE_Modulo_Arithmetic_Mode_Incorrect_Update_for_Loop_Iterator_1_T_Loop19_TestCase7, YES, 8372)</t>
  </si>
  <si>
    <t>(FSE_Modulo_Arithmetic_Mode_Incorrect_Update_for_Loop_Iterator_1_T_Loop0_TestCase3, YES, 8281)
(FSE_Modulo_Arithmetic_Mode_Incorrect_Update_for_Loop_Iterator_1_T_Loop0_TestCase2, YES, 8040)
(FSE_Modulo_Arithmetic_Mode_Incorrect_Update_for_Loop_Iterator_1_T_Loop0_TestCase1, YES, 9423)
(FSE_Modulo_Arithmetic_Mode_Incorrect_Update_for_Loop_Iterator_1_T_Loop0_TestCase5, YES, 8316)
(FSE_Modulo_Arithmetic_Mode_Incorrect_Update_for_Loop_Iterator_1_T_Loop0_TestCase4, YES, 8128)
(FSE_Modulo_Arithmetic_Mode_Incorrect_Update_for_Loop_Iterator_1_T_Loop0_TestCase6, YES, 8078)
(FSE_Modulo_Arithmetic_Mode_Incorrect_Update_for_Loop_Iterator_1_T_Loop0_TestCase7, YES, 8241)
(FSE_Modulo_Arithmetic_Mode_Incorrect_Update_for_Loop_Iterator_1_T_Loop0_TestCase10, YES, 8066)
(FSE_Modulo_Arithmetic_Mode_Incorrect_Update_for_Loop_Iterator_1_T_Loop0_TestCase9, YES, 8168)
(FSE_Modulo_Arithmetic_Mode_Incorrect_Update_for_Loop_Iterator_1_T_Loop0_TestCase8, YES, 8175)</t>
  </si>
  <si>
    <t>(FSE_Modulo_Arithmetic_Mode_Incorrect_Update_for_Loop_Iterator_1_T_Loop19_TestCase0, YES, 12634)</t>
  </si>
  <si>
    <t>(FSE_Modulo_Arithmetic_Mode_Incorrect_Update_for_Loop_Iterator_1_T_Loop0_TestCase0, YES, 17469)</t>
  </si>
  <si>
    <t>(FSE_Modulo_Arithmetic_Mode_Incorrect_Update_for_Loop_Iterator_1_NT_Loop19_TestCase10, NO, 12003)
(FSE_Modulo_Arithmetic_Mode_Incorrect_Update_for_Loop_Iterator_1_NT_Loop19_TestCase8, NO, 20095)
(FSE_Modulo_Arithmetic_Mode_Incorrect_Update_for_Loop_Iterator_1_NT_Loop19_TestCase9, NO, 10693)
(FSE_Modulo_Arithmetic_Mode_Incorrect_Update_for_Loop_Iterator_1_NT_Loop19_TestCase2, YES, 12146)
(FSE_Modulo_Arithmetic_Mode_Incorrect_Update_for_Loop_Iterator_1_NT_Loop19_TestCase3, YES, 13334)
(FSE_Modulo_Arithmetic_Mode_Incorrect_Update_for_Loop_Iterator_1_NT_Loop19_TestCase1, YES, 14314)
(FSE_Modulo_Arithmetic_Mode_Incorrect_Update_for_Loop_Iterator_1_NT_Loop19_TestCase4, YES, 13188)
(FSE_Modulo_Arithmetic_Mode_Incorrect_Update_for_Loop_Iterator_1_NT_Loop19_TestCase5, YES, 11878)
(FSE_Modulo_Arithmetic_Mode_Incorrect_Update_for_Loop_Iterator_1_NT_Loop19_TestCase7, NO, 42191)
(FSE_Modulo_Arithmetic_Mode_Incorrect_Update_for_Loop_Iterator_1_NT_Loop19_TestCase6, TIMEOUT, 301835)</t>
  </si>
  <si>
    <t>(FSE_Modulo_Arithmetic_Mode_Incorrect_Update_for_Loop_Iterator_1_NT_Loop0_TestCase9, NO, 10554)
(FSE_Modulo_Arithmetic_Mode_Incorrect_Update_for_Loop_Iterator_1_NT_Loop0_TestCase8, NO, 61761)
(FSE_Modulo_Arithmetic_Mode_Incorrect_Update_for_Loop_Iterator_1_NT_Loop0_TestCase10, NO, 11465)
(FSE_Modulo_Arithmetic_Mode_Incorrect_Update_for_Loop_Iterator_1_NT_Loop0_TestCase3, YES, 12225)
(FSE_Modulo_Arithmetic_Mode_Incorrect_Update_for_Loop_Iterator_1_NT_Loop0_TestCase2, YES, 11316)
(FSE_Modulo_Arithmetic_Mode_Incorrect_Update_for_Loop_Iterator_1_NT_Loop0_TestCase1, YES, 13511)
(FSE_Modulo_Arithmetic_Mode_Incorrect_Update_for_Loop_Iterator_1_NT_Loop0_TestCase5, YES, 12876)
(FSE_Modulo_Arithmetic_Mode_Incorrect_Update_for_Loop_Iterator_1_NT_Loop0_TestCase4, YES, 12306)
(FSE_Modulo_Arithmetic_Mode_Incorrect_Update_for_Loop_Iterator_1_NT_Loop0_TestCase6, NO, 18094)
(FSE_Modulo_Arithmetic_Mode_Incorrect_Update_for_Loop_Iterator_1_NT_Loop0_TestCase7, NO, 45500)</t>
  </si>
  <si>
    <t>(FSE_Modulo_Arithmetic_Mode_Incorrect_Update_for_Loop_Iterator_1_NT_Loop19_TestCase0, NO, 39139)</t>
  </si>
  <si>
    <t>(FSE_Modulo_Arithmetic_Mode_Incorrect_Update_for_Loop_Iterator_1_NT_Loop0_TestCase0, TIMEOUT, 302493)</t>
  </si>
  <si>
    <t>(FSE_Modulo_Arithmetic_Mode_Incorrect_Initialization_4_T_Loop20_TestCase9, YES, 5899)
(FSE_Modulo_Arithmetic_Mode_Incorrect_Initialization_4_T_Loop20_TestCase8, YES, 5937)
(FSE_Modulo_Arithmetic_Mode_Incorrect_Initialization_4_T_Loop20_TestCase3, YES, 1770)
(FSE_Modulo_Arithmetic_Mode_Incorrect_Initialization_4_T_Loop20_TestCase2, YES, 1774)
(FSE_Modulo_Arithmetic_Mode_Incorrect_Initialization_4_T_Loop20_TestCase1, YES, 1752)
(FSE_Modulo_Arithmetic_Mode_Incorrect_Initialization_4_T_Loop20_TestCase5, YES, 1755)
(FSE_Modulo_Arithmetic_Mode_Incorrect_Initialization_4_T_Loop20_TestCase4, YES, 1814)
(FSE_Modulo_Arithmetic_Mode_Incorrect_Initialization_4_T_Loop20_TestCase6, YES, 5927)
(FSE_Modulo_Arithmetic_Mode_Incorrect_Initialization_4_T_Loop20_TestCase7, YES, 5911)
(FSE_Modulo_Arithmetic_Mode_Incorrect_Initialization_4_T_Loop20_TestCase10, YES, 5803)</t>
  </si>
  <si>
    <t>(FSE_Modulo_Arithmetic_Mode_Incorrect_Initialization_4_T_Loop0_TestCase4, YES, 1725)
(FSE_Modulo_Arithmetic_Mode_Incorrect_Initialization_4_T_Loop0_TestCase5, YES, 1749)
(FSE_Modulo_Arithmetic_Mode_Incorrect_Initialization_4_T_Loop0_TestCase7, YES, 5893)
(FSE_Modulo_Arithmetic_Mode_Incorrect_Initialization_4_T_Loop0_TestCase6, YES, 5889)
(FSE_Modulo_Arithmetic_Mode_Incorrect_Initialization_4_T_Loop0_TestCase2, YES, 1790)
(FSE_Modulo_Arithmetic_Mode_Incorrect_Initialization_4_T_Loop0_TestCase3, YES, 1742)
(FSE_Modulo_Arithmetic_Mode_Incorrect_Initialization_4_T_Loop0_TestCase1, YES, 1771)
(FSE_Modulo_Arithmetic_Mode_Incorrect_Initialization_4_T_Loop0_TestCase10, YES, 5850)
(FSE_Modulo_Arithmetic_Mode_Incorrect_Initialization_4_T_Loop0_TestCase8, YES, 5955)
(FSE_Modulo_Arithmetic_Mode_Incorrect_Initialization_4_T_Loop0_TestCase9, YES, 5911)</t>
  </si>
  <si>
    <t>(FSE_Modulo_Arithmetic_Mode_Incorrect_Initialization_4_T_Loop20_TestCase0, YES, 101855)</t>
  </si>
  <si>
    <t>(FSE_Modulo_Arithmetic_Mode_Incorrect_Initialization_4_T_Loop0_TestCase0, YES, 86436)</t>
  </si>
  <si>
    <t>(FSE_Modulo_Arithmetic_Mode_Incorrect_Initialization_4_NT_Loop19_TestCase10, NO, 9868)
(FSE_Modulo_Arithmetic_Mode_Incorrect_Initialization_4_NT_Loop19_TestCase7, NO, 9856)
(FSE_Modulo_Arithmetic_Mode_Incorrect_Initialization_4_NT_Loop19_TestCase6, NO, 9841)
(FSE_Modulo_Arithmetic_Mode_Incorrect_Initialization_4_NT_Loop19_TestCase4, YES, 1770)
(FSE_Modulo_Arithmetic_Mode_Incorrect_Initialization_4_NT_Loop19_TestCase5, YES, 1772)
(FSE_Modulo_Arithmetic_Mode_Incorrect_Initialization_4_NT_Loop19_TestCase1, YES, 1821)
(FSE_Modulo_Arithmetic_Mode_Incorrect_Initialization_4_NT_Loop19_TestCase2, YES, 1761)
(FSE_Modulo_Arithmetic_Mode_Incorrect_Initialization_4_NT_Loop19_TestCase3, YES, 1768)
(FSE_Modulo_Arithmetic_Mode_Incorrect_Initialization_4_NT_Loop19_TestCase8, NO, 9851)
(FSE_Modulo_Arithmetic_Mode_Incorrect_Initialization_4_NT_Loop19_TestCase9, NO, 9987)</t>
  </si>
  <si>
    <t>(FSE_Modulo_Arithmetic_Mode_Incorrect_Initialization_4_NT_Loop0_TestCase9, NO, 9910)
(FSE_Modulo_Arithmetic_Mode_Incorrect_Initialization_4_NT_Loop0_TestCase8, NO, 9977)
(FSE_Modulo_Arithmetic_Mode_Incorrect_Initialization_4_NT_Loop0_TestCase10, NO, 9847)
(FSE_Modulo_Arithmetic_Mode_Incorrect_Initialization_4_NT_Loop0_TestCase3, YES, 1810)
(FSE_Modulo_Arithmetic_Mode_Incorrect_Initialization_4_NT_Loop0_TestCase2, YES, 1856)
(FSE_Modulo_Arithmetic_Mode_Incorrect_Initialization_4_NT_Loop0_TestCase1, YES, 1695)
(FSE_Modulo_Arithmetic_Mode_Incorrect_Initialization_4_NT_Loop0_TestCase5, YES, 1842)
(FSE_Modulo_Arithmetic_Mode_Incorrect_Initialization_4_NT_Loop0_TestCase4, YES, 1722)
(FSE_Modulo_Arithmetic_Mode_Incorrect_Initialization_4_NT_Loop0_TestCase6, NO, 9878)
(FSE_Modulo_Arithmetic_Mode_Incorrect_Initialization_4_NT_Loop0_TestCase7, NO, 10018)</t>
  </si>
  <si>
    <t>(FSE_Modulo_Arithmetic_Mode_Incorrect_Initialization_4_NT_Loop19_TestCase0, NO, 22086)</t>
  </si>
  <si>
    <t>(FSE_Modulo_Arithmetic_Mode_Incorrect_Initialization_4_NT_Loop0_TestCase0, NO, 22206)</t>
  </si>
  <si>
    <t>(FSE_Modulo_Arithmetic_Mode_Incorrect_Initialization_3_T_Loop25_TestCase0, MAYBE, 1871)
(FSE_Modulo_Arithmetic_Mode_Incorrect_Initialization_3_T_Loop21_TestCase0, YES, 3937)
(FSE_Modulo_Arithmetic_Mode_Incorrect_Initialization_3_T_Loop10_TestCase0, MAYBE, 2205)</t>
  </si>
  <si>
    <t>(FSE_Modulo_Arithmetic_Mode_Incorrect_Initialization_3_T_Loop0_TestCase0, TIMEOUT, 302413)</t>
  </si>
  <si>
    <t>(FSE_Modulo_Arithmetic_Mode_Incorrect_Initialization_3_T_Loop25_TestCase0, MAYBE, 1878)
(FSE_Modulo_Arithmetic_Mode_Incorrect_Initialization_3_T_Loop21_TestCase0, YES, 3868)
(FSE_Modulo_Arithmetic_Mode_Incorrect_Initialization_3_T_Loop10_TestCase0, MAYBE, 2204)</t>
  </si>
  <si>
    <t>(FSE_Modulo_Arithmetic_Mode_Incorrect_Initialization_3_T_Loop0_TestCase0, TIMEOUT, 302260)</t>
  </si>
  <si>
    <t>(FSE_Modulo_Arithmetic_Mode_Incorrect_Initialization_3_NT_Loop10_TestCase0, MAYBE, 2170)
(FSE_Modulo_Arithmetic_Mode_Incorrect_Initialization_3_NT_Loop25_TestCase0, MAYBE, 1369)
(FSE_Modulo_Arithmetic_Mode_Incorrect_Initialization_3_NT_Loop21_TestCase0, YES, 3823)</t>
  </si>
  <si>
    <t>(FSE_Modulo_Arithmetic_Mode_Incorrect_Initialization_3_NT_Loop0_TestCase0, TIMEOUT, 302313)</t>
  </si>
  <si>
    <t>(FSE_Modulo_Arithmetic_Mode_Incorrect_Initialization_3_NT_Loop10_TestCase0, MAYBE, 2166)
(FSE_Modulo_Arithmetic_Mode_Incorrect_Initialization_3_NT_Loop25_TestCase0, MAYBE, 1377)
(FSE_Modulo_Arithmetic_Mode_Incorrect_Initialization_3_NT_Loop21_TestCase0, YES, 3817)</t>
  </si>
  <si>
    <t>(FSE_Modulo_Arithmetic_Mode_Incorrect_Initialization_3_NT_Loop0_TestCase0, TIMEOUT, 302271)</t>
  </si>
  <si>
    <t>(FSE_Modulo_Arithmetic_Mode_Incorrect_Initialization_2_T_Loop26_TestCase7, YES, 4612)
(FSE_Modulo_Arithmetic_Mode_Incorrect_Initialization_2_T_Loop26_TestCase6, YES, 4519)
(FSE_Modulo_Arithmetic_Mode_Incorrect_Initialization_2_T_Loop26_TestCase4, TIMEOUT, 302110)
(FSE_Modulo_Arithmetic_Mode_Incorrect_Initialization_2_T_Loop26_TestCase5, NO, 120004)
(FSE_Modulo_Arithmetic_Mode_Incorrect_Initialization_2_T_Loop26_TestCase1, YES, 1992)
(FSE_Modulo_Arithmetic_Mode_Incorrect_Initialization_2_T_Loop29_TestCase10, YES, 4602)
(FSE_Modulo_Arithmetic_Mode_Incorrect_Initialization_2_T_Loop26_TestCase2, NO, 3869)
(FSE_Modulo_Arithmetic_Mode_Incorrect_Initialization_2_T_Loop26_TestCase3, NO, 3933)
(FSE_Modulo_Arithmetic_Mode_Incorrect_Initialization_2_T_Loop26_TestCase10, YES, 5138)
(FSE_Modulo_Arithmetic_Mode_Incorrect_Initialization_2_T_Loop29_TestCase9, YES, 4956)
(FSE_Modulo_Arithmetic_Mode_Incorrect_Initialization_2_T_Loop29_TestCase8, YES, 4384)
(FSE_Modulo_Arithmetic_Mode_Incorrect_Initialization_2_T_Loop29_TestCase5, NO, 148992)
(FSE_Modulo_Arithmetic_Mode_Incorrect_Initialization_2_T_Loop29_TestCase4, TIMEOUT, 302090)
(FSE_Modulo_Arithmetic_Mode_Incorrect_Initialization_2_T_Loop29_TestCase6, YES, 4501)
(FSE_Modulo_Arithmetic_Mode_Incorrect_Initialization_2_T_Loop29_TestCase7, YES, 5423)
(FSE_Modulo_Arithmetic_Mode_Incorrect_Initialization_2_T_Loop29_TestCase3, NO, 3907)
(FSE_Modulo_Arithmetic_Mode_Incorrect_Initialization_2_T_Loop29_TestCase2, NO, 3878)
(FSE_Modulo_Arithmetic_Mode_Incorrect_Initialization_2_T_Loop29_TestCase1, YES, 1880)
(FSE_Modulo_Arithmetic_Mode_Incorrect_Initialization_2_T_Loop26_TestCase8, YES, 4919)
(FSE_Modulo_Arithmetic_Mode_Incorrect_Initialization_2_T_Loop26_TestCase9, YES, 4664)</t>
  </si>
  <si>
    <t>(FSE_Modulo_Arithmetic_Mode_Incorrect_Initialization_2_T_Loop0_TestCase1, YES, 1847)
(FSE_Modulo_Arithmetic_Mode_Incorrect_Initialization_2_T_Loop0_TestCase10, YES, 4840)
(FSE_Modulo_Arithmetic_Mode_Incorrect_Initialization_2_T_Loop0_TestCase3, NO, 3993)
(FSE_Modulo_Arithmetic_Mode_Incorrect_Initialization_2_T_Loop0_TestCase2, NO, 4058)
(FSE_Modulo_Arithmetic_Mode_Incorrect_Initialization_2_T_Loop0_TestCase6, YES, 4495)
(FSE_Modulo_Arithmetic_Mode_Incorrect_Initialization_2_T_Loop0_TestCase7, YES, 4385)
(FSE_Modulo_Arithmetic_Mode_Incorrect_Initialization_2_T_Loop0_TestCase5, NO, 210560)
(FSE_Modulo_Arithmetic_Mode_Incorrect_Initialization_2_T_Loop0_TestCase4, TIMEOUT, 302044)
(FSE_Modulo_Arithmetic_Mode_Incorrect_Initialization_2_T_Loop0_TestCase9, YES, 4357)
(FSE_Modulo_Arithmetic_Mode_Incorrect_Initialization_2_T_Loop0_TestCase8, YES, 4450)</t>
  </si>
  <si>
    <t>(FSE_Modulo_Arithmetic_Mode_Incorrect_Initialization_2_T_Loop26_TestCase0, TIMEOUT, 302073)
(FSE_Modulo_Arithmetic_Mode_Incorrect_Initialization_2_T_Loop29_TestCase0, TIMEOUT, 302256)</t>
  </si>
  <si>
    <t>(FSE_Modulo_Arithmetic_Mode_Incorrect_Initialization_2_T_Loop0_TestCase0, TIMEOUT, 302461)</t>
  </si>
  <si>
    <t>(FSE_Modulo_Arithmetic_Mode_Incorrect_Initialization_2_NT_Loop31_TestCase10, NO, 4112)
(FSE_Modulo_Arithmetic_Mode_Incorrect_Initialization_2_NT_Loop29_TestCase9, NO, 3877)
(FSE_Modulo_Arithmetic_Mode_Incorrect_Initialization_2_NT_Loop29_TestCase8, NO, 3836)
(FSE_Modulo_Arithmetic_Mode_Incorrect_Initialization_2_NT_Loop31_TestCase2, NO, 3863)
(FSE_Modulo_Arithmetic_Mode_Incorrect_Initialization_2_NT_Loop31_TestCase3, NO, 3892)
(FSE_Modulo_Arithmetic_Mode_Incorrect_Initialization_2_NT_Loop31_TestCase1, YES, 1827)
(FSE_Modulo_Arithmetic_Mode_Incorrect_Initialization_2_NT_Loop31_TestCase4, NO, 9116)
(FSE_Modulo_Arithmetic_Mode_Incorrect_Initialization_2_NT_Loop31_TestCase5, NO, 41663)
(FSE_Modulo_Arithmetic_Mode_Incorrect_Initialization_2_NT_Loop29_TestCase10, NO, 3863)
(FSE_Modulo_Arithmetic_Mode_Incorrect_Initialization_2_NT_Loop31_TestCase7, NO, 3887)
(FSE_Modulo_Arithmetic_Mode_Incorrect_Initialization_2_NT_Loop31_TestCase6, NO, 3829)
(FSE_Modulo_Arithmetic_Mode_Incorrect_Initialization_2_NT_Loop31_TestCase8, NO, 3857)
(FSE_Modulo_Arithmetic_Mode_Incorrect_Initialization_2_NT_Loop31_TestCase9, NO, 3838)
(FSE_Modulo_Arithmetic_Mode_Incorrect_Initialization_2_NT_Loop29_TestCase1, YES, 1826)
(FSE_Modulo_Arithmetic_Mode_Incorrect_Initialization_2_NT_Loop29_TestCase3, NO, 3875)
(FSE_Modulo_Arithmetic_Mode_Incorrect_Initialization_2_NT_Loop29_TestCase2, NO, 3894)
(FSE_Modulo_Arithmetic_Mode_Incorrect_Initialization_2_NT_Loop29_TestCase6, NO, 3833)
(FSE_Modulo_Arithmetic_Mode_Incorrect_Initialization_2_NT_Loop29_TestCase7, NO, 3954)
(FSE_Modulo_Arithmetic_Mode_Incorrect_Initialization_2_NT_Loop29_TestCase5, NO, 34203)
(FSE_Modulo_Arithmetic_Mode_Incorrect_Initialization_2_NT_Loop29_TestCase4, NO, 9013)</t>
  </si>
  <si>
    <t>(FSE_Modulo_Arithmetic_Mode_Incorrect_Initialization_2_NT_Loop0_TestCase10, NO, 3856)
(FSE_Modulo_Arithmetic_Mode_Incorrect_Initialization_2_NT_Loop0_TestCase8, NO, 3860)
(FSE_Modulo_Arithmetic_Mode_Incorrect_Initialization_2_NT_Loop0_TestCase9, NO, 3821)
(FSE_Modulo_Arithmetic_Mode_Incorrect_Initialization_2_NT_Loop0_TestCase4, NO, 9138)
(FSE_Modulo_Arithmetic_Mode_Incorrect_Initialization_2_NT_Loop0_TestCase5, NO, 39248)
(FSE_Modulo_Arithmetic_Mode_Incorrect_Initialization_2_NT_Loop0_TestCase7, NO, 3859)
(FSE_Modulo_Arithmetic_Mode_Incorrect_Initialization_2_NT_Loop0_TestCase6, NO, 3874)
(FSE_Modulo_Arithmetic_Mode_Incorrect_Initialization_2_NT_Loop0_TestCase2, NO, 3871)
(FSE_Modulo_Arithmetic_Mode_Incorrect_Initialization_2_NT_Loop0_TestCase3, NO, 3917)
(FSE_Modulo_Arithmetic_Mode_Incorrect_Initialization_2_NT_Loop0_TestCase1, YES, 1970)</t>
  </si>
  <si>
    <t>(FSE_Modulo_Arithmetic_Mode_Incorrect_Initialization_2_NT_Loop31_TestCase0, NO, 6044)
(FSE_Modulo_Arithmetic_Mode_Incorrect_Initialization_2_NT_Loop29_TestCase0, NO, 6193)</t>
  </si>
  <si>
    <t>(FSE_Modulo_Arithmetic_Mode_Incorrect_Initialization_2_NT_Loop0_TestCase0, NO, 6383)</t>
  </si>
  <si>
    <t>(FSE_Modulo_Arithmetic_Mode_Incorrect_Initialization_1_T_Loop35_TestCase3, MAYBE, 1399)
(FSE_Modulo_Arithmetic_Mode_Incorrect_Initialization_1_T_Loop31_TestCase2, MAYBE, 1205)
(FSE_Modulo_Arithmetic_Mode_Incorrect_Initialization_1_T_Loop18_TestCase6, MAYBE, 1390)
(FSE_Modulo_Arithmetic_Mode_Incorrect_Initialization_1_T_Loop18_TestCase7, MAYBE, 1399)
(FSE_Modulo_Arithmetic_Mode_Incorrect_Initialization_1_T_Loop31_TestCase3, MAYBE, 1215)
(FSE_Modulo_Arithmetic_Mode_Incorrect_Initialization_1_T_Loop35_TestCase2, MAYBE, 1388)
(FSE_Modulo_Arithmetic_Mode_Incorrect_Initialization_1_T_Loop18_TestCase5, MAYBE, 1411)
(FSE_Modulo_Arithmetic_Mode_Incorrect_Initialization_1_T_Loop31_TestCase1, MAYBE, 1214)
(FSE_Modulo_Arithmetic_Mode_Incorrect_Initialization_1_T_Loop18_TestCase4, MAYBE, 1362)
(FSE_Modulo_Arithmetic_Mode_Incorrect_Initialization_1_T_Loop35_TestCase1, MAYBE, 1400)
(FSE_Modulo_Arithmetic_Mode_Incorrect_Initialization_1_T_Loop35_TestCase5, MAYBE, 1382)
(FSE_Modulo_Arithmetic_Mode_Incorrect_Initialization_1_T_Loop31_TestCase4, MAYBE, 1220)
(FSE_Modulo_Arithmetic_Mode_Incorrect_Initialization_1_T_Loop31_TestCase5, MAYBE, 1187)
(FSE_Modulo_Arithmetic_Mode_Incorrect_Initialization_1_T_Loop18_TestCase1, MAYBE, 1373)
(FSE_Modulo_Arithmetic_Mode_Incorrect_Initialization_1_T_Loop35_TestCase4, MAYBE, 1396)
(FSE_Modulo_Arithmetic_Mode_Incorrect_Initialization_1_T_Loop35_TestCase6, MAYBE, 1410)
(FSE_Modulo_Arithmetic_Mode_Incorrect_Initialization_1_T_Loop31_TestCase7, MAYBE, 1190)
(FSE_Modulo_Arithmetic_Mode_Incorrect_Initialization_1_T_Loop18_TestCase3, MAYBE, 1402)
(FSE_Modulo_Arithmetic_Mode_Incorrect_Initialization_1_T_Loop18_TestCase2, MAYBE, 1405)
(FSE_Modulo_Arithmetic_Mode_Incorrect_Initialization_1_T_Loop31_TestCase10, MAYBE, 1476)
(FSE_Modulo_Arithmetic_Mode_Incorrect_Initialization_1_T_Loop31_TestCase6, MAYBE, 1184)
(FSE_Modulo_Arithmetic_Mode_Incorrect_Initialization_1_T_Loop35_TestCase7, MAYBE, 1378)
(FSE_Modulo_Arithmetic_Mode_Incorrect_Initialization_1_T_Loop15_TestCase6, MAYBE, 1371)
(FSE_Modulo_Arithmetic_Mode_Incorrect_Initialization_1_T_Loop15_TestCase7, MAYBE, 1367)
(FSE_Modulo_Arithmetic_Mode_Incorrect_Initialization_1_T_Loop15_TestCase5, MAYBE, 1446)
(FSE_Modulo_Arithmetic_Mode_Incorrect_Initialization_1_T_Loop15_TestCase4, MAYBE, 1387)
(FSE_Modulo_Arithmetic_Mode_Incorrect_Initialization_1_T_Loop35_TestCase10, MAYBE, 1437)
(FSE_Modulo_Arithmetic_Mode_Incorrect_Initialization_1_T_Loop15_TestCase1, MAYBE, 1389)
(FSE_Modulo_Arithmetic_Mode_Incorrect_Initialization_1_T_Loop15_TestCase3, MAYBE, 1404)
(FSE_Modulo_Arithmetic_Mode_Incorrect_Initialization_1_T_Loop15_TestCase2, MAYBE, 1403)
(FSE_Modulo_Arithmetic_Mode_Incorrect_Initialization_1_T_Loop15_TestCase9, MAYBE, 1400)
(FSE_Modulo_Arithmetic_Mode_Incorrect_Initialization_1_T_Loop15_TestCase8, MAYBE, 1371)
(FSE_Modulo_Arithmetic_Mode_Incorrect_Initialization_1_T_Loop15_TestCase10, MAYBE, 1431)
(FSE_Modulo_Arithmetic_Mode_Incorrect_Initialization_1_T_Loop18_TestCase10, MAYBE, 1390)
(FSE_Modulo_Arithmetic_Mode_Incorrect_Initialization_1_T_Loop35_TestCase9, MAYBE, 1379)
(FSE_Modulo_Arithmetic_Mode_Incorrect_Initialization_1_T_Loop31_TestCase8, MAYBE, 1193)
(FSE_Modulo_Arithmetic_Mode_Incorrect_Initialization_1_T_Loop31_TestCase9, MAYBE, 1209)
(FSE_Modulo_Arithmetic_Mode_Incorrect_Initialization_1_T_Loop35_TestCase8, MAYBE, 1360)
(FSE_Modulo_Arithmetic_Mode_Incorrect_Initialization_1_T_Loop18_TestCase9, MAYBE, 1383)
(FSE_Modulo_Arithmetic_Mode_Incorrect_Initialization_1_T_Loop18_TestCase8, MAYBE, 1389)</t>
  </si>
  <si>
    <t>(FSE_Modulo_Arithmetic_Mode_Incorrect_Initialization_1_T_Loop0_TestCase10, MAYBE, 1382)
(FSE_Modulo_Arithmetic_Mode_Incorrect_Initialization_1_T_Loop0_TestCase8, MAYBE, 1356)
(FSE_Modulo_Arithmetic_Mode_Incorrect_Initialization_1_T_Loop0_TestCase9, MAYBE, 1360)
(FSE_Modulo_Arithmetic_Mode_Incorrect_Initialization_1_T_Loop0_TestCase4, MAYBE, 1357)
(FSE_Modulo_Arithmetic_Mode_Incorrect_Initialization_1_T_Loop0_TestCase5, MAYBE, 1381)
(FSE_Modulo_Arithmetic_Mode_Incorrect_Initialization_1_T_Loop0_TestCase7, MAYBE, 1359)
(FSE_Modulo_Arithmetic_Mode_Incorrect_Initialization_1_T_Loop0_TestCase6, MAYBE, 1365)
(FSE_Modulo_Arithmetic_Mode_Incorrect_Initialization_1_T_Loop0_TestCase2, MAYBE, 1386)
(FSE_Modulo_Arithmetic_Mode_Incorrect_Initialization_1_T_Loop0_TestCase3, MAYBE, 1365)
(FSE_Modulo_Arithmetic_Mode_Incorrect_Initialization_1_T_Loop0_TestCase1, MAYBE, 1392)</t>
  </si>
  <si>
    <t>(FSE_Modulo_Arithmetic_Mode_Incorrect_Initialization_1_T_Loop35_TestCase0, TIMEOUT, 302013)
(FSE_Modulo_Arithmetic_Mode_Incorrect_Initialization_1_T_Loop31_TestCase0, YES, 3926)
(FSE_Modulo_Arithmetic_Mode_Incorrect_Initialization_1_T_Loop18_TestCase0, TIMEOUT, 302387)
(FSE_Modulo_Arithmetic_Mode_Incorrect_Initialization_1_T_Loop15_TestCase0, TIMEOUT, 302231)</t>
  </si>
  <si>
    <t>(FSE_Modulo_Arithmetic_Mode_Incorrect_Initialization_1_T_Loop0_TestCase0, TIMEOUT, 302346)</t>
  </si>
  <si>
    <t>0/13</t>
  </si>
  <si>
    <t>(FSE_Modulo_Arithmetic_Mode_Incorrect_Initialization_1_NT_Loop36_TestCase3, MAYBE, 1387)
(FSE_Modulo_Arithmetic_Mode_Incorrect_Initialization_1_NT_Loop32_TestCase2, MAYBE, 1204)
(FSE_Modulo_Arithmetic_Mode_Incorrect_Initialization_1_NT_Loop32_TestCase3, MAYBE, 1162)
(FSE_Modulo_Arithmetic_Mode_Incorrect_Initialization_1_NT_Loop36_TestCase2, MAYBE, 1384)
(FSE_Modulo_Arithmetic_Mode_Incorrect_Initialization_1_NT_Loop32_TestCase1, MAYBE, 1207)
(FSE_Modulo_Arithmetic_Mode_Incorrect_Initialization_1_NT_Loop36_TestCase1, MAYBE, 1404)
(FSE_Modulo_Arithmetic_Mode_Incorrect_Initialization_1_NT_Loop36_TestCase5, MAYBE, 1341)
(FSE_Modulo_Arithmetic_Mode_Incorrect_Initialization_1_NT_Loop32_TestCase4, MAYBE, 1246)
(FSE_Modulo_Arithmetic_Mode_Incorrect_Initialization_1_NT_Loop32_TestCase5, MAYBE, 1212)
(FSE_Modulo_Arithmetic_Mode_Incorrect_Initialization_1_NT_Loop36_TestCase4, MAYBE, 1387)
(FSE_Modulo_Arithmetic_Mode_Incorrect_Initialization_1_NT_Loop36_TestCase6, MAYBE, 1359)
(FSE_Modulo_Arithmetic_Mode_Incorrect_Initialization_1_NT_Loop32_TestCase7, MAYBE, 1221)
(FSE_Modulo_Arithmetic_Mode_Incorrect_Initialization_1_NT_Loop19_TestCase8, MAYBE, 1395)
(FSE_Modulo_Arithmetic_Mode_Incorrect_Initialization_1_NT_Loop19_TestCase9, MAYBE, 1335)
(FSE_Modulo_Arithmetic_Mode_Incorrect_Initialization_1_NT_Loop32_TestCase6, MAYBE, 1323)
(FSE_Modulo_Arithmetic_Mode_Incorrect_Initialization_1_NT_Loop36_TestCase7, MAYBE, 1379)
(FSE_Modulo_Arithmetic_Mode_Incorrect_Initialization_1_NT_Loop16_TestCase6, MAYBE, 1365)
(FSE_Modulo_Arithmetic_Mode_Incorrect_Initialization_1_NT_Loop16_TestCase7, MAYBE, 1357)
(FSE_Modulo_Arithmetic_Mode_Incorrect_Initialization_1_NT_Loop16_TestCase5, MAYBE, 1374)
(FSE_Modulo_Arithmetic_Mode_Incorrect_Initialization_1_NT_Loop16_TestCase4, MAYBE, 1367)
(FSE_Modulo_Arithmetic_Mode_Incorrect_Initialization_1_NT_Loop16_TestCase1, MAYBE, 1373)
(FSE_Modulo_Arithmetic_Mode_Incorrect_Initialization_1_NT_Loop16_TestCase10, MAYBE, 1408)
(FSE_Modulo_Arithmetic_Mode_Incorrect_Initialization_1_NT_Loop19_TestCase10, MAYBE, 1410)
(FSE_Modulo_Arithmetic_Mode_Incorrect_Initialization_1_NT_Loop16_TestCase3, MAYBE, 1358)
(FSE_Modulo_Arithmetic_Mode_Incorrect_Initialization_1_NT_Loop16_TestCase2, MAYBE, 1429)
(FSE_Modulo_Arithmetic_Mode_Incorrect_Initialization_1_NT_Loop36_TestCase10, MAYBE, 1406)
(FSE_Modulo_Arithmetic_Mode_Incorrect_Initialization_1_NT_Loop16_TestCase9, MAYBE, 1349)
(FSE_Modulo_Arithmetic_Mode_Incorrect_Initialization_1_NT_Loop16_TestCase8, MAYBE, 1415)
(FSE_Modulo_Arithmetic_Mode_Incorrect_Initialization_1_NT_Loop19_TestCase4, MAYBE, 1379)
(FSE_Modulo_Arithmetic_Mode_Incorrect_Initialization_1_NT_Loop19_TestCase5, MAYBE, 1386)
(FSE_Modulo_Arithmetic_Mode_Incorrect_Initialization_1_NT_Loop36_TestCase9, MAYBE, 1445)
(FSE_Modulo_Arithmetic_Mode_Incorrect_Initialization_1_NT_Loop32_TestCase8, MAYBE, 1221)
(FSE_Modulo_Arithmetic_Mode_Incorrect_Initialization_1_NT_Loop19_TestCase7, MAYBE, 1398)
(FSE_Modulo_Arithmetic_Mode_Incorrect_Initialization_1_NT_Loop19_TestCase6, MAYBE, 1371)
(FSE_Modulo_Arithmetic_Mode_Incorrect_Initialization_1_NT_Loop32_TestCase9, MAYBE, 1201)
(FSE_Modulo_Arithmetic_Mode_Incorrect_Initialization_1_NT_Loop36_TestCase8, MAYBE, 1372)
(FSE_Modulo_Arithmetic_Mode_Incorrect_Initialization_1_NT_Loop19_TestCase2, MAYBE, 1402)
(FSE_Modulo_Arithmetic_Mode_Incorrect_Initialization_1_NT_Loop19_TestCase3, MAYBE, 1379)
(FSE_Modulo_Arithmetic_Mode_Incorrect_Initialization_1_NT_Loop19_TestCase1, MAYBE, 1434)
(FSE_Modulo_Arithmetic_Mode_Incorrect_Initialization_1_NT_Loop32_TestCase10, MAYBE, 1209)</t>
  </si>
  <si>
    <t>(FSE_Modulo_Arithmetic_Mode_Incorrect_Initialization_1_NT_Loop0_TestCase10, MAYBE, 1375)
(FSE_Modulo_Arithmetic_Mode_Incorrect_Initialization_1_NT_Loop0_TestCase8, MAYBE, 1384)
(FSE_Modulo_Arithmetic_Mode_Incorrect_Initialization_1_NT_Loop0_TestCase9, MAYBE, 1372)
(FSE_Modulo_Arithmetic_Mode_Incorrect_Initialization_1_NT_Loop0_TestCase1, MAYBE, 1342)
(FSE_Modulo_Arithmetic_Mode_Incorrect_Initialization_1_NT_Loop0_TestCase2, MAYBE, 1405)
(FSE_Modulo_Arithmetic_Mode_Incorrect_Initialization_1_NT_Loop0_TestCase3, MAYBE, 1376)
(FSE_Modulo_Arithmetic_Mode_Incorrect_Initialization_1_NT_Loop0_TestCase7, MAYBE, 1335)
(FSE_Modulo_Arithmetic_Mode_Incorrect_Initialization_1_NT_Loop0_TestCase6, MAYBE, 1357)
(FSE_Modulo_Arithmetic_Mode_Incorrect_Initialization_1_NT_Loop0_TestCase4, MAYBE, 1360)
(FSE_Modulo_Arithmetic_Mode_Incorrect_Initialization_1_NT_Loop0_TestCase5, MAYBE, 1363)</t>
  </si>
  <si>
    <t>(FSE_Modulo_Arithmetic_Mode_Incorrect_Initialization_1_NT_Loop36_TestCase0, TIMEOUT, 302385)
(FSE_Modulo_Arithmetic_Mode_Incorrect_Initialization_1_NT_Loop32_TestCase0, YES, 3798)
(FSE_Modulo_Arithmetic_Mode_Incorrect_Initialization_1_NT_Loop16_TestCase0, NO, 41377)
(FSE_Modulo_Arithmetic_Mode_Incorrect_Initialization_1_NT_Loop19_TestCase0, TIMEOUT, 302367)</t>
  </si>
  <si>
    <t>(FSE_Modulo_Arithmetic_Mode_Incorrect_Initialization_1_NT_Loop0_TestCase0, TIMEOUT, 302462)</t>
  </si>
  <si>
    <t>(FSE_Modulo_Arithmetic_Mode_Incorrect_Control_Statement_2_T_Loop23_TestCase8, YES, 6018)
(FSE_Modulo_Arithmetic_Mode_Incorrect_Control_Statement_2_T_Loop23_TestCase9, YES, 6010)
(FSE_Modulo_Arithmetic_Mode_Incorrect_Control_Statement_2_T_Loop17_TestCase8, YES, 3769)
(FSE_Modulo_Arithmetic_Mode_Incorrect_Control_Statement_2_T_Loop17_TestCase9, YES, 3803)
(FSE_Modulo_Arithmetic_Mode_Incorrect_Control_Statement_2_T_Loop23_TestCase10, YES, 6105)
(FSE_Modulo_Arithmetic_Mode_Incorrect_Control_Statement_2_T_Loop17_TestCase1, YES, 3834)
(FSE_Modulo_Arithmetic_Mode_Incorrect_Control_Statement_2_T_Loop17_TestCase2, YES, 3801)
(FSE_Modulo_Arithmetic_Mode_Incorrect_Control_Statement_2_T_Loop17_TestCase3, YES, 3846)
(FSE_Modulo_Arithmetic_Mode_Incorrect_Control_Statement_2_T_Loop17_TestCase7, YES, 3784)
(FSE_Modulo_Arithmetic_Mode_Incorrect_Control_Statement_2_T_Loop17_TestCase6, YES, 3788)
(FSE_Modulo_Arithmetic_Mode_Incorrect_Control_Statement_2_T_Loop17_TestCase10, YES, 3828)
(FSE_Modulo_Arithmetic_Mode_Incorrect_Control_Statement_2_T_Loop17_TestCase4, YES, 3889)
(FSE_Modulo_Arithmetic_Mode_Incorrect_Control_Statement_2_T_Loop17_TestCase5, YES, 3863)
(FSE_Modulo_Arithmetic_Mode_Incorrect_Control_Statement_2_T_Loop23_TestCase1, YES, 6164)
(FSE_Modulo_Arithmetic_Mode_Incorrect_Control_Statement_2_T_Loop23_TestCase2, YES, 6184)
(FSE_Modulo_Arithmetic_Mode_Incorrect_Control_Statement_2_T_Loop23_TestCase3, YES, 6302)
(FSE_Modulo_Arithmetic_Mode_Incorrect_Control_Statement_2_T_Loop23_TestCase7, YES, 6031)
(FSE_Modulo_Arithmetic_Mode_Incorrect_Control_Statement_2_T_Loop23_TestCase6, YES, 6125)
(FSE_Modulo_Arithmetic_Mode_Incorrect_Control_Statement_2_T_Loop23_TestCase4, YES, 6092)
(FSE_Modulo_Arithmetic_Mode_Incorrect_Control_Statement_2_T_Loop23_TestCase5, YES, 6240)</t>
  </si>
  <si>
    <t>(FSE_Modulo_Arithmetic_Mode_Incorrect_Control_Statement_2_T_Loop0_TestCase10, YES, 5988)
(FSE_Modulo_Arithmetic_Mode_Incorrect_Control_Statement_2_T_Loop0_TestCase8, YES, 6095)
(FSE_Modulo_Arithmetic_Mode_Incorrect_Control_Statement_2_T_Loop0_TestCase9, YES, 6084)
(FSE_Modulo_Arithmetic_Mode_Incorrect_Control_Statement_2_T_Loop0_TestCase1, YES, 6157)
(FSE_Modulo_Arithmetic_Mode_Incorrect_Control_Statement_2_T_Loop0_TestCase2, YES, 6065)
(FSE_Modulo_Arithmetic_Mode_Incorrect_Control_Statement_2_T_Loop0_TestCase3, YES, 6114)
(FSE_Modulo_Arithmetic_Mode_Incorrect_Control_Statement_2_T_Loop0_TestCase7, YES, 6094)
(FSE_Modulo_Arithmetic_Mode_Incorrect_Control_Statement_2_T_Loop0_TestCase6, YES, 6091)
(FSE_Modulo_Arithmetic_Mode_Incorrect_Control_Statement_2_T_Loop0_TestCase4, YES, 6039)
(FSE_Modulo_Arithmetic_Mode_Incorrect_Control_Statement_2_T_Loop0_TestCase5, YES, 5980)</t>
  </si>
  <si>
    <t>(FSE_Modulo_Arithmetic_Mode_Incorrect_Control_Statement_2_T_Loop17_TestCase0, YES, 3840)
(FSE_Modulo_Arithmetic_Mode_Incorrect_Control_Statement_2_T_Loop23_TestCase0, YES, 6203)</t>
  </si>
  <si>
    <t>(FSE_Modulo_Arithmetic_Mode_Incorrect_Control_Statement_2_T_Loop0_TestCase0, YES, 6181)</t>
  </si>
  <si>
    <t>14/20</t>
  </si>
  <si>
    <t>9/15</t>
  </si>
  <si>
    <t>(FSE_Modulo_Arithmetic_Mode_Incorrect_Control_Statement_2_NT_Loop17_TestCase8, YES, 3809)
(FSE_Modulo_Arithmetic_Mode_Incorrect_Control_Statement_2_NT_Loop17_TestCase9, YES, 3843)
(FSE_Modulo_Arithmetic_Mode_Incorrect_Control_Statement_2_NT_Loop23_TestCase10, NO, 6475)
(FSE_Modulo_Arithmetic_Mode_Incorrect_Control_Statement_2_NT_Loop23_TestCase8, NO, 6494)
(FSE_Modulo_Arithmetic_Mode_Incorrect_Control_Statement_2_NT_Loop23_TestCase9, NO, 6558)
(FSE_Modulo_Arithmetic_Mode_Incorrect_Control_Statement_2_NT_Loop23_TestCase4, NO, 6513)
(FSE_Modulo_Arithmetic_Mode_Incorrect_Control_Statement_2_NT_Loop23_TestCase5, NO, 6582)
(FSE_Modulo_Arithmetic_Mode_Incorrect_Control_Statement_2_NT_Loop23_TestCase7, NO, 6486)
(FSE_Modulo_Arithmetic_Mode_Incorrect_Control_Statement_2_NT_Loop23_TestCase6, NO, 6580)
(FSE_Modulo_Arithmetic_Mode_Incorrect_Control_Statement_2_NT_Loop23_TestCase2, NO, 6511)
(FSE_Modulo_Arithmetic_Mode_Incorrect_Control_Statement_2_NT_Loop23_TestCase3, NO, 6512)
(FSE_Modulo_Arithmetic_Mode_Incorrect_Control_Statement_2_NT_Loop17_TestCase10, YES, 3822)
(FSE_Modulo_Arithmetic_Mode_Incorrect_Control_Statement_2_NT_Loop23_TestCase1, NO, 6474)
(FSE_Modulo_Arithmetic_Mode_Incorrect_Control_Statement_2_NT_Loop17_TestCase4, YES, 3792)
(FSE_Modulo_Arithmetic_Mode_Incorrect_Control_Statement_2_NT_Loop17_TestCase5, ERROR, 3785)
(FSE_Modulo_Arithmetic_Mode_Incorrect_Control_Statement_2_NT_Loop17_TestCase7, YES, 3828)
(FSE_Modulo_Arithmetic_Mode_Incorrect_Control_Statement_2_NT_Loop17_TestCase6, YES, 3781)
(FSE_Modulo_Arithmetic_Mode_Incorrect_Control_Statement_2_NT_Loop17_TestCase2, YES, 3818)
(FSE_Modulo_Arithmetic_Mode_Incorrect_Control_Statement_2_NT_Loop17_TestCase3, YES, 3819)
(FSE_Modulo_Arithmetic_Mode_Incorrect_Control_Statement_2_NT_Loop17_TestCase1, YES, 3807)</t>
  </si>
  <si>
    <t>(FSE_Modulo_Arithmetic_Mode_Incorrect_Control_Statement_2_NT_Loop0_TestCase10, NO, 6707)
(FSE_Modulo_Arithmetic_Mode_Incorrect_Control_Statement_2_NT_Loop0_TestCase8, NO, 6454)
(FSE_Modulo_Arithmetic_Mode_Incorrect_Control_Statement_2_NT_Loop0_TestCase9, NO, 6439)
(FSE_Modulo_Arithmetic_Mode_Incorrect_Control_Statement_2_NT_Loop0_TestCase4, NO, 6495)
(FSE_Modulo_Arithmetic_Mode_Incorrect_Control_Statement_2_NT_Loop0_TestCase5, NO, 6487)
(FSE_Modulo_Arithmetic_Mode_Incorrect_Control_Statement_2_NT_Loop0_TestCase7, NO, 6474)
(FSE_Modulo_Arithmetic_Mode_Incorrect_Control_Statement_2_NT_Loop0_TestCase6, NO, 6686)
(FSE_Modulo_Arithmetic_Mode_Incorrect_Control_Statement_2_NT_Loop0_TestCase2, NO, 6483)
(FSE_Modulo_Arithmetic_Mode_Incorrect_Control_Statement_2_NT_Loop0_TestCase3, NO, 6586)
(FSE_Modulo_Arithmetic_Mode_Incorrect_Control_Statement_2_NT_Loop0_TestCase1, NO, 6479)</t>
  </si>
  <si>
    <t>(FSE_Modulo_Arithmetic_Mode_Incorrect_Control_Statement_2_NT_Loop23_TestCase0, TIMEOUT, 302060)
(FSE_Modulo_Arithmetic_Mode_Incorrect_Control_Statement_2_NT_Loop17_TestCase0, YES, 3828)</t>
  </si>
  <si>
    <t>(FSE_Modulo_Arithmetic_Mode_Incorrect_Control_Statement_2_NT_Loop0_TestCase0, TIMEOUT, 301962)</t>
  </si>
  <si>
    <t>(FSE_Modulo_Arithmetic_Mode_Incorrect_Control_Statement_1_T_Loop18_TestCase6, MAYBE, 1656)
(FSE_Modulo_Arithmetic_Mode_Incorrect_Control_Statement_1_T_Loop18_TestCase7, MAYBE, 1660)
(FSE_Modulo_Arithmetic_Mode_Incorrect_Control_Statement_1_T_Loop18_TestCase5, MAYBE, 1629)
(FSE_Modulo_Arithmetic_Mode_Incorrect_Control_Statement_1_T_Loop18_TestCase4, MAYBE, 1672)
(FSE_Modulo_Arithmetic_Mode_Incorrect_Control_Statement_1_T_Loop18_TestCase1, MAYBE, 1658)
(FSE_Modulo_Arithmetic_Mode_Incorrect_Control_Statement_1_T_Loop18_TestCase3, MAYBE, 1641)
(FSE_Modulo_Arithmetic_Mode_Incorrect_Control_Statement_1_T_Loop18_TestCase2, MAYBE, 1664)
(FSE_Modulo_Arithmetic_Mode_Incorrect_Control_Statement_1_T_Loop14_TestCase8, MAYBE, 1233)
(FSE_Modulo_Arithmetic_Mode_Incorrect_Control_Statement_1_T_Loop14_TestCase9, MAYBE, 1207)
(FSE_Modulo_Arithmetic_Mode_Incorrect_Control_Statement_1_T_Loop14_TestCase1, MAYBE, 1185)
(FSE_Modulo_Arithmetic_Mode_Incorrect_Control_Statement_1_T_Loop14_TestCase10, MAYBE, 1192)
(FSE_Modulo_Arithmetic_Mode_Incorrect_Control_Statement_1_T_Loop14_TestCase2, MAYBE, 1185)
(FSE_Modulo_Arithmetic_Mode_Incorrect_Control_Statement_1_T_Loop14_TestCase3, MAYBE, 1214)
(FSE_Modulo_Arithmetic_Mode_Incorrect_Control_Statement_1_T_Loop14_TestCase7, MAYBE, 1188)
(FSE_Modulo_Arithmetic_Mode_Incorrect_Control_Statement_1_T_Loop14_TestCase6, MAYBE, 1240)
(FSE_Modulo_Arithmetic_Mode_Incorrect_Control_Statement_1_T_Loop14_TestCase4, MAYBE, 1197)
(FSE_Modulo_Arithmetic_Mode_Incorrect_Control_Statement_1_T_Loop14_TestCase5, MAYBE, 1208)
(FSE_Modulo_Arithmetic_Mode_Incorrect_Control_Statement_1_T_Loop18_TestCase10, MAYBE, 1663)
(FSE_Modulo_Arithmetic_Mode_Incorrect_Control_Statement_1_T_Loop18_TestCase9, MAYBE, 1659)
(FSE_Modulo_Arithmetic_Mode_Incorrect_Control_Statement_1_T_Loop18_TestCase8, MAYBE, 1665)</t>
  </si>
  <si>
    <t>(FSE_Modulo_Arithmetic_Mode_Incorrect_Control_Statement_1_T_Loop0_TestCase5, MAYBE, 1619)
(FSE_Modulo_Arithmetic_Mode_Incorrect_Control_Statement_1_T_Loop0_TestCase4, MAYBE, 1635)
(FSE_Modulo_Arithmetic_Mode_Incorrect_Control_Statement_1_T_Loop0_TestCase6, MAYBE, 1614)
(FSE_Modulo_Arithmetic_Mode_Incorrect_Control_Statement_1_T_Loop0_TestCase7, MAYBE, 1665)
(FSE_Modulo_Arithmetic_Mode_Incorrect_Control_Statement_1_T_Loop0_TestCase10, MAYBE, 1624)
(FSE_Modulo_Arithmetic_Mode_Incorrect_Control_Statement_1_T_Loop0_TestCase3, MAYBE, 1629)
(FSE_Modulo_Arithmetic_Mode_Incorrect_Control_Statement_1_T_Loop0_TestCase2, MAYBE, 1624)
(FSE_Modulo_Arithmetic_Mode_Incorrect_Control_Statement_1_T_Loop0_TestCase1, MAYBE, 1617)
(FSE_Modulo_Arithmetic_Mode_Incorrect_Control_Statement_1_T_Loop0_TestCase9, MAYBE, 1653)
(FSE_Modulo_Arithmetic_Mode_Incorrect_Control_Statement_1_T_Loop0_TestCase8, MAYBE, 1645)</t>
  </si>
  <si>
    <t>(FSE_Modulo_Arithmetic_Mode_Incorrect_Control_Statement_1_T_Loop18_TestCase0, TIMEOUT, 302703)
(FSE_Modulo_Arithmetic_Mode_Incorrect_Control_Statement_1_T_Loop14_TestCase0, YES, 3932)</t>
  </si>
  <si>
    <t>(FSE_Modulo_Arithmetic_Mode_Incorrect_Control_Statement_1_T_Loop0_TestCase0, TIMEOUT, 302672)</t>
  </si>
  <si>
    <t>(FSE_Modulo_Arithmetic_Mode_Incorrect_Control_Statement_1_NT_Loop16_TestCase10, MAYBE, 1217)
(FSE_Modulo_Arithmetic_Mode_Incorrect_Control_Statement_1_NT_Loop20_TestCase8, MAYBE, 1635)
(FSE_Modulo_Arithmetic_Mode_Incorrect_Control_Statement_1_NT_Loop20_TestCase9, MAYBE, 1659)
(FSE_Modulo_Arithmetic_Mode_Incorrect_Control_Statement_1_NT_Loop16_TestCase6, MAYBE, 1171)
(FSE_Modulo_Arithmetic_Mode_Incorrect_Control_Statement_1_NT_Loop16_TestCase7, MAYBE, 1210)
(FSE_Modulo_Arithmetic_Mode_Incorrect_Control_Statement_1_NT_Loop16_TestCase5, MAYBE, 1210)
(FSE_Modulo_Arithmetic_Mode_Incorrect_Control_Statement_1_NT_Loop16_TestCase4, MAYBE, 1230)
(FSE_Modulo_Arithmetic_Mode_Incorrect_Control_Statement_1_NT_Loop16_TestCase1, MAYBE, 1193)
(FSE_Modulo_Arithmetic_Mode_Incorrect_Control_Statement_1_NT_Loop16_TestCase3, MAYBE, 1186)
(FSE_Modulo_Arithmetic_Mode_Incorrect_Control_Statement_1_NT_Loop16_TestCase2, MAYBE, 1189)
(FSE_Modulo_Arithmetic_Mode_Incorrect_Control_Statement_1_NT_Loop16_TestCase9, MAYBE, 1201)
(FSE_Modulo_Arithmetic_Mode_Incorrect_Control_Statement_1_NT_Loop20_TestCase10, MAYBE, 1666)
(FSE_Modulo_Arithmetic_Mode_Incorrect_Control_Statement_1_NT_Loop16_TestCase8, MAYBE, 1199)
(FSE_Modulo_Arithmetic_Mode_Incorrect_Control_Statement_1_NT_Loop20_TestCase4, MAYBE, 1767)
(FSE_Modulo_Arithmetic_Mode_Incorrect_Control_Statement_1_NT_Loop20_TestCase5, MAYBE, 1675)
(FSE_Modulo_Arithmetic_Mode_Incorrect_Control_Statement_1_NT_Loop20_TestCase7, MAYBE, 1645)
(FSE_Modulo_Arithmetic_Mode_Incorrect_Control_Statement_1_NT_Loop20_TestCase6, MAYBE, 1628)
(FSE_Modulo_Arithmetic_Mode_Incorrect_Control_Statement_1_NT_Loop20_TestCase2, MAYBE, 1661)
(FSE_Modulo_Arithmetic_Mode_Incorrect_Control_Statement_1_NT_Loop20_TestCase3, MAYBE, 1667)
(FSE_Modulo_Arithmetic_Mode_Incorrect_Control_Statement_1_NT_Loop20_TestCase1, MAYBE, 1652)</t>
  </si>
  <si>
    <t>(FSE_Modulo_Arithmetic_Mode_Incorrect_Control_Statement_1_NT_Loop0_TestCase10, MAYBE, 1653)
(FSE_Modulo_Arithmetic_Mode_Incorrect_Control_Statement_1_NT_Loop0_TestCase8, MAYBE, 1657)
(FSE_Modulo_Arithmetic_Mode_Incorrect_Control_Statement_1_NT_Loop0_TestCase9, MAYBE, 1620)
(FSE_Modulo_Arithmetic_Mode_Incorrect_Control_Statement_1_NT_Loop0_TestCase1, MAYBE, 1650)
(FSE_Modulo_Arithmetic_Mode_Incorrect_Control_Statement_1_NT_Loop0_TestCase2, MAYBE, 1744)
(FSE_Modulo_Arithmetic_Mode_Incorrect_Control_Statement_1_NT_Loop0_TestCase3, MAYBE, 1658)
(FSE_Modulo_Arithmetic_Mode_Incorrect_Control_Statement_1_NT_Loop0_TestCase7, MAYBE, 1629)
(FSE_Modulo_Arithmetic_Mode_Incorrect_Control_Statement_1_NT_Loop0_TestCase6, MAYBE, 1647)
(FSE_Modulo_Arithmetic_Mode_Incorrect_Control_Statement_1_NT_Loop0_TestCase4, MAYBE, 1642)
(FSE_Modulo_Arithmetic_Mode_Incorrect_Control_Statement_1_NT_Loop0_TestCase5, MAYBE, 1649)</t>
  </si>
  <si>
    <t>(FSE_Modulo_Arithmetic_Mode_Incorrect_Control_Statement_1_NT_Loop16_TestCase0, YES, 3917)
(FSE_Modulo_Arithmetic_Mode_Incorrect_Control_Statement_1_NT_Loop20_TestCase0, TIMEOUT, 302347)</t>
  </si>
  <si>
    <t>(FSE_Modulo_Arithmetic_Mode_Incorrect_Control_Statement_1_NT_Loop0_TestCase0, TIMEOUT, 302543)</t>
  </si>
  <si>
    <t>(FSE_Modulo_Arithmetic_Mode_Incorrect_Bit_Calculation_3_T_Loop15_TestCase6, ERROR, 1619)
(FSE_Modulo_Arithmetic_Mode_Incorrect_Bit_Calculation_3_T_Loop15_TestCase7, ERROR, 1638)
(FSE_Modulo_Arithmetic_Mode_Incorrect_Bit_Calculation_3_T_Loop15_TestCase5, ERROR, 1723)
(FSE_Modulo_Arithmetic_Mode_Incorrect_Bit_Calculation_3_T_Loop15_TestCase4, ERROR, 1619)
(FSE_Modulo_Arithmetic_Mode_Incorrect_Bit_Calculation_3_T_Loop15_TestCase1, ERROR, 1622)
(FSE_Modulo_Arithmetic_Mode_Incorrect_Bit_Calculation_3_T_Loop15_TestCase3, ERROR, 1615)
(FSE_Modulo_Arithmetic_Mode_Incorrect_Bit_Calculation_3_T_Loop15_TestCase2, ERROR, 1644)
(FSE_Modulo_Arithmetic_Mode_Incorrect_Bit_Calculation_3_T_Loop15_TestCase10, ERROR, 1641)
(FSE_Modulo_Arithmetic_Mode_Incorrect_Bit_Calculation_3_T_Loop15_TestCase9, ERROR, 1617)
(FSE_Modulo_Arithmetic_Mode_Incorrect_Bit_Calculation_3_T_Loop15_TestCase8, ERROR, 1668)</t>
  </si>
  <si>
    <t>(FSE_Modulo_Arithmetic_Mode_Incorrect_Bit_Calculation_3_T_Loop0_TestCase9, ERROR, 1612)
(FSE_Modulo_Arithmetic_Mode_Incorrect_Bit_Calculation_3_T_Loop0_TestCase8, ERROR, 1611)
(FSE_Modulo_Arithmetic_Mode_Incorrect_Bit_Calculation_3_T_Loop0_TestCase10, ERROR, 1603)
(FSE_Modulo_Arithmetic_Mode_Incorrect_Bit_Calculation_3_T_Loop0_TestCase6, ERROR, 1618)
(FSE_Modulo_Arithmetic_Mode_Incorrect_Bit_Calculation_3_T_Loop0_TestCase7, ERROR, 1632)
(FSE_Modulo_Arithmetic_Mode_Incorrect_Bit_Calculation_3_T_Loop0_TestCase5, ERROR, 1612)
(FSE_Modulo_Arithmetic_Mode_Incorrect_Bit_Calculation_3_T_Loop0_TestCase4, ERROR, 1598)
(FSE_Modulo_Arithmetic_Mode_Incorrect_Bit_Calculation_3_T_Loop0_TestCase1, ERROR, 1612)
(FSE_Modulo_Arithmetic_Mode_Incorrect_Bit_Calculation_3_T_Loop0_TestCase3, ERROR, 1600)
(FSE_Modulo_Arithmetic_Mode_Incorrect_Bit_Calculation_3_T_Loop0_TestCase2, ERROR, 1624)</t>
  </si>
  <si>
    <t>(FSE_Modulo_Arithmetic_Mode_Incorrect_Bit_Calculation_3_T_Loop15_TestCase0, ERROR, 1713)</t>
  </si>
  <si>
    <t>(FSE_Modulo_Arithmetic_Mode_Incorrect_Bit_Calculation_3_T_Loop0_TestCase0, ERROR, 1725)</t>
  </si>
  <si>
    <t>(FSE_Modulo_Arithmetic_Mode_Incorrect_Bit_Calculation_3_NT_Loop18_TestCase4, ERROR, 1630)
(FSE_Modulo_Arithmetic_Mode_Incorrect_Bit_Calculation_3_NT_Loop18_TestCase5, ERROR, 1647)
(FSE_Modulo_Arithmetic_Mode_Incorrect_Bit_Calculation_3_NT_Loop18_TestCase7, ERROR, 1655)
(FSE_Modulo_Arithmetic_Mode_Incorrect_Bit_Calculation_3_NT_Loop18_TestCase6, ERROR, 1601)
(FSE_Modulo_Arithmetic_Mode_Incorrect_Bit_Calculation_3_NT_Loop18_TestCase2, ERROR, 1574)
(FSE_Modulo_Arithmetic_Mode_Incorrect_Bit_Calculation_3_NT_Loop18_TestCase3, ERROR, 1618)
(FSE_Modulo_Arithmetic_Mode_Incorrect_Bit_Calculation_3_NT_Loop18_TestCase1, ERROR, 1616)
(FSE_Modulo_Arithmetic_Mode_Incorrect_Bit_Calculation_3_NT_Loop18_TestCase8, ERROR, 1603)
(FSE_Modulo_Arithmetic_Mode_Incorrect_Bit_Calculation_3_NT_Loop18_TestCase9, ERROR, 1593)
(FSE_Modulo_Arithmetic_Mode_Incorrect_Bit_Calculation_3_NT_Loop18_TestCase10, ERROR, 1749)</t>
  </si>
  <si>
    <t>(FSE_Modulo_Arithmetic_Mode_Incorrect_Bit_Calculation_3_NT_Loop0_TestCase8, ERROR, 1574)
(FSE_Modulo_Arithmetic_Mode_Incorrect_Bit_Calculation_3_NT_Loop0_TestCase9, ERROR, 1606)
(FSE_Modulo_Arithmetic_Mode_Incorrect_Bit_Calculation_3_NT_Loop0_TestCase10, ERROR, 1576)
(FSE_Modulo_Arithmetic_Mode_Incorrect_Bit_Calculation_3_NT_Loop0_TestCase1, ERROR, 1606)
(FSE_Modulo_Arithmetic_Mode_Incorrect_Bit_Calculation_3_NT_Loop0_TestCase2, ERROR, 1569)
(FSE_Modulo_Arithmetic_Mode_Incorrect_Bit_Calculation_3_NT_Loop0_TestCase3, ERROR, 1584)
(FSE_Modulo_Arithmetic_Mode_Incorrect_Bit_Calculation_3_NT_Loop0_TestCase7, ERROR, 1575)
(FSE_Modulo_Arithmetic_Mode_Incorrect_Bit_Calculation_3_NT_Loop0_TestCase6, ERROR, 1582)
(FSE_Modulo_Arithmetic_Mode_Incorrect_Bit_Calculation_3_NT_Loop0_TestCase4, ERROR, 1560)
(FSE_Modulo_Arithmetic_Mode_Incorrect_Bit_Calculation_3_NT_Loop0_TestCase5, ERROR, 1633)</t>
  </si>
  <si>
    <t>(FSE_Modulo_Arithmetic_Mode_Incorrect_Bit_Calculation_3_NT_Loop18_TestCase0, ERROR, 1705)</t>
  </si>
  <si>
    <t>(FSE_Modulo_Arithmetic_Mode_Incorrect_Bit_Calculation_3_NT_Loop0_TestCase0, ERROR, 1751)</t>
  </si>
  <si>
    <t>(FSE_Modulo_Arithmetic_Mode_Incorrect_Bit_Calculation_2_T_Loop16_TestCase10, ERROR, 1655)
(FSE_Modulo_Arithmetic_Mode_Incorrect_Bit_Calculation_2_T_Loop16_TestCase7, ERROR, 1677)
(FSE_Modulo_Arithmetic_Mode_Incorrect_Bit_Calculation_2_T_Loop16_TestCase6, ERROR, 1697)
(FSE_Modulo_Arithmetic_Mode_Incorrect_Bit_Calculation_2_T_Loop16_TestCase4, ERROR, 1732)
(FSE_Modulo_Arithmetic_Mode_Incorrect_Bit_Calculation_2_T_Loop16_TestCase5, ERROR, 1745)
(FSE_Modulo_Arithmetic_Mode_Incorrect_Bit_Calculation_2_T_Loop16_TestCase1, ERROR, 1670)
(FSE_Modulo_Arithmetic_Mode_Incorrect_Bit_Calculation_2_T_Loop16_TestCase2, ERROR, 1610)
(FSE_Modulo_Arithmetic_Mode_Incorrect_Bit_Calculation_2_T_Loop16_TestCase3, ERROR, 1630)
(FSE_Modulo_Arithmetic_Mode_Incorrect_Bit_Calculation_2_T_Loop16_TestCase8, ERROR, 1632)
(FSE_Modulo_Arithmetic_Mode_Incorrect_Bit_Calculation_2_T_Loop16_TestCase9, ERROR, 1633)</t>
  </si>
  <si>
    <t>(FSE_Modulo_Arithmetic_Mode_Incorrect_Bit_Calculation_2_T_Loop0_TestCase10, ERROR, 1639)
(FSE_Modulo_Arithmetic_Mode_Incorrect_Bit_Calculation_2_T_Loop0_TestCase5, ERROR, 1659)
(FSE_Modulo_Arithmetic_Mode_Incorrect_Bit_Calculation_2_T_Loop0_TestCase4, ERROR, 1682)
(FSE_Modulo_Arithmetic_Mode_Incorrect_Bit_Calculation_2_T_Loop0_TestCase6, ERROR, 1656)
(FSE_Modulo_Arithmetic_Mode_Incorrect_Bit_Calculation_2_T_Loop0_TestCase7, ERROR, 1633)
(FSE_Modulo_Arithmetic_Mode_Incorrect_Bit_Calculation_2_T_Loop0_TestCase3, ERROR, 1635)
(FSE_Modulo_Arithmetic_Mode_Incorrect_Bit_Calculation_2_T_Loop0_TestCase2, ERROR, 1641)
(FSE_Modulo_Arithmetic_Mode_Incorrect_Bit_Calculation_2_T_Loop0_TestCase1, ERROR, 1638)
(FSE_Modulo_Arithmetic_Mode_Incorrect_Bit_Calculation_2_T_Loop0_TestCase9, ERROR, 1783)
(FSE_Modulo_Arithmetic_Mode_Incorrect_Bit_Calculation_2_T_Loop0_TestCase8, ERROR, 1736)</t>
  </si>
  <si>
    <t>(FSE_Modulo_Arithmetic_Mode_Incorrect_Bit_Calculation_2_T_Loop16_TestCase0, ERROR, 1809)</t>
  </si>
  <si>
    <t>(FSE_Modulo_Arithmetic_Mode_Incorrect_Bit_Calculation_2_T_Loop0_TestCase0, ERROR, 1990)</t>
  </si>
  <si>
    <t>(FSE_Modulo_Arithmetic_Mode_Incorrect_Bit_Calculation_2_NT_Loop20_TestCase7, ERROR, 1693)
(FSE_Modulo_Arithmetic_Mode_Incorrect_Bit_Calculation_2_NT_Loop20_TestCase6, ERROR, 1710)
(FSE_Modulo_Arithmetic_Mode_Incorrect_Bit_Calculation_2_NT_Loop20_TestCase4, ERROR, 1722)
(FSE_Modulo_Arithmetic_Mode_Incorrect_Bit_Calculation_2_NT_Loop20_TestCase5, ERROR, 1767)
(FSE_Modulo_Arithmetic_Mode_Incorrect_Bit_Calculation_2_NT_Loop20_TestCase1, ERROR, 1684)
(FSE_Modulo_Arithmetic_Mode_Incorrect_Bit_Calculation_2_NT_Loop20_TestCase10, ERROR, 1667)
(FSE_Modulo_Arithmetic_Mode_Incorrect_Bit_Calculation_2_NT_Loop20_TestCase2, ERROR, 1696)
(FSE_Modulo_Arithmetic_Mode_Incorrect_Bit_Calculation_2_NT_Loop20_TestCase3, ERROR, 1705)
(FSE_Modulo_Arithmetic_Mode_Incorrect_Bit_Calculation_2_NT_Loop20_TestCase8, ERROR, 1686)
(FSE_Modulo_Arithmetic_Mode_Incorrect_Bit_Calculation_2_NT_Loop20_TestCase9, ERROR, 1671)</t>
  </si>
  <si>
    <t>(FSE_Modulo_Arithmetic_Mode_Incorrect_Bit_Calculation_2_NT_Loop0_TestCase9, ERROR, 1633)
(FSE_Modulo_Arithmetic_Mode_Incorrect_Bit_Calculation_2_NT_Loop0_TestCase8, ERROR, 1643)
(FSE_Modulo_Arithmetic_Mode_Incorrect_Bit_Calculation_2_NT_Loop0_TestCase5, ERROR, 1631)
(FSE_Modulo_Arithmetic_Mode_Incorrect_Bit_Calculation_2_NT_Loop0_TestCase4, ERROR, 1624)
(FSE_Modulo_Arithmetic_Mode_Incorrect_Bit_Calculation_2_NT_Loop0_TestCase6, ERROR, 1635)
(FSE_Modulo_Arithmetic_Mode_Incorrect_Bit_Calculation_2_NT_Loop0_TestCase7, ERROR, 1650)
(FSE_Modulo_Arithmetic_Mode_Incorrect_Bit_Calculation_2_NT_Loop0_TestCase3, ERROR, 1677)
(FSE_Modulo_Arithmetic_Mode_Incorrect_Bit_Calculation_2_NT_Loop0_TestCase2, ERROR, 1647)
(FSE_Modulo_Arithmetic_Mode_Incorrect_Bit_Calculation_2_NT_Loop0_TestCase1, ERROR, 1640)
(FSE_Modulo_Arithmetic_Mode_Incorrect_Bit_Calculation_2_NT_Loop0_TestCase10, ERROR, 1622)</t>
  </si>
  <si>
    <t>(FSE_Modulo_Arithmetic_Mode_Incorrect_Bit_Calculation_2_NT_Loop20_TestCase0, ERROR, 1709)</t>
  </si>
  <si>
    <t>(FSE_Modulo_Arithmetic_Mode_Incorrect_Bit_Calculation_2_NT_Loop0_TestCase0, ERROR, 1681)</t>
  </si>
  <si>
    <t>(FSE_Modulo_Arithmetic_Mode_Incorrect_Bit_Calculation_1_T_Loop14_TestCase10, ERROR, 1628)
(FSE_Modulo_Arithmetic_Mode_Incorrect_Bit_Calculation_1_T_Loop14_TestCase9, ERROR, 1663)
(FSE_Modulo_Arithmetic_Mode_Incorrect_Bit_Calculation_1_T_Loop14_TestCase8, ERROR, 1609)
(FSE_Modulo_Arithmetic_Mode_Incorrect_Bit_Calculation_1_T_Loop14_TestCase1, ERROR, 1681)
(FSE_Modulo_Arithmetic_Mode_Incorrect_Bit_Calculation_1_T_Loop14_TestCase3, ERROR, 1621)
(FSE_Modulo_Arithmetic_Mode_Incorrect_Bit_Calculation_1_T_Loop14_TestCase2, ERROR, 1613)
(FSE_Modulo_Arithmetic_Mode_Incorrect_Bit_Calculation_1_T_Loop14_TestCase6, ERROR, 1629)
(FSE_Modulo_Arithmetic_Mode_Incorrect_Bit_Calculation_1_T_Loop14_TestCase7, ERROR, 1585)
(FSE_Modulo_Arithmetic_Mode_Incorrect_Bit_Calculation_1_T_Loop14_TestCase5, ERROR, 1622)
(FSE_Modulo_Arithmetic_Mode_Incorrect_Bit_Calculation_1_T_Loop14_TestCase4, ERROR, 1664)</t>
  </si>
  <si>
    <t>(FSE_Modulo_Arithmetic_Mode_Incorrect_Bit_Calculation_1_T_Loop0_TestCase8, ERROR, 1580)
(FSE_Modulo_Arithmetic_Mode_Incorrect_Bit_Calculation_1_T_Loop0_TestCase9, ERROR, 1602)
(FSE_Modulo_Arithmetic_Mode_Incorrect_Bit_Calculation_1_T_Loop0_TestCase10, ERROR, 1594)
(FSE_Modulo_Arithmetic_Mode_Incorrect_Bit_Calculation_1_T_Loop0_TestCase1, ERROR, 1570)
(FSE_Modulo_Arithmetic_Mode_Incorrect_Bit_Calculation_1_T_Loop0_TestCase2, ERROR, 1606)
(FSE_Modulo_Arithmetic_Mode_Incorrect_Bit_Calculation_1_T_Loop0_TestCase3, ERROR, 1567)
(FSE_Modulo_Arithmetic_Mode_Incorrect_Bit_Calculation_1_T_Loop0_TestCase7, ERROR, 1614)
(FSE_Modulo_Arithmetic_Mode_Incorrect_Bit_Calculation_1_T_Loop0_TestCase6, ERROR, 1606)
(FSE_Modulo_Arithmetic_Mode_Incorrect_Bit_Calculation_1_T_Loop0_TestCase4, ERROR, 1576)
(FSE_Modulo_Arithmetic_Mode_Incorrect_Bit_Calculation_1_T_Loop0_TestCase5, ERROR, 1595)</t>
  </si>
  <si>
    <t>(FSE_Modulo_Arithmetic_Mode_Incorrect_Bit_Calculation_1_T_Loop14_TestCase0, ERROR, 1612)</t>
  </si>
  <si>
    <t>(FSE_Modulo_Arithmetic_Mode_Incorrect_Bit_Calculation_1_T_Loop0_TestCase0, ERROR, 1727)</t>
  </si>
  <si>
    <t>(FSE_Modulo_Arithmetic_Mode_Incorrect_Bit_Calculation_1_NT_Loop15_TestCase9, ERROR, 1617)
(FSE_Modulo_Arithmetic_Mode_Incorrect_Bit_Calculation_1_NT_Loop15_TestCase8, ERROR, 1626)
(FSE_Modulo_Arithmetic_Mode_Incorrect_Bit_Calculation_1_NT_Loop15_TestCase10, ERROR, 1611)
(FSE_Modulo_Arithmetic_Mode_Incorrect_Bit_Calculation_1_NT_Loop15_TestCase5, ERROR, 1635)
(FSE_Modulo_Arithmetic_Mode_Incorrect_Bit_Calculation_1_NT_Loop15_TestCase4, ERROR, 1624)
(FSE_Modulo_Arithmetic_Mode_Incorrect_Bit_Calculation_1_NT_Loop15_TestCase6, ERROR, 1700)
(FSE_Modulo_Arithmetic_Mode_Incorrect_Bit_Calculation_1_NT_Loop15_TestCase7, ERROR, 1707)
(FSE_Modulo_Arithmetic_Mode_Incorrect_Bit_Calculation_1_NT_Loop15_TestCase3, ERROR, 1585)
(FSE_Modulo_Arithmetic_Mode_Incorrect_Bit_Calculation_1_NT_Loop15_TestCase2, ERROR, 1587)
(FSE_Modulo_Arithmetic_Mode_Incorrect_Bit_Calculation_1_NT_Loop15_TestCase1, ERROR, 1641)</t>
  </si>
  <si>
    <t>(FSE_Modulo_Arithmetic_Mode_Incorrect_Bit_Calculation_1_NT_Loop0_TestCase9, ERROR, 1641)
(FSE_Modulo_Arithmetic_Mode_Incorrect_Bit_Calculation_1_NT_Loop0_TestCase8, ERROR, 1652)
(FSE_Modulo_Arithmetic_Mode_Incorrect_Bit_Calculation_1_NT_Loop0_TestCase1, ERROR, 1587)
(FSE_Modulo_Arithmetic_Mode_Incorrect_Bit_Calculation_1_NT_Loop0_TestCase3, ERROR, 1584)
(FSE_Modulo_Arithmetic_Mode_Incorrect_Bit_Calculation_1_NT_Loop0_TestCase2, ERROR, 1602)
(FSE_Modulo_Arithmetic_Mode_Incorrect_Bit_Calculation_1_NT_Loop0_TestCase6, ERROR, 1630)
(FSE_Modulo_Arithmetic_Mode_Incorrect_Bit_Calculation_1_NT_Loop0_TestCase7, ERROR, 1617)
(FSE_Modulo_Arithmetic_Mode_Incorrect_Bit_Calculation_1_NT_Loop0_TestCase10, ERROR, 1629)
(FSE_Modulo_Arithmetic_Mode_Incorrect_Bit_Calculation_1_NT_Loop0_TestCase5, ERROR, 1596)
(FSE_Modulo_Arithmetic_Mode_Incorrect_Bit_Calculation_1_NT_Loop0_TestCase4, ERROR, 1590)</t>
  </si>
  <si>
    <t>(FSE_Modulo_Arithmetic_Mode_Incorrect_Bit_Calculation_1_NT_Loop15_TestCase0, ERROR, 1684)</t>
  </si>
  <si>
    <t>(FSE_Modulo_Arithmetic_Mode_Incorrect_Bit_Calculation_1_NT_Loop0_TestCase0, ERROR, 1695)</t>
  </si>
  <si>
    <t>(FSE_Modulo_Arithmetic_Mode_Adding_Subtracting_Zero_5_T_Loop21_TestCase2, MAYBE, 1365)
(FSE_Modulo_Arithmetic_Mode_Adding_Subtracting_Zero_5_T_Loop21_TestCase3, MAYBE, 1362)
(FSE_Modulo_Arithmetic_Mode_Adding_Subtracting_Zero_5_T_Loop21_TestCase1, MAYBE, 1380)
(FSE_Modulo_Arithmetic_Mode_Adding_Subtracting_Zero_5_T_Loop21_TestCase4, MAYBE, 1389)
(FSE_Modulo_Arithmetic_Mode_Adding_Subtracting_Zero_5_T_Loop21_TestCase5, MAYBE, 1338)
(FSE_Modulo_Arithmetic_Mode_Adding_Subtracting_Zero_5_T_Loop21_TestCase7, MAYBE, 1349)
(FSE_Modulo_Arithmetic_Mode_Adding_Subtracting_Zero_5_T_Loop21_TestCase6, MAYBE, 1337)
(FSE_Modulo_Arithmetic_Mode_Adding_Subtracting_Zero_5_T_Loop38_TestCase7, MAYBE, 1505)
(FSE_Modulo_Arithmetic_Mode_Adding_Subtracting_Zero_5_T_Loop38_TestCase6, MAYBE, 1490)
(FSE_Modulo_Arithmetic_Mode_Adding_Subtracting_Zero_5_T_Loop38_TestCase4, MAYBE, 1519)
(FSE_Modulo_Arithmetic_Mode_Adding_Subtracting_Zero_5_T_Loop38_TestCase5, MAYBE, 1516)
(FSE_Modulo_Arithmetic_Mode_Adding_Subtracting_Zero_5_T_Loop38_TestCase1, MAYBE, 1518)
(FSE_Modulo_Arithmetic_Mode_Adding_Subtracting_Zero_5_T_Loop38_TestCase2, MAYBE, 1545)
(FSE_Modulo_Arithmetic_Mode_Adding_Subtracting_Zero_5_T_Loop38_TestCase3, MAYBE, 1503)
(FSE_Modulo_Arithmetic_Mode_Adding_Subtracting_Zero_5_T_Loop21_TestCase10, MAYBE, 1362)
(FSE_Modulo_Arithmetic_Mode_Adding_Subtracting_Zero_5_T_Loop38_TestCase8, MAYBE, 1488)
(FSE_Modulo_Arithmetic_Mode_Adding_Subtracting_Zero_5_T_Loop38_TestCase9, MAYBE, 1492)
(FSE_Modulo_Arithmetic_Mode_Adding_Subtracting_Zero_5_T_Loop38_TestCase10, MAYBE, 1519)
(FSE_Modulo_Arithmetic_Mode_Adding_Subtracting_Zero_5_T_Loop21_TestCase8, MAYBE, 1358)
(FSE_Modulo_Arithmetic_Mode_Adding_Subtracting_Zero_5_T_Loop21_TestCase9, MAYBE, 1374)</t>
  </si>
  <si>
    <t>(FSE_Modulo_Arithmetic_Mode_Adding_Subtracting_Zero_5_T_Loop0_TestCase1, YES, 1981)
(FSE_Modulo_Arithmetic_Mode_Adding_Subtracting_Zero_5_T_Loop0_TestCase2, YES, 1990)
(FSE_Modulo_Arithmetic_Mode_Adding_Subtracting_Zero_5_T_Loop0_TestCase10, TIMEOUT, 302218)
(FSE_Modulo_Arithmetic_Mode_Adding_Subtracting_Zero_5_T_Loop0_TestCase3, YES, 2127)
(FSE_Modulo_Arithmetic_Mode_Adding_Subtracting_Zero_5_T_Loop0_TestCase7, TIMEOUT, 302293)
(FSE_Modulo_Arithmetic_Mode_Adding_Subtracting_Zero_5_T_Loop0_TestCase6, YES, 4055)
(FSE_Modulo_Arithmetic_Mode_Adding_Subtracting_Zero_5_T_Loop0_TestCase4, YES, 2007)
(FSE_Modulo_Arithmetic_Mode_Adding_Subtracting_Zero_5_T_Loop0_TestCase5, YES, 2084)
(FSE_Modulo_Arithmetic_Mode_Adding_Subtracting_Zero_5_T_Loop0_TestCase8, TIMEOUT, 301906)
(FSE_Modulo_Arithmetic_Mode_Adding_Subtracting_Zero_5_T_Loop0_TestCase9, TIMEOUT, 301950)</t>
  </si>
  <si>
    <t>(FSE_Modulo_Arithmetic_Mode_Adding_Subtracting_Zero_5_T_Loop21_TestCase0, MAYBE, 1383)
(FSE_Modulo_Arithmetic_Mode_Adding_Subtracting_Zero_5_T_Loop38_TestCase0, MAYBE, 1600)</t>
  </si>
  <si>
    <t>(FSE_Modulo_Arithmetic_Mode_Adding_Subtracting_Zero_5_T_Loop0_TestCase0, TIMEOUT, 302270)</t>
  </si>
  <si>
    <t>(FSE_Modulo_Arithmetic_Mode_Adding_Subtracting_Zero_5_NT_Loop21_TestCase9, MAYBE, 1380)
(FSE_Modulo_Arithmetic_Mode_Adding_Subtracting_Zero_5_NT_Loop21_TestCase8, MAYBE, 1372)
(FSE_Modulo_Arithmetic_Mode_Adding_Subtracting_Zero_5_NT_Loop38_TestCase9, MAYBE, 1743)
(FSE_Modulo_Arithmetic_Mode_Adding_Subtracting_Zero_5_NT_Loop38_TestCase8, MAYBE, 1524)
(FSE_Modulo_Arithmetic_Mode_Adding_Subtracting_Zero_5_NT_Loop38_TestCase6, MAYBE, 1659)
(FSE_Modulo_Arithmetic_Mode_Adding_Subtracting_Zero_5_NT_Loop21_TestCase10, MAYBE, 1415)
(FSE_Modulo_Arithmetic_Mode_Adding_Subtracting_Zero_5_NT_Loop38_TestCase7, MAYBE, 1575)
(FSE_Modulo_Arithmetic_Mode_Adding_Subtracting_Zero_5_NT_Loop38_TestCase5, MAYBE, 1526)
(FSE_Modulo_Arithmetic_Mode_Adding_Subtracting_Zero_5_NT_Loop38_TestCase4, MAYBE, 1532)
(FSE_Modulo_Arithmetic_Mode_Adding_Subtracting_Zero_5_NT_Loop38_TestCase1, MAYBE, 1523)
(FSE_Modulo_Arithmetic_Mode_Adding_Subtracting_Zero_5_NT_Loop38_TestCase3, MAYBE, 1555)
(FSE_Modulo_Arithmetic_Mode_Adding_Subtracting_Zero_5_NT_Loop38_TestCase2, MAYBE, 1617)
(FSE_Modulo_Arithmetic_Mode_Adding_Subtracting_Zero_5_NT_Loop21_TestCase3, MAYBE, 1359)
(FSE_Modulo_Arithmetic_Mode_Adding_Subtracting_Zero_5_NT_Loop21_TestCase2, MAYBE, 1377)
(FSE_Modulo_Arithmetic_Mode_Adding_Subtracting_Zero_5_NT_Loop38_TestCase10, MAYBE, 1604)
(FSE_Modulo_Arithmetic_Mode_Adding_Subtracting_Zero_5_NT_Loop21_TestCase1, MAYBE, 1376)
(FSE_Modulo_Arithmetic_Mode_Adding_Subtracting_Zero_5_NT_Loop21_TestCase5, MAYBE, 1355)
(FSE_Modulo_Arithmetic_Mode_Adding_Subtracting_Zero_5_NT_Loop21_TestCase4, MAYBE, 1390)
(FSE_Modulo_Arithmetic_Mode_Adding_Subtracting_Zero_5_NT_Loop21_TestCase6, MAYBE, 1381)
(FSE_Modulo_Arithmetic_Mode_Adding_Subtracting_Zero_5_NT_Loop21_TestCase7, MAYBE, 1389)</t>
  </si>
  <si>
    <t>(FSE_Modulo_Arithmetic_Mode_Adding_Subtracting_Zero_5_NT_Loop0_TestCase9, TIMEOUT, 302171)
(FSE_Modulo_Arithmetic_Mode_Adding_Subtracting_Zero_5_NT_Loop0_TestCase8, TIMEOUT, 301941)
(FSE_Modulo_Arithmetic_Mode_Adding_Subtracting_Zero_5_NT_Loop0_TestCase5, YES, 1984)
(FSE_Modulo_Arithmetic_Mode_Adding_Subtracting_Zero_5_NT_Loop0_TestCase4, YES, 2079)
(FSE_Modulo_Arithmetic_Mode_Adding_Subtracting_Zero_5_NT_Loop0_TestCase6, NO, 4244)
(FSE_Modulo_Arithmetic_Mode_Adding_Subtracting_Zero_5_NT_Loop0_TestCase7, TIMEOUT, 301931)
(FSE_Modulo_Arithmetic_Mode_Adding_Subtracting_Zero_5_NT_Loop0_TestCase3, YES, 1937)
(FSE_Modulo_Arithmetic_Mode_Adding_Subtracting_Zero_5_NT_Loop0_TestCase2, YES, 2069)
(FSE_Modulo_Arithmetic_Mode_Adding_Subtracting_Zero_5_NT_Loop0_TestCase1, YES, 1983)
(FSE_Modulo_Arithmetic_Mode_Adding_Subtracting_Zero_5_NT_Loop0_TestCase10, TIMEOUT, 302251)</t>
  </si>
  <si>
    <t>(FSE_Modulo_Arithmetic_Mode_Adding_Subtracting_Zero_5_NT_Loop38_TestCase0, MAYBE, 1603)
(FSE_Modulo_Arithmetic_Mode_Adding_Subtracting_Zero_5_NT_Loop21_TestCase0, MAYBE, 1372)</t>
  </si>
  <si>
    <t>(FSE_Modulo_Arithmetic_Mode_Adding_Subtracting_Zero_5_NT_Loop0_TestCase0, NO, 4353)</t>
  </si>
  <si>
    <t>(FSE_Modulo_Arithmetic_Mode_Adding_Subtracting_Zero_4_T_Loop16_TestCase3, TIMEOUT, 302307)
(FSE_Modulo_Arithmetic_Mode_Adding_Subtracting_Zero_4_T_Loop16_TestCase2, YES, 1808)
(FSE_Modulo_Arithmetic_Mode_Adding_Subtracting_Zero_4_T_Loop51_TestCase10, YES, 12551)
(FSE_Modulo_Arithmetic_Mode_Adding_Subtracting_Zero_4_T_Loop16_TestCase1, YES, 1881)
(FSE_Modulo_Arithmetic_Mode_Adding_Subtracting_Zero_4_T_Loop16_TestCase5, YES, 84520)
(FSE_Modulo_Arithmetic_Mode_Adding_Subtracting_Zero_4_T_Loop16_TestCase4, TIMEOUT, 302601)
(FSE_Modulo_Arithmetic_Mode_Adding_Subtracting_Zero_4_T_Loop16_TestCase6, YES, 9026)
(FSE_Modulo_Arithmetic_Mode_Adding_Subtracting_Zero_4_T_Loop16_TestCase7, YES, 9907)
(FSE_Modulo_Arithmetic_Mode_Adding_Subtracting_Zero_4_T_Loop51_TestCase5, TIMEOUT, 302652)
(FSE_Modulo_Arithmetic_Mode_Adding_Subtracting_Zero_4_T_Loop51_TestCase4, TIMEOUT, 302657)
(FSE_Modulo_Arithmetic_Mode_Adding_Subtracting_Zero_4_T_Loop51_TestCase6, YES, 11309)
(FSE_Modulo_Arithmetic_Mode_Adding_Subtracting_Zero_4_T_Loop51_TestCase7, YES, 13110)
(FSE_Modulo_Arithmetic_Mode_Adding_Subtracting_Zero_4_T_Loop51_TestCase3, TIMEOUT, 302374)
(FSE_Modulo_Arithmetic_Mode_Adding_Subtracting_Zero_4_T_Loop51_TestCase2, YES, 1940)
(FSE_Modulo_Arithmetic_Mode_Adding_Subtracting_Zero_4_T_Loop51_TestCase1, YES, 1872)
(FSE_Modulo_Arithmetic_Mode_Adding_Subtracting_Zero_4_T_Loop16_TestCase10, YES, 10561)
(FSE_Modulo_Arithmetic_Mode_Adding_Subtracting_Zero_4_T_Loop51_TestCase9, YES, 12409)
(FSE_Modulo_Arithmetic_Mode_Adding_Subtracting_Zero_4_T_Loop51_TestCase8, YES, 11511)
(FSE_Modulo_Arithmetic_Mode_Adding_Subtracting_Zero_4_T_Loop16_TestCase9, YES, 10531)
(FSE_Modulo_Arithmetic_Mode_Adding_Subtracting_Zero_4_T_Loop16_TestCase8, YES, 10334)</t>
  </si>
  <si>
    <t>(FSE_Modulo_Arithmetic_Mode_Adding_Subtracting_Zero_4_T_Loop0_TestCase8, YES, 11284)
(FSE_Modulo_Arithmetic_Mode_Adding_Subtracting_Zero_4_T_Loop0_TestCase9, YES, 10687)
(FSE_Modulo_Arithmetic_Mode_Adding_Subtracting_Zero_4_T_Loop0_TestCase10, YES, 10677)
(FSE_Modulo_Arithmetic_Mode_Adding_Subtracting_Zero_4_T_Loop0_TestCase2, YES, 1784)
(FSE_Modulo_Arithmetic_Mode_Adding_Subtracting_Zero_4_T_Loop0_TestCase3, TIMEOUT, 302406)
(FSE_Modulo_Arithmetic_Mode_Adding_Subtracting_Zero_4_T_Loop0_TestCase1, YES, 1890)
(FSE_Modulo_Arithmetic_Mode_Adding_Subtracting_Zero_4_T_Loop0_TestCase4, TIMEOUT, 302655)
(FSE_Modulo_Arithmetic_Mode_Adding_Subtracting_Zero_4_T_Loop0_TestCase5, TIMEOUT, 302730)
(FSE_Modulo_Arithmetic_Mode_Adding_Subtracting_Zero_4_T_Loop0_TestCase7, YES, 11393)
(FSE_Modulo_Arithmetic_Mode_Adding_Subtracting_Zero_4_T_Loop0_TestCase6, YES, 12398)</t>
  </si>
  <si>
    <t>(FSE_Modulo_Arithmetic_Mode_Adding_Subtracting_Zero_4_T_Loop16_TestCase0, TIMEOUT, 302659)
(FSE_Modulo_Arithmetic_Mode_Adding_Subtracting_Zero_4_T_Loop51_TestCase0, TIMEOUT, 302453)</t>
  </si>
  <si>
    <t>(FSE_Modulo_Arithmetic_Mode_Adding_Subtracting_Zero_4_T_Loop0_TestCase0, TIMEOUT, 302676)</t>
  </si>
  <si>
    <t>(FSE_Modulo_Arithmetic_Mode_Adding_Subtracting_Zero_4_NT_Loop16_TestCase2, YES, 5929)
(FSE_Modulo_Arithmetic_Mode_Adding_Subtracting_Zero_4_NT_Loop16_TestCase3, YES, 113479)
(FSE_Modulo_Arithmetic_Mode_Adding_Subtracting_Zero_4_NT_Loop16_TestCase1, YES, 1866)
(FSE_Modulo_Arithmetic_Mode_Adding_Subtracting_Zero_4_NT_Loop16_TestCase4, TIMEOUT, 302615)
(FSE_Modulo_Arithmetic_Mode_Adding_Subtracting_Zero_4_NT_Loop16_TestCase5, TIMEOUT, 302643)
(FSE_Modulo_Arithmetic_Mode_Adding_Subtracting_Zero_4_NT_Loop16_TestCase7, NO, 11819)
(FSE_Modulo_Arithmetic_Mode_Adding_Subtracting_Zero_4_NT_Loop16_TestCase6, NO, 9965)
(FSE_Modulo_Arithmetic_Mode_Adding_Subtracting_Zero_4_NT_Loop50_TestCase9, NO, 10171)
(FSE_Modulo_Arithmetic_Mode_Adding_Subtracting_Zero_4_NT_Loop16_TestCase10, TIMEOUT, 302953)
(FSE_Modulo_Arithmetic_Mode_Adding_Subtracting_Zero_4_NT_Loop50_TestCase8, NO, 10260)
(FSE_Modulo_Arithmetic_Mode_Adding_Subtracting_Zero_4_NT_Loop50_TestCase3, TIMEOUT, 302649)
(FSE_Modulo_Arithmetic_Mode_Adding_Subtracting_Zero_4_NT_Loop50_TestCase2, YES, 5920)
(FSE_Modulo_Arithmetic_Mode_Adding_Subtracting_Zero_4_NT_Loop50_TestCase1, YES, 1908)
(FSE_Modulo_Arithmetic_Mode_Adding_Subtracting_Zero_4_NT_Loop50_TestCase5, YES, 249245)
(FSE_Modulo_Arithmetic_Mode_Adding_Subtracting_Zero_4_NT_Loop50_TestCase4, TIMEOUT, 303170)
(FSE_Modulo_Arithmetic_Mode_Adding_Subtracting_Zero_4_NT_Loop50_TestCase6, NO, 10176)
(FSE_Modulo_Arithmetic_Mode_Adding_Subtracting_Zero_4_NT_Loop50_TestCase7, NO, 10234)
(FSE_Modulo_Arithmetic_Mode_Adding_Subtracting_Zero_4_NT_Loop16_TestCase8, NO, 14415)
(FSE_Modulo_Arithmetic_Mode_Adding_Subtracting_Zero_4_NT_Loop16_TestCase9, NO, 17642)
(FSE_Modulo_Arithmetic_Mode_Adding_Subtracting_Zero_4_NT_Loop50_TestCase10, NO, 10209)</t>
  </si>
  <si>
    <t>(FSE_Modulo_Arithmetic_Mode_Adding_Subtracting_Zero_4_NT_Loop0_TestCase8, NO, 10098)
(FSE_Modulo_Arithmetic_Mode_Adding_Subtracting_Zero_4_NT_Loop0_TestCase9, NO, 10001)
(FSE_Modulo_Arithmetic_Mode_Adding_Subtracting_Zero_4_NT_Loop0_TestCase10, NO, 10025)
(FSE_Modulo_Arithmetic_Mode_Adding_Subtracting_Zero_4_NT_Loop0_TestCase1, YES, 1863)
(FSE_Modulo_Arithmetic_Mode_Adding_Subtracting_Zero_4_NT_Loop0_TestCase2, YES, 5860)
(FSE_Modulo_Arithmetic_Mode_Adding_Subtracting_Zero_4_NT_Loop0_TestCase3, YES, 56144)
(FSE_Modulo_Arithmetic_Mode_Adding_Subtracting_Zero_4_NT_Loop0_TestCase7, NO, 10134)
(FSE_Modulo_Arithmetic_Mode_Adding_Subtracting_Zero_4_NT_Loop0_TestCase6, NO, 10104)
(FSE_Modulo_Arithmetic_Mode_Adding_Subtracting_Zero_4_NT_Loop0_TestCase4, TIMEOUT, 302737)
(FSE_Modulo_Arithmetic_Mode_Adding_Subtracting_Zero_4_NT_Loop0_TestCase5, TIMEOUT, 302370)</t>
  </si>
  <si>
    <t>(FSE_Modulo_Arithmetic_Mode_Adding_Subtracting_Zero_4_NT_Loop16_TestCase0, TIMEOUT, 302626)
(FSE_Modulo_Arithmetic_Mode_Adding_Subtracting_Zero_4_NT_Loop50_TestCase0, TIMEOUT, 302716)</t>
  </si>
  <si>
    <t>(FSE_Modulo_Arithmetic_Mode_Adding_Subtracting_Zero_4_NT_Loop0_TestCase0, TIMEOUT, 302653)</t>
  </si>
  <si>
    <t>(FSE_Modulo_Arithmetic_Mode_Adding_Subtracting_Zero_3_T_Loop72_TestCase6, YES, 4004)
(FSE_Modulo_Arithmetic_Mode_Adding_Subtracting_Zero_3_T_Loop72_TestCase7, YES, 4004)
(FSE_Modulo_Arithmetic_Mode_Adding_Subtracting_Zero_3_T_Loop72_TestCase5, TIMEOUT, 303692)
(FSE_Modulo_Arithmetic_Mode_Adding_Subtracting_Zero_3_T_Loop72_TestCase4, ERROR, 242922)
(FSE_Modulo_Arithmetic_Mode_Adding_Subtracting_Zero_3_T_Loop72_TestCase1, YES, 1936)
(FSE_Modulo_Arithmetic_Mode_Adding_Subtracting_Zero_3_T_Loop37_TestCase10, YES, 4050)
(FSE_Modulo_Arithmetic_Mode_Adding_Subtracting_Zero_3_T_Loop72_TestCase3, YES, 8135)
(FSE_Modulo_Arithmetic_Mode_Adding_Subtracting_Zero_3_T_Loop72_TestCase2, YES, 1854)
(FSE_Modulo_Arithmetic_Mode_Adding_Subtracting_Zero_3_T_Loop37_TestCase8, YES, 3937)
(FSE_Modulo_Arithmetic_Mode_Adding_Subtracting_Zero_3_T_Loop37_TestCase9, YES, 3968)
(FSE_Modulo_Arithmetic_Mode_Adding_Subtracting_Zero_3_T_Loop37_TestCase2, YES, 1862)
(FSE_Modulo_Arithmetic_Mode_Adding_Subtracting_Zero_3_T_Loop37_TestCase3, YES, 6117)
(FSE_Modulo_Arithmetic_Mode_Adding_Subtracting_Zero_3_T_Loop37_TestCase1, YES, 1904)
(FSE_Modulo_Arithmetic_Mode_Adding_Subtracting_Zero_3_T_Loop37_TestCase4, TIMEOUT, 303450)
(FSE_Modulo_Arithmetic_Mode_Adding_Subtracting_Zero_3_T_Loop37_TestCase5, TIMEOUT, 303052)
(FSE_Modulo_Arithmetic_Mode_Adding_Subtracting_Zero_3_T_Loop37_TestCase7, YES, 3914)
(FSE_Modulo_Arithmetic_Mode_Adding_Subtracting_Zero_3_T_Loop37_TestCase6, YES, 3968)
(FSE_Modulo_Arithmetic_Mode_Adding_Subtracting_Zero_3_T_Loop72_TestCase10, YES, 4024)
(FSE_Modulo_Arithmetic_Mode_Adding_Subtracting_Zero_3_T_Loop72_TestCase9, YES, 3940)
(FSE_Modulo_Arithmetic_Mode_Adding_Subtracting_Zero_3_T_Loop72_TestCase8, YES, 3911)</t>
  </si>
  <si>
    <t>(FSE_Modulo_Arithmetic_Mode_Adding_Subtracting_Zero_3_T_Loop0_TestCase5, TIMEOUT, 303570)
(FSE_Modulo_Arithmetic_Mode_Adding_Subtracting_Zero_3_T_Loop0_TestCase4, ERROR, 271411)
(FSE_Modulo_Arithmetic_Mode_Adding_Subtracting_Zero_3_T_Loop0_TestCase6, YES, 3863)
(FSE_Modulo_Arithmetic_Mode_Adding_Subtracting_Zero_3_T_Loop0_TestCase7, YES, 3910)
(FSE_Modulo_Arithmetic_Mode_Adding_Subtracting_Zero_3_T_Loop0_TestCase3, YES, 8222)
(FSE_Modulo_Arithmetic_Mode_Adding_Subtracting_Zero_3_T_Loop0_TestCase2, YES, 1793)
(FSE_Modulo_Arithmetic_Mode_Adding_Subtracting_Zero_3_T_Loop0_TestCase10, YES, 3989)
(FSE_Modulo_Arithmetic_Mode_Adding_Subtracting_Zero_3_T_Loop0_TestCase1, YES, 1831)
(FSE_Modulo_Arithmetic_Mode_Adding_Subtracting_Zero_3_T_Loop0_TestCase9, YES, 4009)
(FSE_Modulo_Arithmetic_Mode_Adding_Subtracting_Zero_3_T_Loop0_TestCase8, YES, 3859)</t>
  </si>
  <si>
    <t>(FSE_Modulo_Arithmetic_Mode_Adding_Subtracting_Zero_3_T_Loop72_TestCase0, TIMEOUT, 302588)
(FSE_Modulo_Arithmetic_Mode_Adding_Subtracting_Zero_3_T_Loop37_TestCase0, TIMEOUT, 302458)</t>
  </si>
  <si>
    <t>(FSE_Modulo_Arithmetic_Mode_Adding_Subtracting_Zero_3_T_Loop0_TestCase0, TIMEOUT, 303317)</t>
  </si>
  <si>
    <t>(FSE_Modulo_Arithmetic_Mode_Adding_Subtracting_Zero_3_NT_Loop40_TestCase9, NO, 6272)
(FSE_Modulo_Arithmetic_Mode_Adding_Subtracting_Zero_3_NT_Loop40_TestCase8, NO, 6225)
(FSE_Modulo_Arithmetic_Mode_Adding_Subtracting_Zero_3_NT_Loop40_TestCase10, NO, 6184)
(FSE_Modulo_Arithmetic_Mode_Adding_Subtracting_Zero_3_NT_Loop75_TestCase2, YES, 1841)
(FSE_Modulo_Arithmetic_Mode_Adding_Subtracting_Zero_3_NT_Loop75_TestCase3, YES, 6032)
(FSE_Modulo_Arithmetic_Mode_Adding_Subtracting_Zero_3_NT_Loop75_TestCase1, YES, 1893)
(FSE_Modulo_Arithmetic_Mode_Adding_Subtracting_Zero_3_NT_Loop75_TestCase4, TIMEOUT, 302456)
(FSE_Modulo_Arithmetic_Mode_Adding_Subtracting_Zero_3_NT_Loop75_TestCase5, TIMEOUT, 302577)
(FSE_Modulo_Arithmetic_Mode_Adding_Subtracting_Zero_3_NT_Loop75_TestCase7, NO, 5949)
(FSE_Modulo_Arithmetic_Mode_Adding_Subtracting_Zero_3_NT_Loop75_TestCase6, NO, 5913)
(FSE_Modulo_Arithmetic_Mode_Adding_Subtracting_Zero_3_NT_Loop75_TestCase8, NO, 5946)
(FSE_Modulo_Arithmetic_Mode_Adding_Subtracting_Zero_3_NT_Loop75_TestCase9, NO, 5892)
(FSE_Modulo_Arithmetic_Mode_Adding_Subtracting_Zero_3_NT_Loop40_TestCase5, TIMEOUT, 302622)
(FSE_Modulo_Arithmetic_Mode_Adding_Subtracting_Zero_3_NT_Loop40_TestCase4, TIMEOUT, 302463)
(FSE_Modulo_Arithmetic_Mode_Adding_Subtracting_Zero_3_NT_Loop40_TestCase6, NO, 5959)
(FSE_Modulo_Arithmetic_Mode_Adding_Subtracting_Zero_3_NT_Loop40_TestCase7, NO, 6023)
(FSE_Modulo_Arithmetic_Mode_Adding_Subtracting_Zero_3_NT_Loop40_TestCase3, YES, 5982)
(FSE_Modulo_Arithmetic_Mode_Adding_Subtracting_Zero_3_NT_Loop40_TestCase2, YES, 1802)
(FSE_Modulo_Arithmetic_Mode_Adding_Subtracting_Zero_3_NT_Loop75_TestCase10, NO, 5951)
(FSE_Modulo_Arithmetic_Mode_Adding_Subtracting_Zero_3_NT_Loop40_TestCase1, YES, 1807)</t>
  </si>
  <si>
    <t>(FSE_Modulo_Arithmetic_Mode_Adding_Subtracting_Zero_3_NT_Loop0_TestCase8, NO, 5863)
(FSE_Modulo_Arithmetic_Mode_Adding_Subtracting_Zero_3_NT_Loop0_TestCase9, NO, 5855)
(FSE_Modulo_Arithmetic_Mode_Adding_Subtracting_Zero_3_NT_Loop0_TestCase10, NO, 5930)
(FSE_Modulo_Arithmetic_Mode_Adding_Subtracting_Zero_3_NT_Loop0_TestCase2, YES, 1784)
(FSE_Modulo_Arithmetic_Mode_Adding_Subtracting_Zero_3_NT_Loop0_TestCase3, YES, 5950)
(FSE_Modulo_Arithmetic_Mode_Adding_Subtracting_Zero_3_NT_Loop0_TestCase1, YES, 1874)
(FSE_Modulo_Arithmetic_Mode_Adding_Subtracting_Zero_3_NT_Loop0_TestCase4, TIMEOUT, 302415)
(FSE_Modulo_Arithmetic_Mode_Adding_Subtracting_Zero_3_NT_Loop0_TestCase5, TIMEOUT, 302436)
(FSE_Modulo_Arithmetic_Mode_Adding_Subtracting_Zero_3_NT_Loop0_TestCase7, NO, 5842)
(FSE_Modulo_Arithmetic_Mode_Adding_Subtracting_Zero_3_NT_Loop0_TestCase6, NO, 5858)</t>
  </si>
  <si>
    <t>(FSE_Modulo_Arithmetic_Mode_Adding_Subtracting_Zero_3_NT_Loop75_TestCase0, TIMEOUT, 302724)
(FSE_Modulo_Arithmetic_Mode_Adding_Subtracting_Zero_3_NT_Loop40_TestCase0, TIMEOUT, 302732)</t>
  </si>
  <si>
    <t>(FSE_Modulo_Arithmetic_Mode_Adding_Subtracting_Zero_3_NT_Loop0_TestCase0, TIMEOUT, 302540)</t>
  </si>
  <si>
    <t>(FSE_Modulo_Arithmetic_Mode_Adding_Subtracting_Zero_2_T_Loop35_TestCase4, YES, 3890)
(FSE_Modulo_Arithmetic_Mode_Adding_Subtracting_Zero_2_T_Loop35_TestCase5, YES, 3817)
(FSE_Modulo_Arithmetic_Mode_Adding_Subtracting_Zero_2_T_Loop35_TestCase7, YES, 1813)
(FSE_Modulo_Arithmetic_Mode_Adding_Subtracting_Zero_2_T_Loop35_TestCase6, YES, 1788)
(FSE_Modulo_Arithmetic_Mode_Adding_Subtracting_Zero_2_T_Loop35_TestCase2, YES, 3789)
(FSE_Modulo_Arithmetic_Mode_Adding_Subtracting_Zero_2_T_Loop35_TestCase3, YES, 3792)
(FSE_Modulo_Arithmetic_Mode_Adding_Subtracting_Zero_2_T_Loop35_TestCase1, YES, 1788)
(FSE_Modulo_Arithmetic_Mode_Adding_Subtracting_Zero_2_T_Loop35_TestCase8, YES, 1813)
(FSE_Modulo_Arithmetic_Mode_Adding_Subtracting_Zero_2_T_Loop35_TestCase10, YES, 1801)
(FSE_Modulo_Arithmetic_Mode_Adding_Subtracting_Zero_2_T_Loop35_TestCase9, YES, 1795)</t>
  </si>
  <si>
    <t>(FSE_Modulo_Arithmetic_Mode_Adding_Subtracting_Zero_2_T_Loop0_TestCase10, YES, 1744)
(FSE_Modulo_Arithmetic_Mode_Adding_Subtracting_Zero_2_T_Loop0_TestCase9, YES, 1748)
(FSE_Modulo_Arithmetic_Mode_Adding_Subtracting_Zero_2_T_Loop0_TestCase8, YES, 1723)
(FSE_Modulo_Arithmetic_Mode_Adding_Subtracting_Zero_2_T_Loop0_TestCase6, YES, 1742)
(FSE_Modulo_Arithmetic_Mode_Adding_Subtracting_Zero_2_T_Loop0_TestCase7, YES, 1761)
(FSE_Modulo_Arithmetic_Mode_Adding_Subtracting_Zero_2_T_Loop0_TestCase5, YES, 3775)
(FSE_Modulo_Arithmetic_Mode_Adding_Subtracting_Zero_2_T_Loop0_TestCase4, YES, 3777)
(FSE_Modulo_Arithmetic_Mode_Adding_Subtracting_Zero_2_T_Loop0_TestCase1, YES, 1782)
(FSE_Modulo_Arithmetic_Mode_Adding_Subtracting_Zero_2_T_Loop0_TestCase3, YES, 3750)
(FSE_Modulo_Arithmetic_Mode_Adding_Subtracting_Zero_2_T_Loop0_TestCase2, YES, 3793)</t>
  </si>
  <si>
    <t>(FSE_Modulo_Arithmetic_Mode_Adding_Subtracting_Zero_2_T_Loop35_TestCase0, TIMEOUT, 302142)</t>
  </si>
  <si>
    <t>(FSE_Modulo_Arithmetic_Mode_Adding_Subtracting_Zero_2_T_Loop0_TestCase0, TIMEOUT, 302286)</t>
  </si>
  <si>
    <t>(FSE_Modulo_Arithmetic_Mode_Adding_Subtracting_Zero_2_NT_Loop34_TestCase10, NO, 3880)
(FSE_Modulo_Arithmetic_Mode_Adding_Subtracting_Zero_2_NT_Loop34_TestCase3, YES, 3847)
(FSE_Modulo_Arithmetic_Mode_Adding_Subtracting_Zero_2_NT_Loop34_TestCase2, YES, 3844)
(FSE_Modulo_Arithmetic_Mode_Adding_Subtracting_Zero_2_NT_Loop34_TestCase1, YES, 1804)
(FSE_Modulo_Arithmetic_Mode_Adding_Subtracting_Zero_2_NT_Loop34_TestCase5, YES, 3804)
(FSE_Modulo_Arithmetic_Mode_Adding_Subtracting_Zero_2_NT_Loop34_TestCase4, YES, 3841)
(FSE_Modulo_Arithmetic_Mode_Adding_Subtracting_Zero_2_NT_Loop34_TestCase6, NO, 3835)
(FSE_Modulo_Arithmetic_Mode_Adding_Subtracting_Zero_2_NT_Loop34_TestCase7, NO, 3825)
(FSE_Modulo_Arithmetic_Mode_Adding_Subtracting_Zero_2_NT_Loop34_TestCase9, NO, 3829)
(FSE_Modulo_Arithmetic_Mode_Adding_Subtracting_Zero_2_NT_Loop34_TestCase8, NO, 3835)</t>
  </si>
  <si>
    <t>(FSE_Modulo_Arithmetic_Mode_Adding_Subtracting_Zero_2_NT_Loop0_TestCase9, NO, 3848)
(FSE_Modulo_Arithmetic_Mode_Adding_Subtracting_Zero_2_NT_Loop0_TestCase8, NO, 3810)
(FSE_Modulo_Arithmetic_Mode_Adding_Subtracting_Zero_2_NT_Loop0_TestCase6, NO, 3804)
(FSE_Modulo_Arithmetic_Mode_Adding_Subtracting_Zero_2_NT_Loop0_TestCase10, NO, 3794)
(FSE_Modulo_Arithmetic_Mode_Adding_Subtracting_Zero_2_NT_Loop0_TestCase7, NO, 3786)
(FSE_Modulo_Arithmetic_Mode_Adding_Subtracting_Zero_2_NT_Loop0_TestCase5, YES, 3806)
(FSE_Modulo_Arithmetic_Mode_Adding_Subtracting_Zero_2_NT_Loop0_TestCase4, YES, 3853)
(FSE_Modulo_Arithmetic_Mode_Adding_Subtracting_Zero_2_NT_Loop0_TestCase1, YES, 1801)
(FSE_Modulo_Arithmetic_Mode_Adding_Subtracting_Zero_2_NT_Loop0_TestCase3, YES, 3767)
(FSE_Modulo_Arithmetic_Mode_Adding_Subtracting_Zero_2_NT_Loop0_TestCase2, YES, 3784)</t>
  </si>
  <si>
    <t>(FSE_Modulo_Arithmetic_Mode_Adding_Subtracting_Zero_2_NT_Loop34_TestCase0, NO, 41539)</t>
  </si>
  <si>
    <t>(FSE_Modulo_Arithmetic_Mode_Adding_Subtracting_Zero_2_NT_Loop0_TestCase0, TIMEOUT, 303330)</t>
  </si>
  <si>
    <t>(FSE_Modulo_Arithmetic_Mode_Adding_Subtracting_Zero_1_T_Loop17_TestCase10, YES, 3785)
(FSE_Modulo_Arithmetic_Mode_Adding_Subtracting_Zero_1_T_Loop17_TestCase9, YES, 3827)
(FSE_Modulo_Arithmetic_Mode_Adding_Subtracting_Zero_1_T_Loop17_TestCase8, YES, 3793)
(FSE_Modulo_Arithmetic_Mode_Adding_Subtracting_Zero_1_T_Loop17_TestCase6, YES, 3768)
(FSE_Modulo_Arithmetic_Mode_Adding_Subtracting_Zero_1_T_Loop17_TestCase7, YES, 3798)
(FSE_Modulo_Arithmetic_Mode_Adding_Subtracting_Zero_1_T_Loop17_TestCase5, YES, 3831)
(FSE_Modulo_Arithmetic_Mode_Adding_Subtracting_Zero_1_T_Loop17_TestCase4, YES, 3875)
(FSE_Modulo_Arithmetic_Mode_Adding_Subtracting_Zero_1_T_Loop17_TestCase1, YES, 1782)
(FSE_Modulo_Arithmetic_Mode_Adding_Subtracting_Zero_1_T_Loop17_TestCase3, YES, 3832)
(FSE_Modulo_Arithmetic_Mode_Adding_Subtracting_Zero_1_T_Loop17_TestCase2, YES, 3804)</t>
  </si>
  <si>
    <t>(FSE_Modulo_Arithmetic_Mode_Adding_Subtracting_Zero_1_T_Loop0_TestCase10, YES, 3745)
(FSE_Modulo_Arithmetic_Mode_Adding_Subtracting_Zero_1_T_Loop0_TestCase2, YES, 3794)
(FSE_Modulo_Arithmetic_Mode_Adding_Subtracting_Zero_1_T_Loop0_TestCase3, YES, 3738)
(FSE_Modulo_Arithmetic_Mode_Adding_Subtracting_Zero_1_T_Loop0_TestCase1, YES, 1756)
(FSE_Modulo_Arithmetic_Mode_Adding_Subtracting_Zero_1_T_Loop0_TestCase4, YES, 3770)
(FSE_Modulo_Arithmetic_Mode_Adding_Subtracting_Zero_1_T_Loop0_TestCase5, YES, 3775)
(FSE_Modulo_Arithmetic_Mode_Adding_Subtracting_Zero_1_T_Loop0_TestCase7, YES, 3784)
(FSE_Modulo_Arithmetic_Mode_Adding_Subtracting_Zero_1_T_Loop0_TestCase6, YES, 3798)
(FSE_Modulo_Arithmetic_Mode_Adding_Subtracting_Zero_1_T_Loop0_TestCase8, YES, 3738)
(FSE_Modulo_Arithmetic_Mode_Adding_Subtracting_Zero_1_T_Loop0_TestCase9, YES, 3825)</t>
  </si>
  <si>
    <t>(FSE_Modulo_Arithmetic_Mode_Adding_Subtracting_Zero_1_T_Loop17_TestCase0, YES, 3934)</t>
  </si>
  <si>
    <t>(FSE_Modulo_Arithmetic_Mode_Adding_Subtracting_Zero_1_T_Loop0_TestCase0, YES, 3816)</t>
  </si>
  <si>
    <t>(FSE_Modulo_Arithmetic_Mode_Adding_Subtracting_Zero_1_NT_Loop17_TestCase10, NO, 3824)
(FSE_Modulo_Arithmetic_Mode_Adding_Subtracting_Zero_1_NT_Loop17_TestCase6, NO, 3832)
(FSE_Modulo_Arithmetic_Mode_Adding_Subtracting_Zero_1_NT_Loop17_TestCase7, NO, 3776)
(FSE_Modulo_Arithmetic_Mode_Adding_Subtracting_Zero_1_NT_Loop17_TestCase5, YES, 3794)
(FSE_Modulo_Arithmetic_Mode_Adding_Subtracting_Zero_1_NT_Loop17_TestCase4, YES, 3794)
(FSE_Modulo_Arithmetic_Mode_Adding_Subtracting_Zero_1_NT_Loop17_TestCase1, YES, 1841)
(FSE_Modulo_Arithmetic_Mode_Adding_Subtracting_Zero_1_NT_Loop17_TestCase3, YES, 3765)
(FSE_Modulo_Arithmetic_Mode_Adding_Subtracting_Zero_1_NT_Loop17_TestCase2, YES, 3795)
(FSE_Modulo_Arithmetic_Mode_Adding_Subtracting_Zero_1_NT_Loop17_TestCase9, NO, 3756)
(FSE_Modulo_Arithmetic_Mode_Adding_Subtracting_Zero_1_NT_Loop17_TestCase8, NO, 3845)</t>
  </si>
  <si>
    <t>(FSE_Modulo_Arithmetic_Mode_Adding_Subtracting_Zero_1_NT_Loop0_TestCase9, NO, 3805)
(FSE_Modulo_Arithmetic_Mode_Adding_Subtracting_Zero_1_NT_Loop0_TestCase8, NO, 3802)
(FSE_Modulo_Arithmetic_Mode_Adding_Subtracting_Zero_1_NT_Loop0_TestCase3, YES, 3795)
(FSE_Modulo_Arithmetic_Mode_Adding_Subtracting_Zero_1_NT_Loop0_TestCase2, YES, 3745)
(FSE_Modulo_Arithmetic_Mode_Adding_Subtracting_Zero_1_NT_Loop0_TestCase1, YES, 1680)
(FSE_Modulo_Arithmetic_Mode_Adding_Subtracting_Zero_1_NT_Loop0_TestCase5, YES, 3750)
(FSE_Modulo_Arithmetic_Mode_Adding_Subtracting_Zero_1_NT_Loop0_TestCase4, YES, 3729)
(FSE_Modulo_Arithmetic_Mode_Adding_Subtracting_Zero_1_NT_Loop0_TestCase6, NO, 3846)
(FSE_Modulo_Arithmetic_Mode_Adding_Subtracting_Zero_1_NT_Loop0_TestCase7, NO, 3757)
(FSE_Modulo_Arithmetic_Mode_Adding_Subtracting_Zero_1_NT_Loop0_TestCase10, NO, 3765)</t>
  </si>
  <si>
    <t>(FSE_Modulo_Arithmetic_Mode_Adding_Subtracting_Zero_1_NT_Loop17_TestCase0, NO, 3844)</t>
  </si>
  <si>
    <t>(FSE_Modulo_Arithmetic_Mode_Adding_Subtracting_Zero_1_NT_Loop0_TestCase0, NO, 3856)</t>
  </si>
  <si>
    <t>30/30</t>
  </si>
  <si>
    <t>(FSE_Mathematical_Integer_Mode_Using_Erroneous_Condition_3_T_Loop27_TestCase8, YES, 2545)
(FSE_Mathematical_Integer_Mode_Using_Erroneous_Condition_3_T_Loop27_TestCase9, YES, 2199)
(FSE_Mathematical_Integer_Mode_Using_Erroneous_Condition_3_T_Loop24_TestCase8, YES, 2292)
(FSE_Mathematical_Integer_Mode_Using_Erroneous_Condition_3_T_Loop24_TestCase9, YES, 2198)
(FSE_Mathematical_Integer_Mode_Using_Erroneous_Condition_3_T_Loop17_TestCase9, YES, 1792)
(FSE_Mathematical_Integer_Mode_Using_Erroneous_Condition_3_T_Loop17_TestCase8, YES, 1759)
(FSE_Mathematical_Integer_Mode_Using_Erroneous_Condition_3_T_Loop17_TestCase10, YES, 1767)
(FSE_Mathematical_Integer_Mode_Using_Erroneous_Condition_3_T_Loop17_TestCase1, YES, 1742)
(FSE_Mathematical_Integer_Mode_Using_Erroneous_Condition_3_T_Loop17_TestCase3, YES, 1778)
(FSE_Mathematical_Integer_Mode_Using_Erroneous_Condition_3_T_Loop17_TestCase2, YES, 1752)
(FSE_Mathematical_Integer_Mode_Using_Erroneous_Condition_3_T_Loop17_TestCase6, YES, 1768)
(FSE_Mathematical_Integer_Mode_Using_Erroneous_Condition_3_T_Loop17_TestCase7, YES, 1761)
(FSE_Mathematical_Integer_Mode_Using_Erroneous_Condition_3_T_Loop17_TestCase5, YES, 1992)
(FSE_Mathematical_Integer_Mode_Using_Erroneous_Condition_3_T_Loop24_TestCase10, YES, 26358)
(FSE_Mathematical_Integer_Mode_Using_Erroneous_Condition_3_T_Loop17_TestCase4, YES, 1759)
(FSE_Mathematical_Integer_Mode_Using_Erroneous_Condition_3_T_Loop24_TestCase4, YES, 2563)
(FSE_Mathematical_Integer_Mode_Using_Erroneous_Condition_3_T_Loop27_TestCase1, YES, 2136)
(FSE_Mathematical_Integer_Mode_Using_Erroneous_Condition_3_T_Loop24_TestCase5, YES, 53669)
(FSE_Mathematical_Integer_Mode_Using_Erroneous_Condition_3_T_Loop24_TestCase7, YES, 2040)
(FSE_Mathematical_Integer_Mode_Using_Erroneous_Condition_3_T_Loop27_TestCase2, YES, 4978)
(FSE_Mathematical_Integer_Mode_Using_Erroneous_Condition_3_T_Loop27_TestCase3, YES, 1783)
(FSE_Mathematical_Integer_Mode_Using_Erroneous_Condition_3_T_Loop24_TestCase6, YES, 30525)
(FSE_Mathematical_Integer_Mode_Using_Erroneous_Condition_3_T_Loop24_TestCase2, YES, 1816)
(FSE_Mathematical_Integer_Mode_Using_Erroneous_Condition_3_T_Loop27_TestCase7, YES, 2301)
(FSE_Mathematical_Integer_Mode_Using_Erroneous_Condition_3_T_Loop27_TestCase6, YES, 12487)
(FSE_Mathematical_Integer_Mode_Using_Erroneous_Condition_3_T_Loop24_TestCase3, YES, 1805)
(FSE_Mathematical_Integer_Mode_Using_Erroneous_Condition_3_T_Loop24_TestCase1, YES, 5691)
(FSE_Mathematical_Integer_Mode_Using_Erroneous_Condition_3_T_Loop27_TestCase4, YES, 2185)
(FSE_Mathematical_Integer_Mode_Using_Erroneous_Condition_3_T_Loop27_TestCase5, YES, 47547)
(FSE_Mathematical_Integer_Mode_Using_Erroneous_Condition_3_T_Loop27_TestCase10, YES, 12207)</t>
  </si>
  <si>
    <t>(FSE_Mathematical_Integer_Mode_Using_Erroneous_Condition_3_T_Loop0_TestCase9, YES, 2145)
(FSE_Mathematical_Integer_Mode_Using_Erroneous_Condition_3_T_Loop0_TestCase10, YES, 26812)
(FSE_Mathematical_Integer_Mode_Using_Erroneous_Condition_3_T_Loop0_TestCase8, YES, 2481)
(FSE_Mathematical_Integer_Mode_Using_Erroneous_Condition_3_T_Loop0_TestCase3, YES, 1729)
(FSE_Mathematical_Integer_Mode_Using_Erroneous_Condition_3_T_Loop0_TestCase2, YES, 1768)
(FSE_Mathematical_Integer_Mode_Using_Erroneous_Condition_3_T_Loop0_TestCase1, YES, 2255)
(FSE_Mathematical_Integer_Mode_Using_Erroneous_Condition_3_T_Loop0_TestCase5, YES, 34128)
(FSE_Mathematical_Integer_Mode_Using_Erroneous_Condition_3_T_Loop0_TestCase4, YES, 2163)
(FSE_Mathematical_Integer_Mode_Using_Erroneous_Condition_3_T_Loop0_TestCase6, YES, 35569)
(FSE_Mathematical_Integer_Mode_Using_Erroneous_Condition_3_T_Loop0_TestCase7, YES, 2203)</t>
  </si>
  <si>
    <t>(FSE_Mathematical_Integer_Mode_Using_Erroneous_Condition_3_T_Loop17_TestCase0, YES, 1810)
(FSE_Mathematical_Integer_Mode_Using_Erroneous_Condition_3_T_Loop27_TestCase0, YES, 21021)
(FSE_Mathematical_Integer_Mode_Using_Erroneous_Condition_3_T_Loop24_TestCase0, YES, 29873)</t>
  </si>
  <si>
    <t>(FSE_Mathematical_Integer_Mode_Using_Erroneous_Condition_3_T_Loop0_TestCase0, YES, 13690)</t>
  </si>
  <si>
    <t>(FSE_Mathematical_Integer_Mode_Using_Erroneous_Condition_3_NT_Loop17_TestCase1, YES, 1775)
(FSE_Mathematical_Integer_Mode_Using_Erroneous_Condition_3_NT_Loop24_TestCase10, NO, 2202)
(FSE_Mathematical_Integer_Mode_Using_Erroneous_Condition_3_NT_Loop17_TestCase3, YES, 2744)
(FSE_Mathematical_Integer_Mode_Using_Erroneous_Condition_3_NT_Loop17_TestCase2, YES, 1735)
(FSE_Mathematical_Integer_Mode_Using_Erroneous_Condition_3_NT_Loop17_TestCase6, YES, 1748)
(FSE_Mathematical_Integer_Mode_Using_Erroneous_Condition_3_NT_Loop17_TestCase7, YES, 1839)
(FSE_Mathematical_Integer_Mode_Using_Erroneous_Condition_3_NT_Loop17_TestCase5, YES, 1763)
(FSE_Mathematical_Integer_Mode_Using_Erroneous_Condition_3_NT_Loop17_TestCase4, YES, 1813)
(FSE_Mathematical_Integer_Mode_Using_Erroneous_Condition_3_NT_Loop27_TestCase10, NO, 2235)
(FSE_Mathematical_Integer_Mode_Using_Erroneous_Condition_3_NT_Loop24_TestCase4, NO, 2328)
(FSE_Mathematical_Integer_Mode_Using_Erroneous_Condition_3_NT_Loop27_TestCase1, NO, 2174)
(FSE_Mathematical_Integer_Mode_Using_Erroneous_Condition_3_NT_Loop24_TestCase5, NO, 2222)
(FSE_Mathematical_Integer_Mode_Using_Erroneous_Condition_3_NT_Loop24_TestCase7, NO, 2181)
(FSE_Mathematical_Integer_Mode_Using_Erroneous_Condition_3_NT_Loop27_TestCase2, NO, 2207)
(FSE_Mathematical_Integer_Mode_Using_Erroneous_Condition_3_NT_Loop27_TestCase3, NO, 2220)
(FSE_Mathematical_Integer_Mode_Using_Erroneous_Condition_3_NT_Loop24_TestCase6, NO, 2221)
(FSE_Mathematical_Integer_Mode_Using_Erroneous_Condition_3_NT_Loop24_TestCase2, NO, 5759)
(FSE_Mathematical_Integer_Mode_Using_Erroneous_Condition_3_NT_Loop27_TestCase7, NO, 3383)
(FSE_Mathematical_Integer_Mode_Using_Erroneous_Condition_3_NT_Loop27_TestCase6, NO, 2225)
(FSE_Mathematical_Integer_Mode_Using_Erroneous_Condition_3_NT_Loop24_TestCase3, NO, 2199)
(FSE_Mathematical_Integer_Mode_Using_Erroneous_Condition_3_NT_Loop24_TestCase1, NO, 2310)
(FSE_Mathematical_Integer_Mode_Using_Erroneous_Condition_3_NT_Loop27_TestCase4, NO, 2246)
(FSE_Mathematical_Integer_Mode_Using_Erroneous_Condition_3_NT_Loop27_TestCase5, NO, 2293)
(FSE_Mathematical_Integer_Mode_Using_Erroneous_Condition_3_NT_Loop27_TestCase8, NO, 2204)
(FSE_Mathematical_Integer_Mode_Using_Erroneous_Condition_3_NT_Loop27_TestCase9, NO, 2218)
(FSE_Mathematical_Integer_Mode_Using_Erroneous_Condition_3_NT_Loop24_TestCase8, NO, 2293)
(FSE_Mathematical_Integer_Mode_Using_Erroneous_Condition_3_NT_Loop24_TestCase9, NO, 2115)
(FSE_Mathematical_Integer_Mode_Using_Erroneous_Condition_3_NT_Loop17_TestCase9, YES, 1773)
(FSE_Mathematical_Integer_Mode_Using_Erroneous_Condition_3_NT_Loop17_TestCase8, YES, 1752)
(FSE_Mathematical_Integer_Mode_Using_Erroneous_Condition_3_NT_Loop17_TestCase10, YES, 1743)</t>
  </si>
  <si>
    <t>(FSE_Mathematical_Integer_Mode_Using_Erroneous_Condition_3_NT_Loop0_TestCase9, NO, 2081)
(FSE_Mathematical_Integer_Mode_Using_Erroneous_Condition_3_NT_Loop0_TestCase8, NO, 2146)
(FSE_Mathematical_Integer_Mode_Using_Erroneous_Condition_3_NT_Loop0_TestCase5, NO, 2167)
(FSE_Mathematical_Integer_Mode_Using_Erroneous_Condition_3_NT_Loop0_TestCase4, NO, 2161)
(FSE_Mathematical_Integer_Mode_Using_Erroneous_Condition_3_NT_Loop0_TestCase6, NO, 2132)
(FSE_Mathematical_Integer_Mode_Using_Erroneous_Condition_3_NT_Loop0_TestCase10, NO, 2115)
(FSE_Mathematical_Integer_Mode_Using_Erroneous_Condition_3_NT_Loop0_TestCase7, NO, 2135)
(FSE_Mathematical_Integer_Mode_Using_Erroneous_Condition_3_NT_Loop0_TestCase3, NO, 2137)
(FSE_Mathematical_Integer_Mode_Using_Erroneous_Condition_3_NT_Loop0_TestCase2, NO, 2118)
(FSE_Mathematical_Integer_Mode_Using_Erroneous_Condition_3_NT_Loop0_TestCase1, NO, 2137)</t>
  </si>
  <si>
    <t>(FSE_Mathematical_Integer_Mode_Using_Erroneous_Condition_3_NT_Loop17_TestCase0, YES, 1779)
(FSE_Mathematical_Integer_Mode_Using_Erroneous_Condition_3_NT_Loop27_TestCase0, NO, 2403)
(FSE_Mathematical_Integer_Mode_Using_Erroneous_Condition_3_NT_Loop24_TestCase0, NO, 2331)</t>
  </si>
  <si>
    <t>(FSE_Mathematical_Integer_Mode_Using_Erroneous_Condition_3_NT_Loop0_TestCase0, NO, 2334)</t>
  </si>
  <si>
    <t>(FSE_Mathematical_Integer_Mode_Using_Erroneous_Condition_2_T_Loop15_TestCase6, YES, 1752)
(FSE_Mathematical_Integer_Mode_Using_Erroneous_Condition_2_T_Loop15_TestCase7, YES, 1710)
(FSE_Mathematical_Integer_Mode_Using_Erroneous_Condition_2_T_Loop15_TestCase5, YES, 1731)
(FSE_Mathematical_Integer_Mode_Using_Erroneous_Condition_2_T_Loop15_TestCase4, YES, 1725)
(FSE_Mathematical_Integer_Mode_Using_Erroneous_Condition_2_T_Loop15_TestCase1, YES, 1713)
(FSE_Mathematical_Integer_Mode_Using_Erroneous_Condition_2_T_Loop15_TestCase3, YES, 1728)
(FSE_Mathematical_Integer_Mode_Using_Erroneous_Condition_2_T_Loop15_TestCase2, YES, 1695)
(FSE_Mathematical_Integer_Mode_Using_Erroneous_Condition_2_T_Loop15_TestCase10, YES, 1849)
(FSE_Mathematical_Integer_Mode_Using_Erroneous_Condition_2_T_Loop15_TestCase9, YES, 1722)
(FSE_Mathematical_Integer_Mode_Using_Erroneous_Condition_2_T_Loop15_TestCase8, YES, 1691)</t>
  </si>
  <si>
    <t>(FSE_Mathematical_Integer_Mode_Using_Erroneous_Condition_2_T_Loop0_TestCase1, YES, 1664)
(FSE_Mathematical_Integer_Mode_Using_Erroneous_Condition_2_T_Loop0_TestCase3, YES, 1703)
(FSE_Mathematical_Integer_Mode_Using_Erroneous_Condition_2_T_Loop0_TestCase2, YES, 1753)
(FSE_Mathematical_Integer_Mode_Using_Erroneous_Condition_2_T_Loop0_TestCase10, YES, 1702)
(FSE_Mathematical_Integer_Mode_Using_Erroneous_Condition_2_T_Loop0_TestCase6, YES, 1706)
(FSE_Mathematical_Integer_Mode_Using_Erroneous_Condition_2_T_Loop0_TestCase7, YES, 1711)
(FSE_Mathematical_Integer_Mode_Using_Erroneous_Condition_2_T_Loop0_TestCase5, YES, 1714)
(FSE_Mathematical_Integer_Mode_Using_Erroneous_Condition_2_T_Loop0_TestCase4, YES, 1711)
(FSE_Mathematical_Integer_Mode_Using_Erroneous_Condition_2_T_Loop0_TestCase9, YES, 1708)
(FSE_Mathematical_Integer_Mode_Using_Erroneous_Condition_2_T_Loop0_TestCase8, YES, 1673)</t>
  </si>
  <si>
    <t>(FSE_Mathematical_Integer_Mode_Using_Erroneous_Condition_2_T_Loop15_TestCase0, YES, 1778)</t>
  </si>
  <si>
    <t>(FSE_Mathematical_Integer_Mode_Using_Erroneous_Condition_2_T_Loop0_TestCase0, YES, 1798)</t>
  </si>
  <si>
    <t>(FSE_Mathematical_Integer_Mode_Using_Erroneous_Condition_2_NT_Loop16_TestCase3, YES, 1719)
(FSE_Mathematical_Integer_Mode_Using_Erroneous_Condition_2_NT_Loop16_TestCase2, YES, 1681)
(FSE_Mathematical_Integer_Mode_Using_Erroneous_Condition_2_NT_Loop16_TestCase1, YES, 1717)
(FSE_Mathematical_Integer_Mode_Using_Erroneous_Condition_2_NT_Loop16_TestCase5, YES, 1714)
(FSE_Mathematical_Integer_Mode_Using_Erroneous_Condition_2_NT_Loop16_TestCase4, YES, 1709)
(FSE_Mathematical_Integer_Mode_Using_Erroneous_Condition_2_NT_Loop16_TestCase6, NO, 1728)
(FSE_Mathematical_Integer_Mode_Using_Erroneous_Condition_2_NT_Loop16_TestCase7, NO, 1728)
(FSE_Mathematical_Integer_Mode_Using_Erroneous_Condition_2_NT_Loop16_TestCase9, NO, 1675)
(FSE_Mathematical_Integer_Mode_Using_Erroneous_Condition_2_NT_Loop16_TestCase8, NO, 1691)
(FSE_Mathematical_Integer_Mode_Using_Erroneous_Condition_2_NT_Loop16_TestCase10, NO, 1730)</t>
  </si>
  <si>
    <t>(FSE_Mathematical_Integer_Mode_Using_Erroneous_Condition_2_NT_Loop0_TestCase8, NO, 1865)
(FSE_Mathematical_Integer_Mode_Using_Erroneous_Condition_2_NT_Loop0_TestCase9, NO, 1711)
(FSE_Mathematical_Integer_Mode_Using_Erroneous_Condition_2_NT_Loop0_TestCase10, NO, 1687)
(FSE_Mathematical_Integer_Mode_Using_Erroneous_Condition_2_NT_Loop0_TestCase1, YES, 1759)
(FSE_Mathematical_Integer_Mode_Using_Erroneous_Condition_2_NT_Loop0_TestCase2, YES, 1668)
(FSE_Mathematical_Integer_Mode_Using_Erroneous_Condition_2_NT_Loop0_TestCase3, YES, 1689)
(FSE_Mathematical_Integer_Mode_Using_Erroneous_Condition_2_NT_Loop0_TestCase7, NO, 1760)
(FSE_Mathematical_Integer_Mode_Using_Erroneous_Condition_2_NT_Loop0_TestCase6, NO, 1700)
(FSE_Mathematical_Integer_Mode_Using_Erroneous_Condition_2_NT_Loop0_TestCase4, YES, 1723)
(FSE_Mathematical_Integer_Mode_Using_Erroneous_Condition_2_NT_Loop0_TestCase5, YES, 1699)</t>
  </si>
  <si>
    <t>(FSE_Mathematical_Integer_Mode_Using_Erroneous_Condition_2_NT_Loop16_TestCase0, NO, 1771)</t>
  </si>
  <si>
    <t>(FSE_Mathematical_Integer_Mode_Using_Erroneous_Condition_2_NT_Loop0_TestCase0, NO, 1742)</t>
  </si>
  <si>
    <t>(FSE_Mathematical_Integer_Mode_Using_Erroneous_Condition_1_T_Loop39_TestCase8, YES, 2513)
(FSE_Mathematical_Integer_Mode_Using_Erroneous_Condition_1_T_Loop39_TestCase9, YES, 1898)
(FSE_Mathematical_Integer_Mode_Using_Erroneous_Condition_1_T_Loop39_TestCase10, YES, 6317)
(FSE_Mathematical_Integer_Mode_Using_Erroneous_Condition_1_T_Loop39_TestCase1, YES, 2137)
(FSE_Mathematical_Integer_Mode_Using_Erroneous_Condition_1_T_Loop39_TestCase2, YES, 13049)
(FSE_Mathematical_Integer_Mode_Using_Erroneous_Condition_1_T_Loop39_TestCase3, YES, 4276)
(FSE_Mathematical_Integer_Mode_Using_Erroneous_Condition_1_T_Loop39_TestCase7, YES, 1895)
(FSE_Mathematical_Integer_Mode_Using_Erroneous_Condition_1_T_Loop39_TestCase6, YES, 2394)
(FSE_Mathematical_Integer_Mode_Using_Erroneous_Condition_1_T_Loop39_TestCase4, YES, 9053)
(FSE_Mathematical_Integer_Mode_Using_Erroneous_Condition_1_T_Loop39_TestCase5, YES, 4757)</t>
  </si>
  <si>
    <t>(FSE_Mathematical_Integer_Mode_Using_Erroneous_Condition_1_T_Loop0_TestCase8, YES, 2251)
(FSE_Mathematical_Integer_Mode_Using_Erroneous_Condition_1_T_Loop0_TestCase9, YES, 1865)
(FSE_Mathematical_Integer_Mode_Using_Erroneous_Condition_1_T_Loop0_TestCase10, YES, 2456)
(FSE_Mathematical_Integer_Mode_Using_Erroneous_Condition_1_T_Loop0_TestCase4, YES, 9802)
(FSE_Mathematical_Integer_Mode_Using_Erroneous_Condition_1_T_Loop0_TestCase5, YES, 4460)
(FSE_Mathematical_Integer_Mode_Using_Erroneous_Condition_1_T_Loop0_TestCase7, YES, 1851)
(FSE_Mathematical_Integer_Mode_Using_Erroneous_Condition_1_T_Loop0_TestCase6, YES, 2210)
(FSE_Mathematical_Integer_Mode_Using_Erroneous_Condition_1_T_Loop0_TestCase2, YES, 5802)
(FSE_Mathematical_Integer_Mode_Using_Erroneous_Condition_1_T_Loop0_TestCase3, YES, 4822)
(FSE_Mathematical_Integer_Mode_Using_Erroneous_Condition_1_T_Loop0_TestCase1, YES, 2297)</t>
  </si>
  <si>
    <t>(FSE_Mathematical_Integer_Mode_Using_Erroneous_Condition_1_T_Loop39_TestCase0, TIMEOUT, 302662)</t>
  </si>
  <si>
    <t>(FSE_Mathematical_Integer_Mode_Using_Erroneous_Condition_1_T_Loop0_TestCase0, TIMEOUT, 302679)</t>
  </si>
  <si>
    <t>(FSE_Mathematical_Integer_Mode_Using_Erroneous_Condition_1_NT_Loop39_TestCase8, NO, 2469)
(FSE_Mathematical_Integer_Mode_Using_Erroneous_Condition_1_NT_Loop39_TestCase9, NO, 2637)
(FSE_Mathematical_Integer_Mode_Using_Erroneous_Condition_1_NT_Loop39_TestCase1, YES, 1883)
(FSE_Mathematical_Integer_Mode_Using_Erroneous_Condition_1_NT_Loop39_TestCase2, YES, 2944)
(FSE_Mathematical_Integer_Mode_Using_Erroneous_Condition_1_NT_Loop39_TestCase10, NO, 2452)
(FSE_Mathematical_Integer_Mode_Using_Erroneous_Condition_1_NT_Loop39_TestCase3, YES, 4394)
(FSE_Mathematical_Integer_Mode_Using_Erroneous_Condition_1_NT_Loop39_TestCase7, NO, 2464)
(FSE_Mathematical_Integer_Mode_Using_Erroneous_Condition_1_NT_Loop39_TestCase6, NO, 2634)
(FSE_Mathematical_Integer_Mode_Using_Erroneous_Condition_1_NT_Loop39_TestCase4, YES, 3697)
(FSE_Mathematical_Integer_Mode_Using_Erroneous_Condition_1_NT_Loop39_TestCase5, YES, 6226)</t>
  </si>
  <si>
    <t>(FSE_Mathematical_Integer_Mode_Using_Erroneous_Condition_1_NT_Loop0_TestCase8, NO, 2340)
(FSE_Mathematical_Integer_Mode_Using_Erroneous_Condition_1_NT_Loop0_TestCase9, NO, 2399)
(FSE_Mathematical_Integer_Mode_Using_Erroneous_Condition_1_NT_Loop0_TestCase10, NO, 2350)
(FSE_Mathematical_Integer_Mode_Using_Erroneous_Condition_1_NT_Loop0_TestCase4, YES, 3350)
(FSE_Mathematical_Integer_Mode_Using_Erroneous_Condition_1_NT_Loop0_TestCase5, YES, 5680)
(FSE_Mathematical_Integer_Mode_Using_Erroneous_Condition_1_NT_Loop0_TestCase7, NO, 2585)
(FSE_Mathematical_Integer_Mode_Using_Erroneous_Condition_1_NT_Loop0_TestCase6, NO, 2591)
(FSE_Mathematical_Integer_Mode_Using_Erroneous_Condition_1_NT_Loop0_TestCase2, YES, 2557)
(FSE_Mathematical_Integer_Mode_Using_Erroneous_Condition_1_NT_Loop0_TestCase3, YES, 5016)
(FSE_Mathematical_Integer_Mode_Using_Erroneous_Condition_1_NT_Loop0_TestCase1, YES, 1989)</t>
  </si>
  <si>
    <t>(FSE_Mathematical_Integer_Mode_Using_Erroneous_Condition_1_NT_Loop39_TestCase0, NO, 2106)</t>
  </si>
  <si>
    <t>(FSE_Mathematical_Integer_Mode_Using_Erroneous_Condition_1_NT_Loop0_TestCase0, NO, 3495)</t>
  </si>
  <si>
    <t>(FSE_Mathematical_Integer_Mode_Unsigned_Wraparound_Error_4_T_Loop13_TestCase3, YES, 1752)
(FSE_Mathematical_Integer_Mode_Unsigned_Wraparound_Error_4_T_Loop13_TestCase2, YES, 1752)
(FSE_Mathematical_Integer_Mode_Unsigned_Wraparound_Error_4_T_Loop13_TestCase1, YES, 1769)
(FSE_Mathematical_Integer_Mode_Unsigned_Wraparound_Error_4_T_Loop13_TestCase5, YES, 1800)
(FSE_Mathematical_Integer_Mode_Unsigned_Wraparound_Error_4_T_Loop13_TestCase4, YES, 1871)
(FSE_Mathematical_Integer_Mode_Unsigned_Wraparound_Error_4_T_Loop13_TestCase6, YES, 1755)
(FSE_Mathematical_Integer_Mode_Unsigned_Wraparound_Error_4_T_Loop13_TestCase7, YES, 1741)
(FSE_Mathematical_Integer_Mode_Unsigned_Wraparound_Error_4_T_Loop13_TestCase9, YES, 1732)
(FSE_Mathematical_Integer_Mode_Unsigned_Wraparound_Error_4_T_Loop13_TestCase8, YES, 1755)
(FSE_Mathematical_Integer_Mode_Unsigned_Wraparound_Error_4_T_Loop13_TestCase10, YES, 1739)</t>
  </si>
  <si>
    <t>(FSE_Mathematical_Integer_Mode_Unsigned_Wraparound_Error_4_T_Loop0_TestCase1, YES, 1716)
(FSE_Mathematical_Integer_Mode_Unsigned_Wraparound_Error_4_T_Loop0_TestCase2, YES, 1692)
(FSE_Mathematical_Integer_Mode_Unsigned_Wraparound_Error_4_T_Loop0_TestCase3, YES, 1771)
(FSE_Mathematical_Integer_Mode_Unsigned_Wraparound_Error_4_T_Loop0_TestCase7, YES, 1713)
(FSE_Mathematical_Integer_Mode_Unsigned_Wraparound_Error_4_T_Loop0_TestCase6, YES, 1736)
(FSE_Mathematical_Integer_Mode_Unsigned_Wraparound_Error_4_T_Loop0_TestCase4, YES, 1733)
(FSE_Mathematical_Integer_Mode_Unsigned_Wraparound_Error_4_T_Loop0_TestCase5, YES, 1747)
(FSE_Mathematical_Integer_Mode_Unsigned_Wraparound_Error_4_T_Loop0_TestCase8, YES, 1714)
(FSE_Mathematical_Integer_Mode_Unsigned_Wraparound_Error_4_T_Loop0_TestCase9, YES, 1818)
(FSE_Mathematical_Integer_Mode_Unsigned_Wraparound_Error_4_T_Loop0_TestCase10, YES, 1683)</t>
  </si>
  <si>
    <t>(FSE_Mathematical_Integer_Mode_Unsigned_Wraparound_Error_4_T_Loop13_TestCase0, YES, 1790)</t>
  </si>
  <si>
    <t>(FSE_Mathematical_Integer_Mode_Unsigned_Wraparound_Error_4_T_Loop0_TestCase0, YES, 1779)</t>
  </si>
  <si>
    <t>(FSE_Mathematical_Integer_Mode_Unsigned_Wraparound_Error_4_NT_Loop15_TestCase1, YES, 1742)
(FSE_Mathematical_Integer_Mode_Unsigned_Wraparound_Error_4_NT_Loop15_TestCase3, YES, 1720)
(FSE_Mathematical_Integer_Mode_Unsigned_Wraparound_Error_4_NT_Loop15_TestCase2, YES, 1769)
(FSE_Mathematical_Integer_Mode_Unsigned_Wraparound_Error_4_NT_Loop15_TestCase6, YES, 2142)
(FSE_Mathematical_Integer_Mode_Unsigned_Wraparound_Error_4_NT_Loop15_TestCase7, YES, 2051)
(FSE_Mathematical_Integer_Mode_Unsigned_Wraparound_Error_4_NT_Loop15_TestCase5, YES, 2087)
(FSE_Mathematical_Integer_Mode_Unsigned_Wraparound_Error_4_NT_Loop15_TestCase4, YES, 2174)
(FSE_Mathematical_Integer_Mode_Unsigned_Wraparound_Error_4_NT_Loop15_TestCase10, YES, 2049)
(FSE_Mathematical_Integer_Mode_Unsigned_Wraparound_Error_4_NT_Loop15_TestCase9, YES, 2081)
(FSE_Mathematical_Integer_Mode_Unsigned_Wraparound_Error_4_NT_Loop15_TestCase8, YES, 2149)</t>
  </si>
  <si>
    <t>(FSE_Mathematical_Integer_Mode_Unsigned_Wraparound_Error_4_NT_Loop0_TestCase10, YES, 1908)
(FSE_Mathematical_Integer_Mode_Unsigned_Wraparound_Error_4_NT_Loop0_TestCase7, YES, 1826)
(FSE_Mathematical_Integer_Mode_Unsigned_Wraparound_Error_4_NT_Loop0_TestCase6, YES, 1991)
(FSE_Mathematical_Integer_Mode_Unsigned_Wraparound_Error_4_NT_Loop0_TestCase4, YES, 1739)
(FSE_Mathematical_Integer_Mode_Unsigned_Wraparound_Error_4_NT_Loop0_TestCase5, YES, 1921)
(FSE_Mathematical_Integer_Mode_Unsigned_Wraparound_Error_4_NT_Loop0_TestCase1, YES, 1704)
(FSE_Mathematical_Integer_Mode_Unsigned_Wraparound_Error_4_NT_Loop0_TestCase2, YES, 1726)
(FSE_Mathematical_Integer_Mode_Unsigned_Wraparound_Error_4_NT_Loop0_TestCase3, YES, 1735)
(FSE_Mathematical_Integer_Mode_Unsigned_Wraparound_Error_4_NT_Loop0_TestCase8, YES, 1938)
(FSE_Mathematical_Integer_Mode_Unsigned_Wraparound_Error_4_NT_Loop0_TestCase9, YES, 1849)</t>
  </si>
  <si>
    <t>(FSE_Mathematical_Integer_Mode_Unsigned_Wraparound_Error_4_NT_Loop15_TestCase0, YES, 1795)</t>
  </si>
  <si>
    <t>(FSE_Mathematical_Integer_Mode_Unsigned_Wraparound_Error_4_NT_Loop0_TestCase0, YES, 1937)</t>
  </si>
  <si>
    <t>(FSE_Mathematical_Integer_Mode_Unsigned_Wraparound_Error_3_T_Loop19_TestCase4, YES, 1760)
(FSE_Mathematical_Integer_Mode_Unsigned_Wraparound_Error_3_T_Loop19_TestCase5, YES, 1765)
(FSE_Mathematical_Integer_Mode_Unsigned_Wraparound_Error_3_T_Loop19_TestCase7, YES, 1756)
(FSE_Mathematical_Integer_Mode_Unsigned_Wraparound_Error_3_T_Loop19_TestCase6, YES, 1785)
(FSE_Mathematical_Integer_Mode_Unsigned_Wraparound_Error_3_T_Loop19_TestCase2, NO, 1826)
(FSE_Mathematical_Integer_Mode_Unsigned_Wraparound_Error_3_T_Loop19_TestCase3, YES, 1747)
(FSE_Mathematical_Integer_Mode_Unsigned_Wraparound_Error_3_T_Loop19_TestCase1, NO, 1758)
(FSE_Mathematical_Integer_Mode_Unsigned_Wraparound_Error_3_T_Loop19_TestCase10, YES, 1731)
(FSE_Mathematical_Integer_Mode_Unsigned_Wraparound_Error_3_T_Loop19_TestCase8, YES, 4204)
(FSE_Mathematical_Integer_Mode_Unsigned_Wraparound_Error_3_T_Loop19_TestCase9, YES, 1747)</t>
  </si>
  <si>
    <t>(FSE_Mathematical_Integer_Mode_Unsigned_Wraparound_Error_3_T_Loop0_TestCase9, YES, 1740)
(FSE_Mathematical_Integer_Mode_Unsigned_Wraparound_Error_3_T_Loop0_TestCase8, YES, 1687)
(FSE_Mathematical_Integer_Mode_Unsigned_Wraparound_Error_3_T_Loop0_TestCase6, YES, 1706)
(FSE_Mathematical_Integer_Mode_Unsigned_Wraparound_Error_3_T_Loop0_TestCase7, YES, 1685)
(FSE_Mathematical_Integer_Mode_Unsigned_Wraparound_Error_3_T_Loop0_TestCase5, YES, 1713)
(FSE_Mathematical_Integer_Mode_Unsigned_Wraparound_Error_3_T_Loop0_TestCase4, YES, 1746)
(FSE_Mathematical_Integer_Mode_Unsigned_Wraparound_Error_3_T_Loop0_TestCase1, NO, 1758)
(FSE_Mathematical_Integer_Mode_Unsigned_Wraparound_Error_3_T_Loop0_TestCase3, YES, 1748)
(FSE_Mathematical_Integer_Mode_Unsigned_Wraparound_Error_3_T_Loop0_TestCase2, NO, 1732)
(FSE_Mathematical_Integer_Mode_Unsigned_Wraparound_Error_3_T_Loop0_TestCase10, YES, 1728)</t>
  </si>
  <si>
    <t>(FSE_Mathematical_Integer_Mode_Unsigned_Wraparound_Error_3_T_Loop19_TestCase0, NO, 1847)</t>
  </si>
  <si>
    <t>(FSE_Mathematical_Integer_Mode_Unsigned_Wraparound_Error_3_T_Loop0_TestCase0, NO, 1888)</t>
  </si>
  <si>
    <t>(FSE_Mathematical_Integer_Mode_Unsigned_Wraparound_Error_3_NT_Loop20_TestCase9, YES, 2124)
(FSE_Mathematical_Integer_Mode_Unsigned_Wraparound_Error_3_NT_Loop20_TestCase8, YES, 2102)
(FSE_Mathematical_Integer_Mode_Unsigned_Wraparound_Error_3_NT_Loop20_TestCase5, YES, 1765)
(FSE_Mathematical_Integer_Mode_Unsigned_Wraparound_Error_3_NT_Loop20_TestCase10, YES, 2104)
(FSE_Mathematical_Integer_Mode_Unsigned_Wraparound_Error_3_NT_Loop20_TestCase4, YES, 1759)
(FSE_Mathematical_Integer_Mode_Unsigned_Wraparound_Error_3_NT_Loop20_TestCase6, YES, 2064)
(FSE_Mathematical_Integer_Mode_Unsigned_Wraparound_Error_3_NT_Loop20_TestCase7, YES, 2118)
(FSE_Mathematical_Integer_Mode_Unsigned_Wraparound_Error_3_NT_Loop20_TestCase3, YES, 1775)
(FSE_Mathematical_Integer_Mode_Unsigned_Wraparound_Error_3_NT_Loop20_TestCase2, YES, 1762)
(FSE_Mathematical_Integer_Mode_Unsigned_Wraparound_Error_3_NT_Loop20_TestCase1, YES, 1783)</t>
  </si>
  <si>
    <t>(FSE_Mathematical_Integer_Mode_Unsigned_Wraparound_Error_3_NT_Loop0_TestCase10, YES, 2018)
(FSE_Mathematical_Integer_Mode_Unsigned_Wraparound_Error_3_NT_Loop0_TestCase4, YES, 1717)
(FSE_Mathematical_Integer_Mode_Unsigned_Wraparound_Error_3_NT_Loop0_TestCase5, YES, 1747)
(FSE_Mathematical_Integer_Mode_Unsigned_Wraparound_Error_3_NT_Loop0_TestCase7, YES, 2042)
(FSE_Mathematical_Integer_Mode_Unsigned_Wraparound_Error_3_NT_Loop0_TestCase6, YES, 1868)
(FSE_Mathematical_Integer_Mode_Unsigned_Wraparound_Error_3_NT_Loop0_TestCase2, YES, 1724)
(FSE_Mathematical_Integer_Mode_Unsigned_Wraparound_Error_3_NT_Loop0_TestCase3, YES, 1780)
(FSE_Mathematical_Integer_Mode_Unsigned_Wraparound_Error_3_NT_Loop0_TestCase1, YES, 1747)
(FSE_Mathematical_Integer_Mode_Unsigned_Wraparound_Error_3_NT_Loop0_TestCase8, YES, 1869)
(FSE_Mathematical_Integer_Mode_Unsigned_Wraparound_Error_3_NT_Loop0_TestCase9, YES, 1976)</t>
  </si>
  <si>
    <t>(FSE_Mathematical_Integer_Mode_Unsigned_Wraparound_Error_3_NT_Loop20_TestCase0, NO, 1785)</t>
  </si>
  <si>
    <t>(FSE_Mathematical_Integer_Mode_Unsigned_Wraparound_Error_3_NT_Loop0_TestCase0, NO, 1944)</t>
  </si>
  <si>
    <t>(FSE_Mathematical_Integer_Mode_Unsigned_Wraparound_Error_2_T_Loop18_TestCase8, YES, 1767)
(FSE_Mathematical_Integer_Mode_Unsigned_Wraparound_Error_2_T_Loop18_TestCase9, YES, 1733)
(FSE_Mathematical_Integer_Mode_Unsigned_Wraparound_Error_2_T_Loop18_TestCase10, YES, 1783)
(FSE_Mathematical_Integer_Mode_Unsigned_Wraparound_Error_2_T_Loop18_TestCase7, YES, 1745)
(FSE_Mathematical_Integer_Mode_Unsigned_Wraparound_Error_2_T_Loop18_TestCase6, YES, 1747)
(FSE_Mathematical_Integer_Mode_Unsigned_Wraparound_Error_2_T_Loop18_TestCase4, YES, 1718)
(FSE_Mathematical_Integer_Mode_Unsigned_Wraparound_Error_2_T_Loop18_TestCase5, YES, 4327)
(FSE_Mathematical_Integer_Mode_Unsigned_Wraparound_Error_2_T_Loop18_TestCase1, YES, 1799)
(FSE_Mathematical_Integer_Mode_Unsigned_Wraparound_Error_2_T_Loop18_TestCase2, YES, 1715)
(FSE_Mathematical_Integer_Mode_Unsigned_Wraparound_Error_2_T_Loop18_TestCase3, YES, 1765)</t>
  </si>
  <si>
    <t>(FSE_Mathematical_Integer_Mode_Unsigned_Wraparound_Error_2_T_Loop0_TestCase5, YES, 1723)
(FSE_Mathematical_Integer_Mode_Unsigned_Wraparound_Error_2_T_Loop0_TestCase4, YES, 1744)
(FSE_Mathematical_Integer_Mode_Unsigned_Wraparound_Error_2_T_Loop0_TestCase6, YES, 1706)
(FSE_Mathematical_Integer_Mode_Unsigned_Wraparound_Error_2_T_Loop0_TestCase7, YES, 1706)
(FSE_Mathematical_Integer_Mode_Unsigned_Wraparound_Error_2_T_Loop0_TestCase3, YES, 1758)
(FSE_Mathematical_Integer_Mode_Unsigned_Wraparound_Error_2_T_Loop0_TestCase2, YES, 1734)
(FSE_Mathematical_Integer_Mode_Unsigned_Wraparound_Error_2_T_Loop0_TestCase1, YES, 1738)
(FSE_Mathematical_Integer_Mode_Unsigned_Wraparound_Error_2_T_Loop0_TestCase10, YES, 1691)
(FSE_Mathematical_Integer_Mode_Unsigned_Wraparound_Error_2_T_Loop0_TestCase9, YES, 1734)
(FSE_Mathematical_Integer_Mode_Unsigned_Wraparound_Error_2_T_Loop0_TestCase8, YES, 1711)</t>
  </si>
  <si>
    <t>(FSE_Mathematical_Integer_Mode_Unsigned_Wraparound_Error_2_T_Loop18_TestCase0, YES, 1781)</t>
  </si>
  <si>
    <t>(FSE_Mathematical_Integer_Mode_Unsigned_Wraparound_Error_2_T_Loop0_TestCase0, YES, 1809)</t>
  </si>
  <si>
    <t>(FSE_Mathematical_Integer_Mode_Unsigned_Wraparound_Error_2_NT_Loop18_TestCase10, YES, 1743)
(FSE_Mathematical_Integer_Mode_Unsigned_Wraparound_Error_2_NT_Loop18_TestCase9, YES, 2187)
(FSE_Mathematical_Integer_Mode_Unsigned_Wraparound_Error_2_NT_Loop18_TestCase8, YES, 2062)
(FSE_Mathematical_Integer_Mode_Unsigned_Wraparound_Error_2_NT_Loop18_TestCase6, YES, 4196)
(FSE_Mathematical_Integer_Mode_Unsigned_Wraparound_Error_2_NT_Loop18_TestCase7, YES, 2078)
(FSE_Mathematical_Integer_Mode_Unsigned_Wraparound_Error_2_NT_Loop18_TestCase5, YES, 1737)
(FSE_Mathematical_Integer_Mode_Unsigned_Wraparound_Error_2_NT_Loop18_TestCase4, YES, 1727)
(FSE_Mathematical_Integer_Mode_Unsigned_Wraparound_Error_2_NT_Loop18_TestCase1, YES, 1705)
(FSE_Mathematical_Integer_Mode_Unsigned_Wraparound_Error_2_NT_Loop18_TestCase3, YES, 1740)
(FSE_Mathematical_Integer_Mode_Unsigned_Wraparound_Error_2_NT_Loop18_TestCase2, YES, 1813)</t>
  </si>
  <si>
    <t>(FSE_Mathematical_Integer_Mode_Unsigned_Wraparound_Error_2_NT_Loop0_TestCase1, YES, 1740)
(FSE_Mathematical_Integer_Mode_Unsigned_Wraparound_Error_2_NT_Loop0_TestCase3, YES, 1762)
(FSE_Mathematical_Integer_Mode_Unsigned_Wraparound_Error_2_NT_Loop0_TestCase2, YES, 1714)
(FSE_Mathematical_Integer_Mode_Unsigned_Wraparound_Error_2_NT_Loop0_TestCase6, YES, 1718)
(FSE_Mathematical_Integer_Mode_Unsigned_Wraparound_Error_2_NT_Loop0_TestCase7, YES, 1977)
(FSE_Mathematical_Integer_Mode_Unsigned_Wraparound_Error_2_NT_Loop0_TestCase5, YES, 1713)
(FSE_Mathematical_Integer_Mode_Unsigned_Wraparound_Error_2_NT_Loop0_TestCase4, YES, 1696)
(FSE_Mathematical_Integer_Mode_Unsigned_Wraparound_Error_2_NT_Loop0_TestCase10, YES, 1670)
(FSE_Mathematical_Integer_Mode_Unsigned_Wraparound_Error_2_NT_Loop0_TestCase9, YES, 1865)
(FSE_Mathematical_Integer_Mode_Unsigned_Wraparound_Error_2_NT_Loop0_TestCase8, YES, 2006)</t>
  </si>
  <si>
    <t>(FSE_Mathematical_Integer_Mode_Unsigned_Wraparound_Error_2_NT_Loop18_TestCase0, YES, 1801)</t>
  </si>
  <si>
    <t>(FSE_Mathematical_Integer_Mode_Unsigned_Wraparound_Error_2_NT_Loop0_TestCase0, YES, 1781)</t>
  </si>
  <si>
    <t>(FSE_Mathematical_Integer_Mode_Unsigned_Wraparound_Error_1_T_Loop22_TestCase8, YES, 1723)
(FSE_Mathematical_Integer_Mode_Unsigned_Wraparound_Error_1_T_Loop22_TestCase9, YES, 1759)
(FSE_Mathematical_Integer_Mode_Unsigned_Wraparound_Error_1_T_Loop22_TestCase7, YES, 1734)
(FSE_Mathematical_Integer_Mode_Unsigned_Wraparound_Error_1_T_Loop22_TestCase6, YES, 1713)
(FSE_Mathematical_Integer_Mode_Unsigned_Wraparound_Error_1_T_Loop22_TestCase4, YES, 2298)
(FSE_Mathematical_Integer_Mode_Unsigned_Wraparound_Error_1_T_Loop22_TestCase5, YES, 1736)
(FSE_Mathematical_Integer_Mode_Unsigned_Wraparound_Error_1_T_Loop22_TestCase1, YES, 1758)
(FSE_Mathematical_Integer_Mode_Unsigned_Wraparound_Error_1_T_Loop22_TestCase2, YES, 1733)
(FSE_Mathematical_Integer_Mode_Unsigned_Wraparound_Error_1_T_Loop22_TestCase3, YES, 1764)
(FSE_Mathematical_Integer_Mode_Unsigned_Wraparound_Error_1_T_Loop22_TestCase10, YES, 1743)</t>
  </si>
  <si>
    <t>(FSE_Mathematical_Integer_Mode_Unsigned_Wraparound_Error_1_T_Loop0_TestCase8, YES, 1695)
(FSE_Mathematical_Integer_Mode_Unsigned_Wraparound_Error_1_T_Loop0_TestCase9, YES, 1733)
(FSE_Mathematical_Integer_Mode_Unsigned_Wraparound_Error_1_T_Loop0_TestCase1, YES, 1698)
(FSE_Mathematical_Integer_Mode_Unsigned_Wraparound_Error_1_T_Loop0_TestCase2, YES, 1711)
(FSE_Mathematical_Integer_Mode_Unsigned_Wraparound_Error_1_T_Loop0_TestCase3, YES, 1733)
(FSE_Mathematical_Integer_Mode_Unsigned_Wraparound_Error_1_T_Loop0_TestCase10, YES, 1714)
(FSE_Mathematical_Integer_Mode_Unsigned_Wraparound_Error_1_T_Loop0_TestCase7, YES, 1704)
(FSE_Mathematical_Integer_Mode_Unsigned_Wraparound_Error_1_T_Loop0_TestCase6, YES, 1696)
(FSE_Mathematical_Integer_Mode_Unsigned_Wraparound_Error_1_T_Loop0_TestCase4, YES, 1703)
(FSE_Mathematical_Integer_Mode_Unsigned_Wraparound_Error_1_T_Loop0_TestCase5, YES, 1725)</t>
  </si>
  <si>
    <t>(FSE_Mathematical_Integer_Mode_Unsigned_Wraparound_Error_1_T_Loop22_TestCase0, YES, 1808)</t>
  </si>
  <si>
    <t>(FSE_Mathematical_Integer_Mode_Unsigned_Wraparound_Error_1_T_Loop0_TestCase0, YES, 1770)</t>
  </si>
  <si>
    <t>(FSE_Mathematical_Integer_Mode_Unsigned_Wraparound_Error_1_NT_Loop22_TestCase9, YES, 1741)
(FSE_Mathematical_Integer_Mode_Unsigned_Wraparound_Error_1_NT_Loop22_TestCase8, YES, 1768)
(FSE_Mathematical_Integer_Mode_Unsigned_Wraparound_Error_1_NT_Loop22_TestCase10, YES, 1721)
(FSE_Mathematical_Integer_Mode_Unsigned_Wraparound_Error_1_NT_Loop22_TestCase6, YES, 1746)
(FSE_Mathematical_Integer_Mode_Unsigned_Wraparound_Error_1_NT_Loop22_TestCase7, YES, 1744)
(FSE_Mathematical_Integer_Mode_Unsigned_Wraparound_Error_1_NT_Loop22_TestCase5, YES, 1781)
(FSE_Mathematical_Integer_Mode_Unsigned_Wraparound_Error_1_NT_Loop22_TestCase4, YES, 1725)
(FSE_Mathematical_Integer_Mode_Unsigned_Wraparound_Error_1_NT_Loop22_TestCase1, YES, 1702)
(FSE_Mathematical_Integer_Mode_Unsigned_Wraparound_Error_1_NT_Loop22_TestCase3, YES, 4482)
(FSE_Mathematical_Integer_Mode_Unsigned_Wraparound_Error_1_NT_Loop22_TestCase2, YES, 1729)</t>
  </si>
  <si>
    <t>(FSE_Mathematical_Integer_Mode_Unsigned_Wraparound_Error_1_NT_Loop0_TestCase5, YES, 1721)
(FSE_Mathematical_Integer_Mode_Unsigned_Wraparound_Error_1_NT_Loop0_TestCase4, YES, 1766)
(FSE_Mathematical_Integer_Mode_Unsigned_Wraparound_Error_1_NT_Loop0_TestCase6, YES, 1726)
(FSE_Mathematical_Integer_Mode_Unsigned_Wraparound_Error_1_NT_Loop0_TestCase7, YES, 1719)
(FSE_Mathematical_Integer_Mode_Unsigned_Wraparound_Error_1_NT_Loop0_TestCase3, YES, 1762)
(FSE_Mathematical_Integer_Mode_Unsigned_Wraparound_Error_1_NT_Loop0_TestCase2, YES, 1715)
(FSE_Mathematical_Integer_Mode_Unsigned_Wraparound_Error_1_NT_Loop0_TestCase1, YES, 1707)
(FSE_Mathematical_Integer_Mode_Unsigned_Wraparound_Error_1_NT_Loop0_TestCase10, YES, 1737)
(FSE_Mathematical_Integer_Mode_Unsigned_Wraparound_Error_1_NT_Loop0_TestCase9, YES, 1716)
(FSE_Mathematical_Integer_Mode_Unsigned_Wraparound_Error_1_NT_Loop0_TestCase8, YES, 1718)</t>
  </si>
  <si>
    <t>(FSE_Mathematical_Integer_Mode_Unsigned_Wraparound_Error_1_NT_Loop22_TestCase0, NO, 2077)</t>
  </si>
  <si>
    <t>(FSE_Mathematical_Integer_Mode_Unsigned_Wraparound_Error_1_NT_Loop0_TestCase0, NO, 1884)</t>
  </si>
  <si>
    <t>(FSE_Mathematical_Integer_Mode_Undefined_Behavior_3_T_Loop15_TestCase1, ERROR, 1676)
(FSE_Mathematical_Integer_Mode_Undefined_Behavior_3_T_Loop15_TestCase3, ERROR, 1659)
(FSE_Mathematical_Integer_Mode_Undefined_Behavior_3_T_Loop15_TestCase2, ERROR, 1647)
(FSE_Mathematical_Integer_Mode_Undefined_Behavior_3_T_Loop15_TestCase6, ERROR, 1631)
(FSE_Mathematical_Integer_Mode_Undefined_Behavior_3_T_Loop15_TestCase7, ERROR, 1648)
(FSE_Mathematical_Integer_Mode_Undefined_Behavior_3_T_Loop15_TestCase5, ERROR, 1638)
(FSE_Mathematical_Integer_Mode_Undefined_Behavior_3_T_Loop15_TestCase4, ERROR, 1654)
(FSE_Mathematical_Integer_Mode_Undefined_Behavior_3_T_Loop15_TestCase9, ERROR, 1640)
(FSE_Mathematical_Integer_Mode_Undefined_Behavior_3_T_Loop15_TestCase8, ERROR, 1707)
(FSE_Mathematical_Integer_Mode_Undefined_Behavior_3_T_Loop15_TestCase10, ERROR, 1664)</t>
  </si>
  <si>
    <t>(FSE_Mathematical_Integer_Mode_Undefined_Behavior_3_T_Loop0_TestCase10, ERROR, 1629)
(FSE_Mathematical_Integer_Mode_Undefined_Behavior_3_T_Loop0_TestCase9, ERROR, 1626)
(FSE_Mathematical_Integer_Mode_Undefined_Behavior_3_T_Loop0_TestCase8, ERROR, 1680)
(FSE_Mathematical_Integer_Mode_Undefined_Behavior_3_T_Loop0_TestCase3, ERROR, 1637)
(FSE_Mathematical_Integer_Mode_Undefined_Behavior_3_T_Loop0_TestCase2, ERROR, 1699)
(FSE_Mathematical_Integer_Mode_Undefined_Behavior_3_T_Loop0_TestCase1, ERROR, 1653)
(FSE_Mathematical_Integer_Mode_Undefined_Behavior_3_T_Loop0_TestCase5, ERROR, 1690)
(FSE_Mathematical_Integer_Mode_Undefined_Behavior_3_T_Loop0_TestCase4, ERROR, 1624)
(FSE_Mathematical_Integer_Mode_Undefined_Behavior_3_T_Loop0_TestCase6, ERROR, 1655)
(FSE_Mathematical_Integer_Mode_Undefined_Behavior_3_T_Loop0_TestCase7, ERROR, 1630)</t>
  </si>
  <si>
    <t>(FSE_Mathematical_Integer_Mode_Undefined_Behavior_3_T_Loop15_TestCase0, ERROR, 1690)</t>
  </si>
  <si>
    <t>(FSE_Mathematical_Integer_Mode_Undefined_Behavior_3_T_Loop0_TestCase0, ERROR, 1664)</t>
  </si>
  <si>
    <t>(FSE_Mathematical_Integer_Mode_Undefined_Behavior_3_Loop15_TestCase4, ERROR, 1631)
(FSE_Mathematical_Integer_Mode_Undefined_Behavior_3_Loop15_TestCase5, ERROR, 1647)
(FSE_Mathematical_Integer_Mode_Undefined_Behavior_3_Loop15_TestCase7, ERROR, 1638)
(FSE_Mathematical_Integer_Mode_Undefined_Behavior_3_Loop15_TestCase6, ERROR, 1630)
(FSE_Mathematical_Integer_Mode_Undefined_Behavior_3_Loop15_TestCase2, ERROR, 1615)
(FSE_Mathematical_Integer_Mode_Undefined_Behavior_3_Loop15_TestCase3, ERROR, 1651)
(FSE_Mathematical_Integer_Mode_Undefined_Behavior_3_Loop15_TestCase1, ERROR, 1646)
(FSE_Mathematical_Integer_Mode_Undefined_Behavior_3_Loop15_TestCase10, ERROR, 1640)
(FSE_Mathematical_Integer_Mode_Undefined_Behavior_3_Loop15_TestCase8, ERROR, 1668)
(FSE_Mathematical_Integer_Mode_Undefined_Behavior_3_Loop15_TestCase9, ERROR, 1651)</t>
  </si>
  <si>
    <t>(FSE_Mathematical_Integer_Mode_Undefined_Behavior_3_Loop0_TestCase8, ERROR, 1641)
(FSE_Mathematical_Integer_Mode_Undefined_Behavior_3_Loop0_TestCase9, ERROR, 1609)
(FSE_Mathematical_Integer_Mode_Undefined_Behavior_3_Loop0_TestCase10, ERROR, 1623)
(FSE_Mathematical_Integer_Mode_Undefined_Behavior_3_Loop0_TestCase4, ERROR, 1666)
(FSE_Mathematical_Integer_Mode_Undefined_Behavior_3_Loop0_TestCase5, ERROR, 1621)
(FSE_Mathematical_Integer_Mode_Undefined_Behavior_3_Loop0_TestCase7, ERROR, 1600)
(FSE_Mathematical_Integer_Mode_Undefined_Behavior_3_Loop0_TestCase6, ERROR, 1636)
(FSE_Mathematical_Integer_Mode_Undefined_Behavior_3_Loop0_TestCase2, ERROR, 1619)
(FSE_Mathematical_Integer_Mode_Undefined_Behavior_3_Loop0_TestCase3, ERROR, 1652)
(FSE_Mathematical_Integer_Mode_Undefined_Behavior_3_Loop0_TestCase1, ERROR, 1630)</t>
  </si>
  <si>
    <t>(FSE_Mathematical_Integer_Mode_Undefined_Behavior_3_Loop15_TestCase0, ERROR, 1639)</t>
  </si>
  <si>
    <t>(FSE_Mathematical_Integer_Mode_Undefined_Behavior_3_Loop0_TestCase0, ERROR, 1672)</t>
  </si>
  <si>
    <t>(FSE_Mathematical_Integer_Mode_Undefined_Behavior_2_T_Loop25_TestCase5, ERROR, 1756)
(FSE_Mathematical_Integer_Mode_Undefined_Behavior_2_T_Loop25_TestCase4, ERROR, 1744)
(FSE_Mathematical_Integer_Mode_Undefined_Behavior_2_T_Loop25_TestCase6, ERROR, 1768)
(FSE_Mathematical_Integer_Mode_Undefined_Behavior_2_T_Loop25_TestCase7, ERROR, 1764)
(FSE_Mathematical_Integer_Mode_Undefined_Behavior_2_T_Loop25_TestCase3, ERROR, 1791)
(FSE_Mathematical_Integer_Mode_Undefined_Behavior_2_T_Loop25_TestCase2, ERROR, 1736)
(FSE_Mathematical_Integer_Mode_Undefined_Behavior_2_T_Loop25_TestCase1, ERROR, 1749)
(FSE_Mathematical_Integer_Mode_Undefined_Behavior_2_T_Loop14_TestCase9, ERROR, 1809)
(FSE_Mathematical_Integer_Mode_Undefined_Behavior_2_T_Loop14_TestCase8, ERROR, 1797)
(FSE_Mathematical_Integer_Mode_Undefined_Behavior_2_T_Loop14_TestCase10, ERROR, 1762)
(FSE_Mathematical_Integer_Mode_Undefined_Behavior_2_T_Loop14_TestCase3, ERROR, 1724)
(FSE_Mathematical_Integer_Mode_Undefined_Behavior_2_T_Loop14_TestCase2, ERROR, 1709)
(FSE_Mathematical_Integer_Mode_Undefined_Behavior_2_T_Loop14_TestCase1, ERROR, 1740)
(FSE_Mathematical_Integer_Mode_Undefined_Behavior_2_T_Loop14_TestCase5, ERROR, 1775)
(FSE_Mathematical_Integer_Mode_Undefined_Behavior_2_T_Loop14_TestCase4, ERROR, 1791)
(FSE_Mathematical_Integer_Mode_Undefined_Behavior_2_T_Loop14_TestCase6, ERROR, 1816)
(FSE_Mathematical_Integer_Mode_Undefined_Behavior_2_T_Loop14_TestCase7, ERROR, 1887)
(FSE_Mathematical_Integer_Mode_Undefined_Behavior_2_T_Loop25_TestCase9, ERROR, 1773)
(FSE_Mathematical_Integer_Mode_Undefined_Behavior_2_T_Loop25_TestCase10, ERROR, 1808)
(FSE_Mathematical_Integer_Mode_Undefined_Behavior_2_T_Loop25_TestCase8, ERROR, 1778)</t>
  </si>
  <si>
    <t>(FSE_Mathematical_Integer_Mode_Undefined_Behavior_2_T_Loop0_TestCase1, ERROR, 1790)
(FSE_Mathematical_Integer_Mode_Undefined_Behavior_2_T_Loop0_TestCase3, ERROR, 1685)
(FSE_Mathematical_Integer_Mode_Undefined_Behavior_2_T_Loop0_TestCase2, ERROR, 1715)
(FSE_Mathematical_Integer_Mode_Undefined_Behavior_2_T_Loop0_TestCase6, ERROR, 1846)
(FSE_Mathematical_Integer_Mode_Undefined_Behavior_2_T_Loop0_TestCase7, ERROR, 1735)
(FSE_Mathematical_Integer_Mode_Undefined_Behavior_2_T_Loop0_TestCase5, ERROR, 1808)
(FSE_Mathematical_Integer_Mode_Undefined_Behavior_2_T_Loop0_TestCase10, ERROR, 1797)
(FSE_Mathematical_Integer_Mode_Undefined_Behavior_2_T_Loop0_TestCase4, ERROR, 1736)
(FSE_Mathematical_Integer_Mode_Undefined_Behavior_2_T_Loop0_TestCase9, ERROR, 1846)
(FSE_Mathematical_Integer_Mode_Undefined_Behavior_2_T_Loop0_TestCase8, ERROR, 1810)</t>
  </si>
  <si>
    <t>(FSE_Mathematical_Integer_Mode_Undefined_Behavior_2_T_Loop25_TestCase0, ERROR, 1789)
(FSE_Mathematical_Integer_Mode_Undefined_Behavior_2_T_Loop14_TestCase0, ERROR, 1784)</t>
  </si>
  <si>
    <t>(FSE_Mathematical_Integer_Mode_Undefined_Behavior_2_T_Loop0_TestCase0, ERROR, 1750)</t>
  </si>
  <si>
    <t>(FSE_Mathematical_Integer_Mode_Undefined_Behavior_2_Loop24_TestCase8, ERROR, 1798)
(FSE_Mathematical_Integer_Mode_Undefined_Behavior_2_Loop24_TestCase9, ERROR, 1761)
(FSE_Mathematical_Integer_Mode_Undefined_Behavior_2_Loop13_TestCase10, ERROR, 1772)
(FSE_Mathematical_Integer_Mode_Undefined_Behavior_2_Loop13_TestCase8, ERROR, 1798)
(FSE_Mathematical_Integer_Mode_Undefined_Behavior_2_Loop13_TestCase9, ERROR, 1802)
(FSE_Mathematical_Integer_Mode_Undefined_Behavior_2_Loop13_TestCase4, ERROR, 4266)
(FSE_Mathematical_Integer_Mode_Undefined_Behavior_2_Loop13_TestCase5, ERROR, 1742)
(FSE_Mathematical_Integer_Mode_Undefined_Behavior_2_Loop13_TestCase7, ERROR, 1772)
(FSE_Mathematical_Integer_Mode_Undefined_Behavior_2_Loop13_TestCase6, ERROR, 1754)
(FSE_Mathematical_Integer_Mode_Undefined_Behavior_2_Loop13_TestCase2, ERROR, 1738)
(FSE_Mathematical_Integer_Mode_Undefined_Behavior_2_Loop13_TestCase3, ERROR, 1737)
(FSE_Mathematical_Integer_Mode_Undefined_Behavior_2_Loop13_TestCase1, ERROR, 1704)
(FSE_Mathematical_Integer_Mode_Undefined_Behavior_2_Loop24_TestCase1, ERROR, 1785)
(FSE_Mathematical_Integer_Mode_Undefined_Behavior_2_Loop24_TestCase2, ERROR, 1707)
(FSE_Mathematical_Integer_Mode_Undefined_Behavior_2_Loop24_TestCase3, ERROR, 1765)
(FSE_Mathematical_Integer_Mode_Undefined_Behavior_2_Loop24_TestCase7, ERROR, 1760)
(FSE_Mathematical_Integer_Mode_Undefined_Behavior_2_Loop24_TestCase10, ERROR, 1813)
(FSE_Mathematical_Integer_Mode_Undefined_Behavior_2_Loop24_TestCase6, ERROR, 1723)
(FSE_Mathematical_Integer_Mode_Undefined_Behavior_2_Loop24_TestCase4, ERROR, 1743)
(FSE_Mathematical_Integer_Mode_Undefined_Behavior_2_Loop24_TestCase5, ERROR, 1779)</t>
  </si>
  <si>
    <t>(FSE_Mathematical_Integer_Mode_Undefined_Behavior_2_Loop0_TestCase10, ERROR, 1775)
(FSE_Mathematical_Integer_Mode_Undefined_Behavior_2_Loop0_TestCase9, ERROR, 1803)
(FSE_Mathematical_Integer_Mode_Undefined_Behavior_2_Loop0_TestCase8, ERROR, 1704)
(FSE_Mathematical_Integer_Mode_Undefined_Behavior_2_Loop0_TestCase5, ERROR, 1720)
(FSE_Mathematical_Integer_Mode_Undefined_Behavior_2_Loop0_TestCase4, ERROR, 1794)
(FSE_Mathematical_Integer_Mode_Undefined_Behavior_2_Loop0_TestCase6, ERROR, 1818)
(FSE_Mathematical_Integer_Mode_Undefined_Behavior_2_Loop0_TestCase7, ERROR, 1756)
(FSE_Mathematical_Integer_Mode_Undefined_Behavior_2_Loop0_TestCase3, ERROR, 1688)
(FSE_Mathematical_Integer_Mode_Undefined_Behavior_2_Loop0_TestCase2, ERROR, 1689)
(FSE_Mathematical_Integer_Mode_Undefined_Behavior_2_Loop0_TestCase1, ERROR, 1682)</t>
  </si>
  <si>
    <t>(FSE_Mathematical_Integer_Mode_Undefined_Behavior_2_Loop13_TestCase0, ERROR, 1854)
(FSE_Mathematical_Integer_Mode_Undefined_Behavior_2_Loop24_TestCase0, ERROR, 1809)</t>
  </si>
  <si>
    <t>(FSE_Mathematical_Integer_Mode_Undefined_Behavior_2_Loop0_TestCase0, ERROR, 1740)</t>
  </si>
  <si>
    <t>(FSE_Mathematical_Integer_Mode_Undefined_Behavior_1_T_Loop15_TestCase10, ERROR, 1602)
(FSE_Mathematical_Integer_Mode_Undefined_Behavior_1_T_Loop15_TestCase1, ERROR, 1660)
(FSE_Mathematical_Integer_Mode_Undefined_Behavior_1_T_Loop15_TestCase2, ERROR, 1650)
(FSE_Mathematical_Integer_Mode_Undefined_Behavior_1_T_Loop15_TestCase3, ERROR, 1603)
(FSE_Mathematical_Integer_Mode_Undefined_Behavior_1_T_Loop15_TestCase7, ERROR, 1712)
(FSE_Mathematical_Integer_Mode_Undefined_Behavior_1_T_Loop15_TestCase6, ERROR, 1658)
(FSE_Mathematical_Integer_Mode_Undefined_Behavior_1_T_Loop15_TestCase4, ERROR, 1643)
(FSE_Mathematical_Integer_Mode_Undefined_Behavior_1_T_Loop15_TestCase5, ERROR, 1611)
(FSE_Mathematical_Integer_Mode_Undefined_Behavior_1_T_Loop15_TestCase8, ERROR, 1643)
(FSE_Mathematical_Integer_Mode_Undefined_Behavior_1_T_Loop15_TestCase9, ERROR, 1639)</t>
  </si>
  <si>
    <t>(FSE_Mathematical_Integer_Mode_Undefined_Behavior_1_T_Loop0_TestCase10, ERROR, 1602)
(FSE_Mathematical_Integer_Mode_Undefined_Behavior_1_T_Loop0_TestCase8, ERROR, 1591)
(FSE_Mathematical_Integer_Mode_Undefined_Behavior_1_T_Loop0_TestCase9, ERROR, 1574)
(FSE_Mathematical_Integer_Mode_Undefined_Behavior_1_T_Loop0_TestCase4, ERROR, 1577)
(FSE_Mathematical_Integer_Mode_Undefined_Behavior_1_T_Loop0_TestCase5, ERROR, 1621)
(FSE_Mathematical_Integer_Mode_Undefined_Behavior_1_T_Loop0_TestCase7, ERROR, 1609)
(FSE_Mathematical_Integer_Mode_Undefined_Behavior_1_T_Loop0_TestCase6, ERROR, 1606)
(FSE_Mathematical_Integer_Mode_Undefined_Behavior_1_T_Loop0_TestCase2, ERROR, 1628)
(FSE_Mathematical_Integer_Mode_Undefined_Behavior_1_T_Loop0_TestCase3, ERROR, 1603)
(FSE_Mathematical_Integer_Mode_Undefined_Behavior_1_T_Loop0_TestCase1, ERROR, 1616)</t>
  </si>
  <si>
    <t>(FSE_Mathematical_Integer_Mode_Undefined_Behavior_1_T_Loop15_TestCase0, ERROR, 1638)</t>
  </si>
  <si>
    <t>(FSE_Mathematical_Integer_Mode_Undefined_Behavior_1_T_Loop0_TestCase0, ERROR, 1695)</t>
  </si>
  <si>
    <t>(FSE_Mathematical_Integer_Mode_Undefined_Behavior_1_Loop14_TestCase4, ERROR, 1686)
(FSE_Mathematical_Integer_Mode_Undefined_Behavior_1_Loop14_TestCase5, ERROR, 1662)
(FSE_Mathematical_Integer_Mode_Undefined_Behavior_1_Loop14_TestCase7, ERROR, 1639)
(FSE_Mathematical_Integer_Mode_Undefined_Behavior_1_Loop14_TestCase6, ERROR, 3910)
(FSE_Mathematical_Integer_Mode_Undefined_Behavior_1_Loop14_TestCase2, ERROR, 1659)
(FSE_Mathematical_Integer_Mode_Undefined_Behavior_1_Loop14_TestCase3, ERROR, 1647)
(FSE_Mathematical_Integer_Mode_Undefined_Behavior_1_Loop14_TestCase1, ERROR, 1620)
(FSE_Mathematical_Integer_Mode_Undefined_Behavior_1_Loop14_TestCase8, ERROR, 1648)
(FSE_Mathematical_Integer_Mode_Undefined_Behavior_1_Loop14_TestCase9, ERROR, 1612)
(FSE_Mathematical_Integer_Mode_Undefined_Behavior_1_Loop14_TestCase10, ERROR, 1616)</t>
  </si>
  <si>
    <t>(FSE_Mathematical_Integer_Mode_Undefined_Behavior_1_Loop0_TestCase8, ERROR, 1608)
(FSE_Mathematical_Integer_Mode_Undefined_Behavior_1_Loop0_TestCase9, ERROR, 1620)
(FSE_Mathematical_Integer_Mode_Undefined_Behavior_1_Loop0_TestCase7, ERROR, 1574)
(FSE_Mathematical_Integer_Mode_Undefined_Behavior_1_Loop0_TestCase6, ERROR, 1607)
(FSE_Mathematical_Integer_Mode_Undefined_Behavior_1_Loop0_TestCase10, ERROR, 1595)
(FSE_Mathematical_Integer_Mode_Undefined_Behavior_1_Loop0_TestCase4, ERROR, 1612)
(FSE_Mathematical_Integer_Mode_Undefined_Behavior_1_Loop0_TestCase5, ERROR, 1582)
(FSE_Mathematical_Integer_Mode_Undefined_Behavior_1_Loop0_TestCase1, ERROR, 1619)
(FSE_Mathematical_Integer_Mode_Undefined_Behavior_1_Loop0_TestCase2, ERROR, 1579)
(FSE_Mathematical_Integer_Mode_Undefined_Behavior_1_Loop0_TestCase3, ERROR, 1628)</t>
  </si>
  <si>
    <t>(FSE_Mathematical_Integer_Mode_Undefined_Behavior_1_Loop14_TestCase0, ERROR, 1626)</t>
  </si>
  <si>
    <t>(FSE_Mathematical_Integer_Mode_Undefined_Behavior_1_Loop0_TestCase0, ERROR, 1639)</t>
  </si>
  <si>
    <t>(FSE_Mathematical_Integer_Mode_Type_Conversion_in_Comparison_2_T_Loop16_TestCase10, NO, 1758)
(FSE_Mathematical_Integer_Mode_Type_Conversion_in_Comparison_2_T_Loop16_TestCase3, YES, 1718)
(FSE_Mathematical_Integer_Mode_Type_Conversion_in_Comparison_2_T_Loop16_TestCase2, YES, 1757)
(FSE_Mathematical_Integer_Mode_Type_Conversion_in_Comparison_2_T_Loop16_TestCase1, YES, 1725)
(FSE_Mathematical_Integer_Mode_Type_Conversion_in_Comparison_2_T_Loop16_TestCase5, NO, 1755)
(FSE_Mathematical_Integer_Mode_Type_Conversion_in_Comparison_2_T_Loop16_TestCase4, YES, 1750)
(FSE_Mathematical_Integer_Mode_Type_Conversion_in_Comparison_2_T_Loop16_TestCase6, YES, 1729)
(FSE_Mathematical_Integer_Mode_Type_Conversion_in_Comparison_2_T_Loop16_TestCase7, NO, 1718)
(FSE_Mathematical_Integer_Mode_Type_Conversion_in_Comparison_2_T_Loop16_TestCase9, NO, 1773)
(FSE_Mathematical_Integer_Mode_Type_Conversion_in_Comparison_2_T_Loop16_TestCase8, NO, 1775)</t>
  </si>
  <si>
    <t>(FSE_Mathematical_Integer_Mode_Type_Conversion_in_Comparison_2_T_Loop0_TestCase10, NO, 1761)
(FSE_Mathematical_Integer_Mode_Type_Conversion_in_Comparison_2_T_Loop0_TestCase8, NO, 1724)
(FSE_Mathematical_Integer_Mode_Type_Conversion_in_Comparison_2_T_Loop0_TestCase9, NO, 1827)
(FSE_Mathematical_Integer_Mode_Type_Conversion_in_Comparison_2_T_Loop0_TestCase4, YES, 1720)
(FSE_Mathematical_Integer_Mode_Type_Conversion_in_Comparison_2_T_Loop0_TestCase5, NO, 1731)
(FSE_Mathematical_Integer_Mode_Type_Conversion_in_Comparison_2_T_Loop0_TestCase7, NO, 1728)
(FSE_Mathematical_Integer_Mode_Type_Conversion_in_Comparison_2_T_Loop0_TestCase6, YES, 1760)
(FSE_Mathematical_Integer_Mode_Type_Conversion_in_Comparison_2_T_Loop0_TestCase2, YES, 1750)
(FSE_Mathematical_Integer_Mode_Type_Conversion_in_Comparison_2_T_Loop0_TestCase3, YES, 1716)
(FSE_Mathematical_Integer_Mode_Type_Conversion_in_Comparison_2_T_Loop0_TestCase1, YES, 1702)</t>
  </si>
  <si>
    <t>(FSE_Mathematical_Integer_Mode_Type_Conversion_in_Comparison_2_T_Loop16_TestCase0, NO, 1861)</t>
  </si>
  <si>
    <t>(FSE_Mathematical_Integer_Mode_Type_Conversion_in_Comparison_2_T_Loop0_TestCase0, NO, 1997)</t>
  </si>
  <si>
    <t>(FSE_Mathematical_Integer_Mode_Type_Conversion_in_Comparison_2_NT_Loop17_TestCase5, NO, 1783)
(FSE_Mathematical_Integer_Mode_Type_Conversion_in_Comparison_2_NT_Loop17_TestCase4, YES, 1747)
(FSE_Mathematical_Integer_Mode_Type_Conversion_in_Comparison_2_NT_Loop17_TestCase6, YES, 1711)
(FSE_Mathematical_Integer_Mode_Type_Conversion_in_Comparison_2_NT_Loop17_TestCase7, NO, 1742)
(FSE_Mathematical_Integer_Mode_Type_Conversion_in_Comparison_2_NT_Loop17_TestCase3, YES, 1723)
(FSE_Mathematical_Integer_Mode_Type_Conversion_in_Comparison_2_NT_Loop17_TestCase10, NO, 1734)
(FSE_Mathematical_Integer_Mode_Type_Conversion_in_Comparison_2_NT_Loop17_TestCase2, YES, 1760)
(FSE_Mathematical_Integer_Mode_Type_Conversion_in_Comparison_2_NT_Loop17_TestCase1, YES, 1739)
(FSE_Mathematical_Integer_Mode_Type_Conversion_in_Comparison_2_NT_Loop17_TestCase9, NO, 1718)
(FSE_Mathematical_Integer_Mode_Type_Conversion_in_Comparison_2_NT_Loop17_TestCase8, ERROR, 1753)</t>
  </si>
  <si>
    <t>(FSE_Mathematical_Integer_Mode_Type_Conversion_in_Comparison_2_NT_Loop0_TestCase8, NO, 1692)
(FSE_Mathematical_Integer_Mode_Type_Conversion_in_Comparison_2_NT_Loop0_TestCase9, NO, 1692)
(FSE_Mathematical_Integer_Mode_Type_Conversion_in_Comparison_2_NT_Loop0_TestCase1, YES, 1730)
(FSE_Mathematical_Integer_Mode_Type_Conversion_in_Comparison_2_NT_Loop0_TestCase2, YES, 1711)
(FSE_Mathematical_Integer_Mode_Type_Conversion_in_Comparison_2_NT_Loop0_TestCase3, YES, 1685)
(FSE_Mathematical_Integer_Mode_Type_Conversion_in_Comparison_2_NT_Loop0_TestCase7, NO, 1705)
(FSE_Mathematical_Integer_Mode_Type_Conversion_in_Comparison_2_NT_Loop0_TestCase6, YES, 1687)
(FSE_Mathematical_Integer_Mode_Type_Conversion_in_Comparison_2_NT_Loop0_TestCase4, YES, 1735)
(FSE_Mathematical_Integer_Mode_Type_Conversion_in_Comparison_2_NT_Loop0_TestCase5, NO, 1767)
(FSE_Mathematical_Integer_Mode_Type_Conversion_in_Comparison_2_NT_Loop0_TestCase10, NO, 1713)</t>
  </si>
  <si>
    <t>(FSE_Mathematical_Integer_Mode_Type_Conversion_in_Comparison_2_NT_Loop17_TestCase0, NO, 1708)</t>
  </si>
  <si>
    <t>(FSE_Mathematical_Integer_Mode_Type_Conversion_in_Comparison_2_NT_Loop0_TestCase0, NO, 1767)</t>
  </si>
  <si>
    <t>(FSE_Mathematical_Integer_Mode_Type_Conversion_in_Comparison_1_T_Loop18_TestCase3, YES, 1729)
(FSE_Mathematical_Integer_Mode_Type_Conversion_in_Comparison_1_T_Loop18_TestCase2, YES, 1719)
(FSE_Mathematical_Integer_Mode_Type_Conversion_in_Comparison_1_T_Loop18_TestCase1, YES, 1740)
(FSE_Mathematical_Integer_Mode_Type_Conversion_in_Comparison_1_T_Loop18_TestCase5, YES, 1699)
(FSE_Mathematical_Integer_Mode_Type_Conversion_in_Comparison_1_T_Loop18_TestCase4, YES, 1715)
(FSE_Mathematical_Integer_Mode_Type_Conversion_in_Comparison_1_T_Loop18_TestCase6, YES, 1756)
(FSE_Mathematical_Integer_Mode_Type_Conversion_in_Comparison_1_T_Loop18_TestCase7, YES, 1727)
(FSE_Mathematical_Integer_Mode_Type_Conversion_in_Comparison_1_T_Loop18_TestCase10, YES, 1721)
(FSE_Mathematical_Integer_Mode_Type_Conversion_in_Comparison_1_T_Loop18_TestCase9, YES, 1760)
(FSE_Mathematical_Integer_Mode_Type_Conversion_in_Comparison_1_T_Loop18_TestCase8, YES, 1684)</t>
  </si>
  <si>
    <t>(FSE_Mathematical_Integer_Mode_Type_Conversion_in_Comparison_1_T_Loop0_TestCase10, YES, 1738)
(FSE_Mathematical_Integer_Mode_Type_Conversion_in_Comparison_1_T_Loop0_TestCase1, YES, 1701)
(FSE_Mathematical_Integer_Mode_Type_Conversion_in_Comparison_1_T_Loop0_TestCase3, YES, 1698)
(FSE_Mathematical_Integer_Mode_Type_Conversion_in_Comparison_1_T_Loop0_TestCase2, YES, 1681)
(FSE_Mathematical_Integer_Mode_Type_Conversion_in_Comparison_1_T_Loop0_TestCase6, YES, 1677)
(FSE_Mathematical_Integer_Mode_Type_Conversion_in_Comparison_1_T_Loop0_TestCase7, YES, 1728)
(FSE_Mathematical_Integer_Mode_Type_Conversion_in_Comparison_1_T_Loop0_TestCase5, YES, 1696)
(FSE_Mathematical_Integer_Mode_Type_Conversion_in_Comparison_1_T_Loop0_TestCase4, YES, 1715)
(FSE_Mathematical_Integer_Mode_Type_Conversion_in_Comparison_1_T_Loop0_TestCase9, YES, 1686)
(FSE_Mathematical_Integer_Mode_Type_Conversion_in_Comparison_1_T_Loop0_TestCase8, YES, 1720)</t>
  </si>
  <si>
    <t>(FSE_Mathematical_Integer_Mode_Type_Conversion_in_Comparison_1_T_Loop18_TestCase0, YES, 1725)</t>
  </si>
  <si>
    <t>(FSE_Mathematical_Integer_Mode_Type_Conversion_in_Comparison_1_T_Loop0_TestCase0, YES, 1747)</t>
  </si>
  <si>
    <t>(FSE_Mathematical_Integer_Mode_Type_Conversion_in_Comparison_1_NT_Loop16_TestCase8, YES, 1717)
(FSE_Mathematical_Integer_Mode_Type_Conversion_in_Comparison_1_NT_Loop16_TestCase9, YES, 1690)
(FSE_Mathematical_Integer_Mode_Type_Conversion_in_Comparison_1_NT_Loop16_TestCase7, YES, 1737)
(FSE_Mathematical_Integer_Mode_Type_Conversion_in_Comparison_1_NT_Loop16_TestCase6, YES, 1722)
(FSE_Mathematical_Integer_Mode_Type_Conversion_in_Comparison_1_NT_Loop16_TestCase4, YES, 1728)
(FSE_Mathematical_Integer_Mode_Type_Conversion_in_Comparison_1_NT_Loop16_TestCase5, YES, 1932)
(FSE_Mathematical_Integer_Mode_Type_Conversion_in_Comparison_1_NT_Loop16_TestCase1, YES, 1720)
(FSE_Mathematical_Integer_Mode_Type_Conversion_in_Comparison_1_NT_Loop16_TestCase10, YES, 1709)
(FSE_Mathematical_Integer_Mode_Type_Conversion_in_Comparison_1_NT_Loop16_TestCase2, YES, 1733)
(FSE_Mathematical_Integer_Mode_Type_Conversion_in_Comparison_1_NT_Loop16_TestCase3, YES, 1687)</t>
  </si>
  <si>
    <t>(FSE_Mathematical_Integer_Mode_Type_Conversion_in_Comparison_1_NT_Loop0_TestCase8, YES, 1692)
(FSE_Mathematical_Integer_Mode_Type_Conversion_in_Comparison_1_NT_Loop0_TestCase9, YES, 1722)
(FSE_Mathematical_Integer_Mode_Type_Conversion_in_Comparison_1_NT_Loop0_TestCase4, YES, 1724)
(FSE_Mathematical_Integer_Mode_Type_Conversion_in_Comparison_1_NT_Loop0_TestCase5, YES, 1707)
(FSE_Mathematical_Integer_Mode_Type_Conversion_in_Comparison_1_NT_Loop0_TestCase7, YES, 1697)
(FSE_Mathematical_Integer_Mode_Type_Conversion_in_Comparison_1_NT_Loop0_TestCase6, YES, 1690)
(FSE_Mathematical_Integer_Mode_Type_Conversion_in_Comparison_1_NT_Loop0_TestCase10, YES, 1716)
(FSE_Mathematical_Integer_Mode_Type_Conversion_in_Comparison_1_NT_Loop0_TestCase2, YES, 1682)
(FSE_Mathematical_Integer_Mode_Type_Conversion_in_Comparison_1_NT_Loop0_TestCase3, YES, 1734)
(FSE_Mathematical_Integer_Mode_Type_Conversion_in_Comparison_1_NT_Loop0_TestCase1, YES, 1682)</t>
  </si>
  <si>
    <t>(FSE_Mathematical_Integer_Mode_Type_Conversion_in_Comparison_1_NT_Loop16_TestCase0, YES, 1748)</t>
  </si>
  <si>
    <t>(FSE_Mathematical_Integer_Mode_Type_Conversion_in_Comparison_1_NT_Loop0_TestCase0, YES, 1801)</t>
  </si>
  <si>
    <t>(FSE_Mathematical_Integer_Mode_Type_Conversion_in_Assignment_1_T_Loop26_TestCase8, MAYBE, 604)
(FSE_Mathematical_Integer_Mode_Type_Conversion_in_Assignment_1_T_Loop26_TestCase9, MAYBE, 591)
(FSE_Mathematical_Integer_Mode_Type_Conversion_in_Assignment_1_T_Loop26_TestCase10, MAYBE, 597)
(FSE_Mathematical_Integer_Mode_Type_Conversion_in_Assignment_1_T_Loop26_TestCase2, MAYBE, 579)
(FSE_Mathematical_Integer_Mode_Type_Conversion_in_Assignment_1_T_Loop26_TestCase3, MAYBE, 567)
(FSE_Mathematical_Integer_Mode_Type_Conversion_in_Assignment_1_T_Loop26_TestCase1, MAYBE, 582)
(FSE_Mathematical_Integer_Mode_Type_Conversion_in_Assignment_1_T_Loop26_TestCase4, MAYBE, 569)
(FSE_Mathematical_Integer_Mode_Type_Conversion_in_Assignment_1_T_Loop26_TestCase5, MAYBE, 574)
(FSE_Mathematical_Integer_Mode_Type_Conversion_in_Assignment_1_T_Loop26_TestCase7, MAYBE, 572)
(FSE_Mathematical_Integer_Mode_Type_Conversion_in_Assignment_1_T_Loop26_TestCase6, MAYBE, 587)</t>
  </si>
  <si>
    <t>(FSE_Mathematical_Integer_Mode_Type_Conversion_in_Assignment_1_T_Loop0_TestCase8, YES, 1769)
(FSE_Mathematical_Integer_Mode_Type_Conversion_in_Assignment_1_T_Loop0_TestCase9, YES, 1759)
(FSE_Mathematical_Integer_Mode_Type_Conversion_in_Assignment_1_T_Loop0_TestCase4, YES, 1749)
(FSE_Mathematical_Integer_Mode_Type_Conversion_in_Assignment_1_T_Loop0_TestCase5, YES, 1811)
(FSE_Mathematical_Integer_Mode_Type_Conversion_in_Assignment_1_T_Loop0_TestCase7, YES, 1733)
(FSE_Mathematical_Integer_Mode_Type_Conversion_in_Assignment_1_T_Loop0_TestCase6, YES, 1774)
(FSE_Mathematical_Integer_Mode_Type_Conversion_in_Assignment_1_T_Loop0_TestCase2, YES, 1765)
(FSE_Mathematical_Integer_Mode_Type_Conversion_in_Assignment_1_T_Loop0_TestCase3, YES, 1785)
(FSE_Mathematical_Integer_Mode_Type_Conversion_in_Assignment_1_T_Loop0_TestCase1, YES, 1766)
(FSE_Mathematical_Integer_Mode_Type_Conversion_in_Assignment_1_T_Loop0_TestCase10, YES, 1744)</t>
  </si>
  <si>
    <t>(FSE_Mathematical_Integer_Mode_Type_Conversion_in_Assignment_1_T_Loop26_TestCase0, MAYBE, 576)</t>
  </si>
  <si>
    <t>(FSE_Mathematical_Integer_Mode_Type_Conversion_in_Assignment_1_T_Loop0_TestCase0, YES, 1841)</t>
  </si>
  <si>
    <t>(FSE_Mathematical_Integer_Mode_Type_Conversion_in_Assignment_1_NT_Loop27_TestCase10, MAYBE, 586)
(FSE_Mathematical_Integer_Mode_Type_Conversion_in_Assignment_1_NT_Loop27_TestCase9, MAYBE, 570)
(FSE_Mathematical_Integer_Mode_Type_Conversion_in_Assignment_1_NT_Loop27_TestCase8, MAYBE, 594)
(FSE_Mathematical_Integer_Mode_Type_Conversion_in_Assignment_1_NT_Loop27_TestCase3, MAYBE, 576)
(FSE_Mathematical_Integer_Mode_Type_Conversion_in_Assignment_1_NT_Loop27_TestCase2, MAYBE, 605)
(FSE_Mathematical_Integer_Mode_Type_Conversion_in_Assignment_1_NT_Loop27_TestCase1, MAYBE, 570)
(FSE_Mathematical_Integer_Mode_Type_Conversion_in_Assignment_1_NT_Loop27_TestCase5, MAYBE, 574)
(FSE_Mathematical_Integer_Mode_Type_Conversion_in_Assignment_1_NT_Loop27_TestCase4, MAYBE, 561)
(FSE_Mathematical_Integer_Mode_Type_Conversion_in_Assignment_1_NT_Loop27_TestCase6, MAYBE, 582)
(FSE_Mathematical_Integer_Mode_Type_Conversion_in_Assignment_1_NT_Loop27_TestCase7, MAYBE, 575)</t>
  </si>
  <si>
    <t>(FSE_Mathematical_Integer_Mode_Type_Conversion_in_Assignment_1_NT_Loop0_TestCase10, YES, 1808)
(FSE_Mathematical_Integer_Mode_Type_Conversion_in_Assignment_1_NT_Loop0_TestCase1, YES, 1758)
(FSE_Mathematical_Integer_Mode_Type_Conversion_in_Assignment_1_NT_Loop0_TestCase2, YES, 1764)
(FSE_Mathematical_Integer_Mode_Type_Conversion_in_Assignment_1_NT_Loop0_TestCase3, YES, 1753)
(FSE_Mathematical_Integer_Mode_Type_Conversion_in_Assignment_1_NT_Loop0_TestCase7, YES, 1822)
(FSE_Mathematical_Integer_Mode_Type_Conversion_in_Assignment_1_NT_Loop0_TestCase6, YES, 1755)
(FSE_Mathematical_Integer_Mode_Type_Conversion_in_Assignment_1_NT_Loop0_TestCase4, YES, 1778)
(FSE_Mathematical_Integer_Mode_Type_Conversion_in_Assignment_1_NT_Loop0_TestCase5, YES, 1796)
(FSE_Mathematical_Integer_Mode_Type_Conversion_in_Assignment_1_NT_Loop0_TestCase8, YES, 1753)
(FSE_Mathematical_Integer_Mode_Type_Conversion_in_Assignment_1_NT_Loop0_TestCase9, YES, 1780)</t>
  </si>
  <si>
    <t>(FSE_Mathematical_Integer_Mode_Type_Conversion_in_Assignment_1_NT_Loop27_TestCase0, MAYBE, 600)</t>
  </si>
  <si>
    <t>(FSE_Mathematical_Integer_Mode_Type_Conversion_in_Assignment_1_NT_Loop0_TestCase0, ERROR, 1870)</t>
  </si>
  <si>
    <t>(FSE_Mathematical_Integer_Mode_Signed_Overflow_Error_3_T_Loop14_TestCase1, MAYBE, 546)
(FSE_Mathematical_Integer_Mode_Signed_Overflow_Error_3_T_Loop14_TestCase2, YES, 1781)
(FSE_Mathematical_Integer_Mode_Signed_Overflow_Error_3_T_Loop14_TestCase3, YES, 1766)
(FSE_Mathematical_Integer_Mode_Signed_Overflow_Error_3_T_Loop14_TestCase7, YES, 1772)
(FSE_Mathematical_Integer_Mode_Signed_Overflow_Error_3_T_Loop14_TestCase6, YES, 1743)
(FSE_Mathematical_Integer_Mode_Signed_Overflow_Error_3_T_Loop14_TestCase4, YES, 1755)
(FSE_Mathematical_Integer_Mode_Signed_Overflow_Error_3_T_Loop14_TestCase5, YES, 1750)
(FSE_Mathematical_Integer_Mode_Signed_Overflow_Error_3_T_Loop14_TestCase8, YES, 1731)
(FSE_Mathematical_Integer_Mode_Signed_Overflow_Error_3_T_Loop14_TestCase9, YES, 1740)
(FSE_Mathematical_Integer_Mode_Signed_Overflow_Error_3_T_Loop14_TestCase10, YES, 1714)</t>
  </si>
  <si>
    <t>(FSE_Mathematical_Integer_Mode_Signed_Overflow_Error_3_T_Loop0_TestCase1, MAYBE, 530)
(FSE_Mathematical_Integer_Mode_Signed_Overflow_Error_3_T_Loop0_TestCase2, YES, 1705)
(FSE_Mathematical_Integer_Mode_Signed_Overflow_Error_3_T_Loop0_TestCase3, YES, 1711)
(FSE_Mathematical_Integer_Mode_Signed_Overflow_Error_3_T_Loop0_TestCase7, YES, 1748)
(FSE_Mathematical_Integer_Mode_Signed_Overflow_Error_3_T_Loop0_TestCase6, YES, 1689)
(FSE_Mathematical_Integer_Mode_Signed_Overflow_Error_3_T_Loop0_TestCase4, YES, 1691)
(FSE_Mathematical_Integer_Mode_Signed_Overflow_Error_3_T_Loop0_TestCase5, YES, 1732)
(FSE_Mathematical_Integer_Mode_Signed_Overflow_Error_3_T_Loop0_TestCase8, YES, 1701)
(FSE_Mathematical_Integer_Mode_Signed_Overflow_Error_3_T_Loop0_TestCase9, YES, 1696)
(FSE_Mathematical_Integer_Mode_Signed_Overflow_Error_3_T_Loop0_TestCase10, YES, 1738)</t>
  </si>
  <si>
    <t>(FSE_Mathematical_Integer_Mode_Signed_Overflow_Error_3_T_Loop14_TestCase0, YES, 1769)</t>
  </si>
  <si>
    <t>(FSE_Mathematical_Integer_Mode_Signed_Overflow_Error_3_T_Loop0_TestCase0, YES, 1787)</t>
  </si>
  <si>
    <t>(FSE_Mathematical_Integer_Mode_Signed_Overflow_Error_3_NT_Loop15_TestCase5, YES, 1762)
(FSE_Mathematical_Integer_Mode_Signed_Overflow_Error_3_NT_Loop15_TestCase4, YES, 1779)
(FSE_Mathematical_Integer_Mode_Signed_Overflow_Error_3_NT_Loop15_TestCase6, YES, 1797)
(FSE_Mathematical_Integer_Mode_Signed_Overflow_Error_3_NT_Loop15_TestCase7, YES, 2220)
(FSE_Mathematical_Integer_Mode_Signed_Overflow_Error_3_NT_Loop15_TestCase3, YES, 1749)
(FSE_Mathematical_Integer_Mode_Signed_Overflow_Error_3_NT_Loop15_TestCase2, YES, 1718)
(FSE_Mathematical_Integer_Mode_Signed_Overflow_Error_3_NT_Loop15_TestCase10, YES, 2420)
(FSE_Mathematical_Integer_Mode_Signed_Overflow_Error_3_NT_Loop15_TestCase1, MAYBE, 538)
(FSE_Mathematical_Integer_Mode_Signed_Overflow_Error_3_NT_Loop15_TestCase9, YES, 2265)
(FSE_Mathematical_Integer_Mode_Signed_Overflow_Error_3_NT_Loop15_TestCase8, YES, 2213)</t>
  </si>
  <si>
    <t>(FSE_Mathematical_Integer_Mode_Signed_Overflow_Error_3_NT_Loop0_TestCase1, MAYBE, 540)
(FSE_Mathematical_Integer_Mode_Signed_Overflow_Error_3_NT_Loop0_TestCase2, YES, 1713)
(FSE_Mathematical_Integer_Mode_Signed_Overflow_Error_3_NT_Loop0_TestCase3, YES, 1727)
(FSE_Mathematical_Integer_Mode_Signed_Overflow_Error_3_NT_Loop0_TestCase7, YES, 1870)
(FSE_Mathematical_Integer_Mode_Signed_Overflow_Error_3_NT_Loop0_TestCase6, YES, 1968)
(FSE_Mathematical_Integer_Mode_Signed_Overflow_Error_3_NT_Loop0_TestCase4, YES, 1809)
(FSE_Mathematical_Integer_Mode_Signed_Overflow_Error_3_NT_Loop0_TestCase10, YES, 1964)
(FSE_Mathematical_Integer_Mode_Signed_Overflow_Error_3_NT_Loop0_TestCase5, YES, 2017)
(FSE_Mathematical_Integer_Mode_Signed_Overflow_Error_3_NT_Loop0_TestCase8, YES, 2132)
(FSE_Mathematical_Integer_Mode_Signed_Overflow_Error_3_NT_Loop0_TestCase9, YES, 1943)</t>
  </si>
  <si>
    <t>(FSE_Mathematical_Integer_Mode_Signed_Overflow_Error_3_NT_Loop15_TestCase0, YES, 1742)</t>
  </si>
  <si>
    <t>(FSE_Mathematical_Integer_Mode_Signed_Overflow_Error_3_NT_Loop0_TestCase0, YES, 2178)</t>
  </si>
  <si>
    <t>(FSE_Mathematical_Integer_Mode_Signed_Overflow_Error_2_T_Loop14_TestCase5, ERROR, 1649)
(FSE_Mathematical_Integer_Mode_Signed_Overflow_Error_2_T_Loop14_TestCase4, ERROR, 1644)
(FSE_Mathematical_Integer_Mode_Signed_Overflow_Error_2_T_Loop14_TestCase6, ERROR, 1667)
(FSE_Mathematical_Integer_Mode_Signed_Overflow_Error_2_T_Loop14_TestCase7, ERROR, 1656)
(FSE_Mathematical_Integer_Mode_Signed_Overflow_Error_2_T_Loop14_TestCase3, ERROR, 1611)
(FSE_Mathematical_Integer_Mode_Signed_Overflow_Error_2_T_Loop14_TestCase2, ERROR, 1616)
(FSE_Mathematical_Integer_Mode_Signed_Overflow_Error_2_T_Loop14_TestCase1, ERROR, 2407)
(FSE_Mathematical_Integer_Mode_Signed_Overflow_Error_2_T_Loop14_TestCase10, ERROR, 1675)
(FSE_Mathematical_Integer_Mode_Signed_Overflow_Error_2_T_Loop14_TestCase9, ERROR, 1696)
(FSE_Mathematical_Integer_Mode_Signed_Overflow_Error_2_T_Loop14_TestCase8, ERROR, 1631)</t>
  </si>
  <si>
    <t>(FSE_Mathematical_Integer_Mode_Signed_Overflow_Error_2_T_Loop0_TestCase8, ERROR, 1614)
(FSE_Mathematical_Integer_Mode_Signed_Overflow_Error_2_T_Loop0_TestCase9, ERROR, 1711)
(FSE_Mathematical_Integer_Mode_Signed_Overflow_Error_2_T_Loop0_TestCase2, ERROR, 1603)
(FSE_Mathematical_Integer_Mode_Signed_Overflow_Error_2_T_Loop0_TestCase3, ERROR, 1598)
(FSE_Mathematical_Integer_Mode_Signed_Overflow_Error_2_T_Loop0_TestCase1, ERROR, 1604)
(FSE_Mathematical_Integer_Mode_Signed_Overflow_Error_2_T_Loop0_TestCase10, ERROR, 1722)
(FSE_Mathematical_Integer_Mode_Signed_Overflow_Error_2_T_Loop0_TestCase4, ERROR, 1579)
(FSE_Mathematical_Integer_Mode_Signed_Overflow_Error_2_T_Loop0_TestCase5, ERROR, 1598)
(FSE_Mathematical_Integer_Mode_Signed_Overflow_Error_2_T_Loop0_TestCase7, ERROR, 1626)
(FSE_Mathematical_Integer_Mode_Signed_Overflow_Error_2_T_Loop0_TestCase6, ERROR, 1720)</t>
  </si>
  <si>
    <t>(FSE_Mathematical_Integer_Mode_Signed_Overflow_Error_2_T_Loop14_TestCase0, ERROR, 1730)</t>
  </si>
  <si>
    <t>(FSE_Mathematical_Integer_Mode_Signed_Overflow_Error_2_T_Loop0_TestCase0, ERROR, 1668)</t>
  </si>
  <si>
    <t>(FSE_Mathematical_Integer_Mode_Signed_Overflow_Error_2_NT_Loop15_TestCase10, ERROR, 1677)
(FSE_Mathematical_Integer_Mode_Signed_Overflow_Error_2_NT_Loop15_TestCase8, ERROR, 1667)
(FSE_Mathematical_Integer_Mode_Signed_Overflow_Error_2_NT_Loop15_TestCase9, ERROR, 1945)
(FSE_Mathematical_Integer_Mode_Signed_Overflow_Error_2_NT_Loop15_TestCase1, ERROR, 1628)
(FSE_Mathematical_Integer_Mode_Signed_Overflow_Error_2_NT_Loop15_TestCase2, ERROR, 1639)
(FSE_Mathematical_Integer_Mode_Signed_Overflow_Error_2_NT_Loop15_TestCase3, ERROR, 1622)
(FSE_Mathematical_Integer_Mode_Signed_Overflow_Error_2_NT_Loop15_TestCase7, ERROR, 2786)
(FSE_Mathematical_Integer_Mode_Signed_Overflow_Error_2_NT_Loop15_TestCase6, ERROR, 1608)
(FSE_Mathematical_Integer_Mode_Signed_Overflow_Error_2_NT_Loop15_TestCase4, ERROR, 1625)
(FSE_Mathematical_Integer_Mode_Signed_Overflow_Error_2_NT_Loop15_TestCase5, ERROR, 1614)</t>
  </si>
  <si>
    <t>(FSE_Mathematical_Integer_Mode_Signed_Overflow_Error_2_NT_Loop0_TestCase5, ERROR, 1598)
(FSE_Mathematical_Integer_Mode_Signed_Overflow_Error_2_NT_Loop0_TestCase4, ERROR, 1601)
(FSE_Mathematical_Integer_Mode_Signed_Overflow_Error_2_NT_Loop0_TestCase6, ERROR, 1641)
(FSE_Mathematical_Integer_Mode_Signed_Overflow_Error_2_NT_Loop0_TestCase7, ERROR, 1648)
(FSE_Mathematical_Integer_Mode_Signed_Overflow_Error_2_NT_Loop0_TestCase3, ERROR, 1614)
(FSE_Mathematical_Integer_Mode_Signed_Overflow_Error_2_NT_Loop0_TestCase2, ERROR, 1615)
(FSE_Mathematical_Integer_Mode_Signed_Overflow_Error_2_NT_Loop0_TestCase1, ERROR, 1574)
(FSE_Mathematical_Integer_Mode_Signed_Overflow_Error_2_NT_Loop0_TestCase10, ERROR, 1632)
(FSE_Mathematical_Integer_Mode_Signed_Overflow_Error_2_NT_Loop0_TestCase9, ERROR, 1605)
(FSE_Mathematical_Integer_Mode_Signed_Overflow_Error_2_NT_Loop0_TestCase8, ERROR, 1631)</t>
  </si>
  <si>
    <t>(FSE_Mathematical_Integer_Mode_Signed_Overflow_Error_2_NT_Loop15_TestCase0, ERROR, 1622)</t>
  </si>
  <si>
    <t>(FSE_Mathematical_Integer_Mode_Signed_Overflow_Error_2_NT_Loop0_TestCase0, ERROR, 1674)</t>
  </si>
  <si>
    <t>(FSE_Mathematical_Integer_Mode_Signed_Overflow_Error_1_T_Loop14_TestCase0, ERROR, 1656)</t>
  </si>
  <si>
    <t>(FSE_Mathematical_Integer_Mode_Signed_Overflow_Error_1_T_Loop0_TestCase0, ERROR, 1593)</t>
  </si>
  <si>
    <t>(FSE_Mathematical_Integer_Mode_Signed_Overflow_Error_1_T_Loop14_TestCase0, ERROR, 1676)</t>
  </si>
  <si>
    <t>(FSE_Mathematical_Integer_Mode_Signed_Overflow_Error_1_T_Loop0_TestCase0, ERROR, 1665)</t>
  </si>
  <si>
    <t>(FSE_Mathematical_Integer_Mode_Signed_Overflow_Error_1_NT_Loop13_TestCase0, ERROR, 1641)</t>
  </si>
  <si>
    <t>(FSE_Mathematical_Integer_Mode_Signed_Overflow_Error_1_NT_Loop0_TestCase0, ERROR, 1578)</t>
  </si>
  <si>
    <t>(FSE_Mathematical_Integer_Mode_Signed_Overflow_Error_1_NT_Loop13_TestCase0, ERROR, 1613)</t>
  </si>
  <si>
    <t>(FSE_Mathematical_Integer_Mode_Signed_Overflow_Error_1_NT_Loop0_TestCase0, ERROR, 1594)</t>
  </si>
  <si>
    <t>(FSE_Mathematical_Integer_Mode_Reusing_Same_Loop_Iterator_2_T_Loop20_TestCase2, YES, 3581)
(FSE_Mathematical_Integer_Mode_Reusing_Same_Loop_Iterator_2_T_Loop17_TestCase10, YES, 1746)
(FSE_Mathematical_Integer_Mode_Reusing_Same_Loop_Iterator_2_T_Loop20_TestCase3, YES, 1733)
(FSE_Mathematical_Integer_Mode_Reusing_Same_Loop_Iterator_2_T_Loop20_TestCase1, YES, 1713)
(FSE_Mathematical_Integer_Mode_Reusing_Same_Loop_Iterator_2_T_Loop20_TestCase4, YES, 1742)
(FSE_Mathematical_Integer_Mode_Reusing_Same_Loop_Iterator_2_T_Loop20_TestCase5, YES, 1747)
(FSE_Mathematical_Integer_Mode_Reusing_Same_Loop_Iterator_2_T_Loop20_TestCase7, YES, 3462)
(FSE_Mathematical_Integer_Mode_Reusing_Same_Loop_Iterator_2_T_Loop20_TestCase6, YES, 2032)
(FSE_Mathematical_Integer_Mode_Reusing_Same_Loop_Iterator_2_T_Loop17_TestCase7, YES, 1716)
(FSE_Mathematical_Integer_Mode_Reusing_Same_Loop_Iterator_2_T_Loop17_TestCase6, YES, 1727)
(FSE_Mathematical_Integer_Mode_Reusing_Same_Loop_Iterator_2_T_Loop17_TestCase4, YES, 1761)
(FSE_Mathematical_Integer_Mode_Reusing_Same_Loop_Iterator_2_T_Loop17_TestCase5, YES, 1794)
(FSE_Mathematical_Integer_Mode_Reusing_Same_Loop_Iterator_2_T_Loop17_TestCase1, YES, 1745)
(FSE_Mathematical_Integer_Mode_Reusing_Same_Loop_Iterator_2_T_Loop17_TestCase2, YES, 1766)
(FSE_Mathematical_Integer_Mode_Reusing_Same_Loop_Iterator_2_T_Loop17_TestCase3, YES, 1721)
(FSE_Mathematical_Integer_Mode_Reusing_Same_Loop_Iterator_2_T_Loop17_TestCase8, YES, 1750)
(FSE_Mathematical_Integer_Mode_Reusing_Same_Loop_Iterator_2_T_Loop17_TestCase9, YES, 1720)
(FSE_Mathematical_Integer_Mode_Reusing_Same_Loop_Iterator_2_T_Loop20_TestCase10, YES, 2010)
(FSE_Mathematical_Integer_Mode_Reusing_Same_Loop_Iterator_2_T_Loop20_TestCase8, YES, 1961)
(FSE_Mathematical_Integer_Mode_Reusing_Same_Loop_Iterator_2_T_Loop20_TestCase9, YES, 1851)</t>
  </si>
  <si>
    <t>(FSE_Mathematical_Integer_Mode_Reusing_Same_Loop_Iterator_2_T_Loop0_TestCase9, YES, 1911)
(FSE_Mathematical_Integer_Mode_Reusing_Same_Loop_Iterator_2_T_Loop0_TestCase8, YES, 1946)
(FSE_Mathematical_Integer_Mode_Reusing_Same_Loop_Iterator_2_T_Loop0_TestCase6, YES, 1918)
(FSE_Mathematical_Integer_Mode_Reusing_Same_Loop_Iterator_2_T_Loop0_TestCase7, YES, 1816)
(FSE_Mathematical_Integer_Mode_Reusing_Same_Loop_Iterator_2_T_Loop0_TestCase5, YES, 1706)
(FSE_Mathematical_Integer_Mode_Reusing_Same_Loop_Iterator_2_T_Loop0_TestCase4, YES, 1680)
(FSE_Mathematical_Integer_Mode_Reusing_Same_Loop_Iterator_2_T_Loop0_TestCase1, YES, 1730)
(FSE_Mathematical_Integer_Mode_Reusing_Same_Loop_Iterator_2_T_Loop0_TestCase10, YES, 1819)
(FSE_Mathematical_Integer_Mode_Reusing_Same_Loop_Iterator_2_T_Loop0_TestCase3, YES, 1728)
(FSE_Mathematical_Integer_Mode_Reusing_Same_Loop_Iterator_2_T_Loop0_TestCase2, YES, 1725)</t>
  </si>
  <si>
    <t>(FSE_Mathematical_Integer_Mode_Reusing_Same_Loop_Iterator_2_T_Loop20_TestCase0, YES, 2199)
(FSE_Mathematical_Integer_Mode_Reusing_Same_Loop_Iterator_2_T_Loop17_TestCase0, YES, 1738)</t>
  </si>
  <si>
    <t>(FSE_Mathematical_Integer_Mode_Reusing_Same_Loop_Iterator_2_T_Loop0_TestCase0, YES, 2228)</t>
  </si>
  <si>
    <t>(FSE_Mathematical_Integer_Mode_Reusing_Same_Loop_Iterator_2_NT_Loop18_TestCase9, NO, 1775)
(FSE_Mathematical_Integer_Mode_Reusing_Same_Loop_Iterator_2_NT_Loop18_TestCase8, NO, 1713)
(FSE_Mathematical_Integer_Mode_Reusing_Same_Loop_Iterator_2_NT_Loop18_TestCase10, NO, 1737)
(FSE_Mathematical_Integer_Mode_Reusing_Same_Loop_Iterator_2_NT_Loop16_TestCase10, NO, 1755)
(FSE_Mathematical_Integer_Mode_Reusing_Same_Loop_Iterator_2_NT_Loop16_TestCase9, NO, 1739)
(FSE_Mathematical_Integer_Mode_Reusing_Same_Loop_Iterator_2_NT_Loop16_TestCase8, NO, 1756)
(FSE_Mathematical_Integer_Mode_Reusing_Same_Loop_Iterator_2_NT_Loop16_TestCase5, YES, 1715)
(FSE_Mathematical_Integer_Mode_Reusing_Same_Loop_Iterator_2_NT_Loop16_TestCase4, YES, 1735)
(FSE_Mathematical_Integer_Mode_Reusing_Same_Loop_Iterator_2_NT_Loop16_TestCase6, NO, 1785)
(FSE_Mathematical_Integer_Mode_Reusing_Same_Loop_Iterator_2_NT_Loop16_TestCase7, NO, 1763)
(FSE_Mathematical_Integer_Mode_Reusing_Same_Loop_Iterator_2_NT_Loop16_TestCase3, YES, 1735)
(FSE_Mathematical_Integer_Mode_Reusing_Same_Loop_Iterator_2_NT_Loop16_TestCase2, YES, 1755)
(FSE_Mathematical_Integer_Mode_Reusing_Same_Loop_Iterator_2_NT_Loop16_TestCase1, YES, 1698)
(FSE_Mathematical_Integer_Mode_Reusing_Same_Loop_Iterator_2_NT_Loop18_TestCase1, YES, 3792)
(FSE_Mathematical_Integer_Mode_Reusing_Same_Loop_Iterator_2_NT_Loop18_TestCase3, YES, 1742)
(FSE_Mathematical_Integer_Mode_Reusing_Same_Loop_Iterator_2_NT_Loop18_TestCase2, YES, 1773)
(FSE_Mathematical_Integer_Mode_Reusing_Same_Loop_Iterator_2_NT_Loop18_TestCase6, NO, 1806)
(FSE_Mathematical_Integer_Mode_Reusing_Same_Loop_Iterator_2_NT_Loop18_TestCase7, NO, 1727)
(FSE_Mathematical_Integer_Mode_Reusing_Same_Loop_Iterator_2_NT_Loop18_TestCase5, YES, 1806)
(FSE_Mathematical_Integer_Mode_Reusing_Same_Loop_Iterator_2_NT_Loop18_TestCase4, YES, 1737)</t>
  </si>
  <si>
    <t>(FSE_Mathematical_Integer_Mode_Reusing_Same_Loop_Iterator_2_NT_Loop0_TestCase2, YES, 1685)
(FSE_Mathematical_Integer_Mode_Reusing_Same_Loop_Iterator_2_NT_Loop0_TestCase3, YES, 1705)
(FSE_Mathematical_Integer_Mode_Reusing_Same_Loop_Iterator_2_NT_Loop0_TestCase1, YES, 1717)
(FSE_Mathematical_Integer_Mode_Reusing_Same_Loop_Iterator_2_NT_Loop0_TestCase4, YES, 1748)
(FSE_Mathematical_Integer_Mode_Reusing_Same_Loop_Iterator_2_NT_Loop0_TestCase5, YES, 1694)
(FSE_Mathematical_Integer_Mode_Reusing_Same_Loop_Iterator_2_NT_Loop0_TestCase7, NO, 1712)
(FSE_Mathematical_Integer_Mode_Reusing_Same_Loop_Iterator_2_NT_Loop0_TestCase6, NO, 1697)
(FSE_Mathematical_Integer_Mode_Reusing_Same_Loop_Iterator_2_NT_Loop0_TestCase8, NO, 1700)
(FSE_Mathematical_Integer_Mode_Reusing_Same_Loop_Iterator_2_NT_Loop0_TestCase9, NO, 1701)
(FSE_Mathematical_Integer_Mode_Reusing_Same_Loop_Iterator_2_NT_Loop0_TestCase10, NO, 1708)</t>
  </si>
  <si>
    <t>(FSE_Mathematical_Integer_Mode_Reusing_Same_Loop_Iterator_2_NT_Loop16_TestCase0, NO, 3940)
(FSE_Mathematical_Integer_Mode_Reusing_Same_Loop_Iterator_2_NT_Loop18_TestCase0, NO, 4435)</t>
  </si>
  <si>
    <t>(FSE_Mathematical_Integer_Mode_Reusing_Same_Loop_Iterator_2_NT_Loop0_TestCase0, NO, 3906)</t>
  </si>
  <si>
    <t>(FSE_Mathematical_Integer_Mode_Reusing_Same_Loop_Iterator_1_T_Loop19_TestCase7, YES, 1909)
(FSE_Mathematical_Integer_Mode_Reusing_Same_Loop_Iterator_1_T_Loop19_TestCase6, YES, 2030)
(FSE_Mathematical_Integer_Mode_Reusing_Same_Loop_Iterator_1_T_Loop19_TestCase4, YES, 1731)
(FSE_Mathematical_Integer_Mode_Reusing_Same_Loop_Iterator_1_T_Loop19_TestCase5, YES, 1843)
(FSE_Mathematical_Integer_Mode_Reusing_Same_Loop_Iterator_1_T_Loop19_TestCase1, YES, 1743)
(FSE_Mathematical_Integer_Mode_Reusing_Same_Loop_Iterator_1_T_Loop19_TestCase2, YES, 1935)
(FSE_Mathematical_Integer_Mode_Reusing_Same_Loop_Iterator_1_T_Loop19_TestCase3, YES, 1773)
(FSE_Mathematical_Integer_Mode_Reusing_Same_Loop_Iterator_1_T_Loop17_TestCase2, YES, 1748)
(FSE_Mathematical_Integer_Mode_Reusing_Same_Loop_Iterator_1_T_Loop17_TestCase3, YES, 1759)
(FSE_Mathematical_Integer_Mode_Reusing_Same_Loop_Iterator_1_T_Loop17_TestCase1, YES, 1753)
(FSE_Mathematical_Integer_Mode_Reusing_Same_Loop_Iterator_1_T_Loop19_TestCase10, YES, 1947)
(FSE_Mathematical_Integer_Mode_Reusing_Same_Loop_Iterator_1_T_Loop17_TestCase4, YES, 1751)
(FSE_Mathematical_Integer_Mode_Reusing_Same_Loop_Iterator_1_T_Loop17_TestCase5, YES, 1734)
(FSE_Mathematical_Integer_Mode_Reusing_Same_Loop_Iterator_1_T_Loop17_TestCase7, YES, 1726)
(FSE_Mathematical_Integer_Mode_Reusing_Same_Loop_Iterator_1_T_Loop17_TestCase6, YES, 1746)
(FSE_Mathematical_Integer_Mode_Reusing_Same_Loop_Iterator_1_T_Loop17_TestCase10, YES, 1740)
(FSE_Mathematical_Integer_Mode_Reusing_Same_Loop_Iterator_1_T_Loop17_TestCase8, YES, 1765)
(FSE_Mathematical_Integer_Mode_Reusing_Same_Loop_Iterator_1_T_Loop17_TestCase9, YES, 1701)
(FSE_Mathematical_Integer_Mode_Reusing_Same_Loop_Iterator_1_T_Loop19_TestCase8, YES, 1971)
(FSE_Mathematical_Integer_Mode_Reusing_Same_Loop_Iterator_1_T_Loop19_TestCase9, YES, 2457)</t>
  </si>
  <si>
    <t>(FSE_Mathematical_Integer_Mode_Reusing_Same_Loop_Iterator_1_T_Loop0_TestCase2, YES, 1907)
(FSE_Mathematical_Integer_Mode_Reusing_Same_Loop_Iterator_1_T_Loop0_TestCase3, YES, 1689)
(FSE_Mathematical_Integer_Mode_Reusing_Same_Loop_Iterator_1_T_Loop0_TestCase1, YES, 1712)
(FSE_Mathematical_Integer_Mode_Reusing_Same_Loop_Iterator_1_T_Loop0_TestCase4, YES, 1709)
(FSE_Mathematical_Integer_Mode_Reusing_Same_Loop_Iterator_1_T_Loop0_TestCase5, YES, 1893)
(FSE_Mathematical_Integer_Mode_Reusing_Same_Loop_Iterator_1_T_Loop0_TestCase7, YES, 1922)
(FSE_Mathematical_Integer_Mode_Reusing_Same_Loop_Iterator_1_T_Loop0_TestCase6, YES, 2004)
(FSE_Mathematical_Integer_Mode_Reusing_Same_Loop_Iterator_1_T_Loop0_TestCase8, YES, 1798)
(FSE_Mathematical_Integer_Mode_Reusing_Same_Loop_Iterator_1_T_Loop0_TestCase9, YES, 1708)
(FSE_Mathematical_Integer_Mode_Reusing_Same_Loop_Iterator_1_T_Loop0_TestCase10, YES, 1819)</t>
  </si>
  <si>
    <t>(FSE_Mathematical_Integer_Mode_Reusing_Same_Loop_Iterator_1_T_Loop19_TestCase0, YES, 2471)
(FSE_Mathematical_Integer_Mode_Reusing_Same_Loop_Iterator_1_T_Loop17_TestCase0, YES, 1791)</t>
  </si>
  <si>
    <t>(FSE_Mathematical_Integer_Mode_Reusing_Same_Loop_Iterator_1_T_Loop0_TestCase0, YES, 3287)</t>
  </si>
  <si>
    <t>(FSE_Mathematical_Integer_Mode_Reusing_Same_Loop_Iterator_1_NT_Loop17_TestCase7, NO, 1780)
(FSE_Mathematical_Integer_Mode_Reusing_Same_Loop_Iterator_1_NT_Loop17_TestCase6, NO, 1760)
(FSE_Mathematical_Integer_Mode_Reusing_Same_Loop_Iterator_1_NT_Loop17_TestCase4, YES, 1737)
(FSE_Mathematical_Integer_Mode_Reusing_Same_Loop_Iterator_1_NT_Loop17_TestCase5, YES, 1748)
(FSE_Mathematical_Integer_Mode_Reusing_Same_Loop_Iterator_1_NT_Loop17_TestCase1, YES, 3725)
(FSE_Mathematical_Integer_Mode_Reusing_Same_Loop_Iterator_1_NT_Loop17_TestCase2, YES, 1744)
(FSE_Mathematical_Integer_Mode_Reusing_Same_Loop_Iterator_1_NT_Loop17_TestCase3, YES, 1759)
(FSE_Mathematical_Integer_Mode_Reusing_Same_Loop_Iterator_1_NT_Loop19_TestCase2, YES, 1728)
(FSE_Mathematical_Integer_Mode_Reusing_Same_Loop_Iterator_1_NT_Loop19_TestCase3, YES, 1747)
(FSE_Mathematical_Integer_Mode_Reusing_Same_Loop_Iterator_1_NT_Loop19_TestCase1, YES, 1753)
(FSE_Mathematical_Integer_Mode_Reusing_Same_Loop_Iterator_1_NT_Loop19_TestCase4, YES, 1753)
(FSE_Mathematical_Integer_Mode_Reusing_Same_Loop_Iterator_1_NT_Loop19_TestCase5, YES, 1731)
(FSE_Mathematical_Integer_Mode_Reusing_Same_Loop_Iterator_1_NT_Loop19_TestCase7, NO, 1778)
(FSE_Mathematical_Integer_Mode_Reusing_Same_Loop_Iterator_1_NT_Loop19_TestCase6, NO, 1753)
(FSE_Mathematical_Integer_Mode_Reusing_Same_Loop_Iterator_1_NT_Loop19_TestCase8, NO, 1725)
(FSE_Mathematical_Integer_Mode_Reusing_Same_Loop_Iterator_1_NT_Loop19_TestCase9, NO, 1761)
(FSE_Mathematical_Integer_Mode_Reusing_Same_Loop_Iterator_1_NT_Loop19_TestCase10, NO, 1729)
(FSE_Mathematical_Integer_Mode_Reusing_Same_Loop_Iterator_1_NT_Loop17_TestCase8, NO, 1754)
(FSE_Mathematical_Integer_Mode_Reusing_Same_Loop_Iterator_1_NT_Loop17_TestCase10, NO, 1737)
(FSE_Mathematical_Integer_Mode_Reusing_Same_Loop_Iterator_1_NT_Loop17_TestCase9, NO, 1730)</t>
  </si>
  <si>
    <t>(FSE_Mathematical_Integer_Mode_Reusing_Same_Loop_Iterator_1_NT_Loop0_TestCase7, NO, 1708)
(FSE_Mathematical_Integer_Mode_Reusing_Same_Loop_Iterator_1_NT_Loop0_TestCase6, NO, 1703)
(FSE_Mathematical_Integer_Mode_Reusing_Same_Loop_Iterator_1_NT_Loop0_TestCase4, YES, 1730)
(FSE_Mathematical_Integer_Mode_Reusing_Same_Loop_Iterator_1_NT_Loop0_TestCase5, YES, 1741)
(FSE_Mathematical_Integer_Mode_Reusing_Same_Loop_Iterator_1_NT_Loop0_TestCase1, YES, 1744)
(FSE_Mathematical_Integer_Mode_Reusing_Same_Loop_Iterator_1_NT_Loop0_TestCase2, YES, 1696)
(FSE_Mathematical_Integer_Mode_Reusing_Same_Loop_Iterator_1_NT_Loop0_TestCase3, YES, 1708)
(FSE_Mathematical_Integer_Mode_Reusing_Same_Loop_Iterator_1_NT_Loop0_TestCase8, NO, 1716)
(FSE_Mathematical_Integer_Mode_Reusing_Same_Loop_Iterator_1_NT_Loop0_TestCase9, NO, 1703)
(FSE_Mathematical_Integer_Mode_Reusing_Same_Loop_Iterator_1_NT_Loop0_TestCase10, NO, 1721)</t>
  </si>
  <si>
    <t>(FSE_Mathematical_Integer_Mode_Reusing_Same_Loop_Iterator_1_NT_Loop17_TestCase0, NO, 1790)
(FSE_Mathematical_Integer_Mode_Reusing_Same_Loop_Iterator_1_NT_Loop19_TestCase0, NO, 1788)</t>
  </si>
  <si>
    <t>(FSE_Mathematical_Integer_Mode_Reusing_Same_Loop_Iterator_1_NT_Loop0_TestCase0, NO, 1767)</t>
  </si>
  <si>
    <t>(FSE_Mathematical_Integer_Mode_Misusing_Variable_Type_2_T_Loop23_TestCase6, YES, 1827)
(FSE_Mathematical_Integer_Mode_Misusing_Variable_Type_2_T_Loop23_TestCase7, YES, 1767)
(FSE_Mathematical_Integer_Mode_Misusing_Variable_Type_2_T_Loop23_TestCase5, YES, 1777)
(FSE_Mathematical_Integer_Mode_Misusing_Variable_Type_2_T_Loop23_TestCase4, YES, 1809)
(FSE_Mathematical_Integer_Mode_Misusing_Variable_Type_2_T_Loop23_TestCase1, YES, 1763)
(FSE_Mathematical_Integer_Mode_Misusing_Variable_Type_2_T_Loop23_TestCase3, YES, 1746)
(FSE_Mathematical_Integer_Mode_Misusing_Variable_Type_2_T_Loop23_TestCase2, YES, 1774)
(FSE_Mathematical_Integer_Mode_Misusing_Variable_Type_2_T_Loop23_TestCase10, YES, 1748)
(FSE_Mathematical_Integer_Mode_Misusing_Variable_Type_2_T_Loop23_TestCase9, YES, 1793)
(FSE_Mathematical_Integer_Mode_Misusing_Variable_Type_2_T_Loop23_TestCase8, YES, 1772)</t>
  </si>
  <si>
    <t>(FSE_Mathematical_Integer_Mode_Misusing_Variable_Type_2_T_Loop0_TestCase8, YES, 1712)
(FSE_Mathematical_Integer_Mode_Misusing_Variable_Type_2_T_Loop0_TestCase9, YES, 1742)
(FSE_Mathematical_Integer_Mode_Misusing_Variable_Type_2_T_Loop0_TestCase7, YES, 1755)
(FSE_Mathematical_Integer_Mode_Misusing_Variable_Type_2_T_Loop0_TestCase6, YES, 1754)
(FSE_Mathematical_Integer_Mode_Misusing_Variable_Type_2_T_Loop0_TestCase4, YES, 1735)
(FSE_Mathematical_Integer_Mode_Misusing_Variable_Type_2_T_Loop0_TestCase5, YES, 1734)
(FSE_Mathematical_Integer_Mode_Misusing_Variable_Type_2_T_Loop0_TestCase1, YES, 1717)
(FSE_Mathematical_Integer_Mode_Misusing_Variable_Type_2_T_Loop0_TestCase2, YES, 1765)
(FSE_Mathematical_Integer_Mode_Misusing_Variable_Type_2_T_Loop0_TestCase3, YES, 1750)
(FSE_Mathematical_Integer_Mode_Misusing_Variable_Type_2_T_Loop0_TestCase10, YES, 1736)</t>
  </si>
  <si>
    <t>(FSE_Mathematical_Integer_Mode_Misusing_Variable_Type_2_T_Loop23_TestCase0, YES, 1775)</t>
  </si>
  <si>
    <t>(FSE_Mathematical_Integer_Mode_Misusing_Variable_Type_2_T_Loop0_TestCase0, YES, 1820)</t>
  </si>
  <si>
    <t>(FSE_Mathematical_Integer_Mode_Misusing_Variable_Type_2_NT_Loop24_TestCase10, YES, 1757)
(FSE_Mathematical_Integer_Mode_Misusing_Variable_Type_2_NT_Loop24_TestCase6, YES, 1856)
(FSE_Mathematical_Integer_Mode_Misusing_Variable_Type_2_NT_Loop24_TestCase7, YES, 1774)
(FSE_Mathematical_Integer_Mode_Misusing_Variable_Type_2_NT_Loop24_TestCase5, YES, 1796)
(FSE_Mathematical_Integer_Mode_Misusing_Variable_Type_2_NT_Loop24_TestCase4, YES, 1738)
(FSE_Mathematical_Integer_Mode_Misusing_Variable_Type_2_NT_Loop24_TestCase1, YES, 2472)
(FSE_Mathematical_Integer_Mode_Misusing_Variable_Type_2_NT_Loop24_TestCase3, YES, 1779)
(FSE_Mathematical_Integer_Mode_Misusing_Variable_Type_2_NT_Loop24_TestCase2, YES, 1786)
(FSE_Mathematical_Integer_Mode_Misusing_Variable_Type_2_NT_Loop24_TestCase9, YES, 1773)
(FSE_Mathematical_Integer_Mode_Misusing_Variable_Type_2_NT_Loop24_TestCase8, YES, 1768)</t>
  </si>
  <si>
    <t>(FSE_Mathematical_Integer_Mode_Misusing_Variable_Type_2_NT_Loop0_TestCase3, YES, 1745)
(FSE_Mathematical_Integer_Mode_Misusing_Variable_Type_2_NT_Loop0_TestCase2, YES, 1770)
(FSE_Mathematical_Integer_Mode_Misusing_Variable_Type_2_NT_Loop0_TestCase1, YES, 1725)
(FSE_Mathematical_Integer_Mode_Misusing_Variable_Type_2_NT_Loop0_TestCase5, YES, 1730)
(FSE_Mathematical_Integer_Mode_Misusing_Variable_Type_2_NT_Loop0_TestCase4, YES, 1765)
(FSE_Mathematical_Integer_Mode_Misusing_Variable_Type_2_NT_Loop0_TestCase6, YES, 1851)
(FSE_Mathematical_Integer_Mode_Misusing_Variable_Type_2_NT_Loop0_TestCase7, YES, 1736)
(FSE_Mathematical_Integer_Mode_Misusing_Variable_Type_2_NT_Loop0_TestCase10, YES, 1824)
(FSE_Mathematical_Integer_Mode_Misusing_Variable_Type_2_NT_Loop0_TestCase9, YES, 1790)
(FSE_Mathematical_Integer_Mode_Misusing_Variable_Type_2_NT_Loop0_TestCase8, YES, 1773)</t>
  </si>
  <si>
    <t>(FSE_Mathematical_Integer_Mode_Misusing_Variable_Type_2_NT_Loop24_TestCase0, YES, 1811)</t>
  </si>
  <si>
    <t>(FSE_Mathematical_Integer_Mode_Misusing_Variable_Type_2_NT_Loop0_TestCase0, YES, 1808)</t>
  </si>
  <si>
    <t>(FSE_Mathematical_Integer_Mode_Misusing_Variable_Type_1_T_Loop14_TestCase0, YES, 1743)
(FSE_Mathematical_Integer_Mode_Misusing_Variable_Type_1_T_Loop16_TestCase0, YES, 1954)
(FSE_Mathematical_Integer_Mode_Misusing_Variable_Type_1_T_Loop18_TestCase0, YES, 2622)</t>
  </si>
  <si>
    <t>(FSE_Mathematical_Integer_Mode_Misusing_Variable_Type_1_T_Loop0_TestCase0, YES, 2290)</t>
  </si>
  <si>
    <t>(FSE_Mathematical_Integer_Mode_Misusing_Variable_Type_1_T_Loop14_TestCase0, YES, 1753)
(FSE_Mathematical_Integer_Mode_Misusing_Variable_Type_1_T_Loop16_TestCase0, YES, 1863)
(FSE_Mathematical_Integer_Mode_Misusing_Variable_Type_1_T_Loop18_TestCase0, YES, 2510)</t>
  </si>
  <si>
    <t>(FSE_Mathematical_Integer_Mode_Misusing_Variable_Type_1_T_Loop0_TestCase0, YES, 3108)</t>
  </si>
  <si>
    <t>2/3</t>
  </si>
  <si>
    <t>(FSE_Mathematical_Integer_Mode_Misusing_Variable_Type_1_NT_Loop14_TestCase0, YES, 1707)
(FSE_Mathematical_Integer_Mode_Misusing_Variable_Type_1_NT_Loop16_TestCase0, YES, 1735)
(FSE_Mathematical_Integer_Mode_Misusing_Variable_Type_1_NT_Loop18_TestCase0, NO, 1780)</t>
  </si>
  <si>
    <t>(FSE_Mathematical_Integer_Mode_Misusing_Variable_Type_1_NT_Loop0_TestCase0, YES, 2309)</t>
  </si>
  <si>
    <t>(FSE_Mathematical_Integer_Mode_Misusing_Variable_Type_1_NT_Loop14_TestCase0, YES, 1756)
(FSE_Mathematical_Integer_Mode_Misusing_Variable_Type_1_NT_Loop16_TestCase0, YES, 1750)
(FSE_Mathematical_Integer_Mode_Misusing_Variable_Type_1_NT_Loop18_TestCase0, NO, 1730)</t>
  </si>
  <si>
    <t>(FSE_Mathematical_Integer_Mode_Misusing_Variable_Type_1_NT_Loop0_TestCase0, YES, 2555)</t>
  </si>
  <si>
    <t>(FSE_Mathematical_Integer_Mode_Missing_Iterator_Update_5_T_Loop17_TestCase7, MAYBE, 1219)
(FSE_Mathematical_Integer_Mode_Missing_Iterator_Update_5_T_Loop17_TestCase6, MAYBE, 1239)
(FSE_Mathematical_Integer_Mode_Missing_Iterator_Update_5_T_Loop17_TestCase4, MAYBE, 1235)
(FSE_Mathematical_Integer_Mode_Missing_Iterator_Update_5_T_Loop17_TestCase5, MAYBE, 1233)
(FSE_Mathematical_Integer_Mode_Missing_Iterator_Update_5_T_Loop17_TestCase1, MAYBE, 1207)
(FSE_Mathematical_Integer_Mode_Missing_Iterator_Update_5_T_Loop17_TestCase2, MAYBE, 1245)
(FSE_Mathematical_Integer_Mode_Missing_Iterator_Update_5_T_Loop17_TestCase3, MAYBE, 1224)
(FSE_Mathematical_Integer_Mode_Missing_Iterator_Update_5_T_Loop22_TestCase9, YES, 3331)
(FSE_Mathematical_Integer_Mode_Missing_Iterator_Update_5_T_Loop22_TestCase8, YES, 2094)
(FSE_Mathematical_Integer_Mode_Missing_Iterator_Update_5_T_Loop17_TestCase10, MAYBE, 1217)
(FSE_Mathematical_Integer_Mode_Missing_Iterator_Update_5_T_Loop22_TestCase1, YES, 1797)
(FSE_Mathematical_Integer_Mode_Missing_Iterator_Update_5_T_Loop22_TestCase3, YES, 1816)
(FSE_Mathematical_Integer_Mode_Missing_Iterator_Update_5_T_Loop22_TestCase2, YES, 1919)
(FSE_Mathematical_Integer_Mode_Missing_Iterator_Update_5_T_Loop22_TestCase6, YES, 1876)
(FSE_Mathematical_Integer_Mode_Missing_Iterator_Update_5_T_Loop22_TestCase10, YES, 1827)
(FSE_Mathematical_Integer_Mode_Missing_Iterator_Update_5_T_Loop22_TestCase7, YES, 1858)
(FSE_Mathematical_Integer_Mode_Missing_Iterator_Update_5_T_Loop22_TestCase5, YES, 1806)
(FSE_Mathematical_Integer_Mode_Missing_Iterator_Update_5_T_Loop22_TestCase4, YES, 1851)
(FSE_Mathematical_Integer_Mode_Missing_Iterator_Update_5_T_Loop17_TestCase8, MAYBE, 1227)
(FSE_Mathematical_Integer_Mode_Missing_Iterator_Update_5_T_Loop17_TestCase9, MAYBE, 1228)</t>
  </si>
  <si>
    <t>(FSE_Mathematical_Integer_Mode_Missing_Iterator_Update_5_T_Loop0_TestCase9, YES, 1777)
(FSE_Mathematical_Integer_Mode_Missing_Iterator_Update_5_T_Loop0_TestCase8, YES, 1721)
(FSE_Mathematical_Integer_Mode_Missing_Iterator_Update_5_T_Loop0_TestCase10, YES, 1734)
(FSE_Mathematical_Integer_Mode_Missing_Iterator_Update_5_T_Loop0_TestCase3, YES, 1819)
(FSE_Mathematical_Integer_Mode_Missing_Iterator_Update_5_T_Loop0_TestCase2, YES, 1765)
(FSE_Mathematical_Integer_Mode_Missing_Iterator_Update_5_T_Loop0_TestCase1, YES, 1725)
(FSE_Mathematical_Integer_Mode_Missing_Iterator_Update_5_T_Loop0_TestCase5, YES, 1728)
(FSE_Mathematical_Integer_Mode_Missing_Iterator_Update_5_T_Loop0_TestCase4, YES, 1728)
(FSE_Mathematical_Integer_Mode_Missing_Iterator_Update_5_T_Loop0_TestCase6, YES, 1765)
(FSE_Mathematical_Integer_Mode_Missing_Iterator_Update_5_T_Loop0_TestCase7, YES, 1749)</t>
  </si>
  <si>
    <t>(FSE_Mathematical_Integer_Mode_Missing_Iterator_Update_5_T_Loop17_TestCase0, MAYBE, 1235)
(FSE_Mathematical_Integer_Mode_Missing_Iterator_Update_5_T_Loop22_TestCase0, YES, 1879)</t>
  </si>
  <si>
    <t>(FSE_Mathematical_Integer_Mode_Missing_Iterator_Update_5_T_Loop0_TestCase0, YES, 1820)</t>
  </si>
  <si>
    <t>(FSE_Mathematical_Integer_Mode_Missing_Iterator_Update_5_NT_Loop23_TestCase5, YES, 1860)
(FSE_Mathematical_Integer_Mode_Missing_Iterator_Update_5_NT_Loop23_TestCase4, NO, 2373)
(FSE_Mathematical_Integer_Mode_Missing_Iterator_Update_5_NT_Loop23_TestCase6, NO, 1943)
(FSE_Mathematical_Integer_Mode_Missing_Iterator_Update_5_NT_Loop23_TestCase7, NO, 2133)
(FSE_Mathematical_Integer_Mode_Missing_Iterator_Update_5_NT_Loop23_TestCase10, NO, 241551)
(FSE_Mathematical_Integer_Mode_Missing_Iterator_Update_5_NT_Loop18_TestCase8, MAYBE, 1212)
(FSE_Mathematical_Integer_Mode_Missing_Iterator_Update_5_NT_Loop23_TestCase3, YES, 1837)
(FSE_Mathematical_Integer_Mode_Missing_Iterator_Update_5_NT_Loop23_TestCase2, NO, 1814)
(FSE_Mathematical_Integer_Mode_Missing_Iterator_Update_5_NT_Loop18_TestCase9, MAYBE, 1235)
(FSE_Mathematical_Integer_Mode_Missing_Iterator_Update_5_NT_Loop23_TestCase1, YES, 1829)
(FSE_Mathematical_Integer_Mode_Missing_Iterator_Update_5_NT_Loop18_TestCase7, MAYBE, 1232)
(FSE_Mathematical_Integer_Mode_Missing_Iterator_Update_5_NT_Loop18_TestCase6, MAYBE, 1235)
(FSE_Mathematical_Integer_Mode_Missing_Iterator_Update_5_NT_Loop18_TestCase4, MAYBE, 1198)
(FSE_Mathematical_Integer_Mode_Missing_Iterator_Update_5_NT_Loop18_TestCase5, MAYBE, 1213)
(FSE_Mathematical_Integer_Mode_Missing_Iterator_Update_5_NT_Loop18_TestCase1, MAYBE, 1251)
(FSE_Mathematical_Integer_Mode_Missing_Iterator_Update_5_NT_Loop18_TestCase2, MAYBE, 1238)
(FSE_Mathematical_Integer_Mode_Missing_Iterator_Update_5_NT_Loop18_TestCase10, MAYBE, 1214)
(FSE_Mathematical_Integer_Mode_Missing_Iterator_Update_5_NT_Loop23_TestCase9, NO, 2189)
(FSE_Mathematical_Integer_Mode_Missing_Iterator_Update_5_NT_Loop23_TestCase8, TIMEOUT, 301999)
(FSE_Mathematical_Integer_Mode_Missing_Iterator_Update_5_NT_Loop18_TestCase3, MAYBE, 1208)</t>
  </si>
  <si>
    <t>(FSE_Mathematical_Integer_Mode_Missing_Iterator_Update_5_NT_Loop0_TestCase2, NO, 1765)
(FSE_Mathematical_Integer_Mode_Missing_Iterator_Update_5_NT_Loop0_TestCase3, YES, 1781)
(FSE_Mathematical_Integer_Mode_Missing_Iterator_Update_5_NT_Loop0_TestCase1, YES, 1733)
(FSE_Mathematical_Integer_Mode_Missing_Iterator_Update_5_NT_Loop0_TestCase4, NO, 1775)
(FSE_Mathematical_Integer_Mode_Missing_Iterator_Update_5_NT_Loop0_TestCase5, YES, 1750)
(FSE_Mathematical_Integer_Mode_Missing_Iterator_Update_5_NT_Loop0_TestCase7, NO, 1735)
(FSE_Mathematical_Integer_Mode_Missing_Iterator_Update_5_NT_Loop0_TestCase6, NO, 1727)
(FSE_Mathematical_Integer_Mode_Missing_Iterator_Update_5_NT_Loop0_TestCase10, NO, 1715)
(FSE_Mathematical_Integer_Mode_Missing_Iterator_Update_5_NT_Loop0_TestCase8, NO, 1745)
(FSE_Mathematical_Integer_Mode_Missing_Iterator_Update_5_NT_Loop0_TestCase9, NO, 1742)</t>
  </si>
  <si>
    <t>(FSE_Mathematical_Integer_Mode_Missing_Iterator_Update_5_NT_Loop23_TestCase0, NO, 1930)
(FSE_Mathematical_Integer_Mode_Missing_Iterator_Update_5_NT_Loop18_TestCase0, MAYBE, 1262)</t>
  </si>
  <si>
    <t>(FSE_Mathematical_Integer_Mode_Missing_Iterator_Update_5_NT_Loop0_TestCase0, NO, 1810)</t>
  </si>
  <si>
    <t>(FSE_Mathematical_Integer_Mode_Missing_Iterator_Update_4_T_Loop19_TestCase6, YES, 1727)
(FSE_Mathematical_Integer_Mode_Missing_Iterator_Update_4_T_Loop21_TestCase8, YES, 2021)
(FSE_Mathematical_Integer_Mode_Missing_Iterator_Update_4_T_Loop21_TestCase9, YES, 2062)
(FSE_Mathematical_Integer_Mode_Missing_Iterator_Update_4_T_Loop19_TestCase7, YES, 1750)
(FSE_Mathematical_Integer_Mode_Missing_Iterator_Update_4_T_Loop19_TestCase5, YES, 1767)
(FSE_Mathematical_Integer_Mode_Missing_Iterator_Update_4_T_Loop19_TestCase4, YES, 1755)
(FSE_Mathematical_Integer_Mode_Missing_Iterator_Update_4_T_Loop19_TestCase1, YES, 1770)
(FSE_Mathematical_Integer_Mode_Missing_Iterator_Update_4_T_Loop19_TestCase3, YES, 1806)
(FSE_Mathematical_Integer_Mode_Missing_Iterator_Update_4_T_Loop19_TestCase2, YES, 1702)
(FSE_Mathematical_Integer_Mode_Missing_Iterator_Update_4_T_Loop21_TestCase10, YES, 1987)
(FSE_Mathematical_Integer_Mode_Missing_Iterator_Update_4_T_Loop21_TestCase1, YES, 1803)
(FSE_Mathematical_Integer_Mode_Missing_Iterator_Update_4_T_Loop21_TestCase2, YES, 1724)
(FSE_Mathematical_Integer_Mode_Missing_Iterator_Update_4_T_Loop21_TestCase3, YES, 1729)
(FSE_Mathematical_Integer_Mode_Missing_Iterator_Update_4_T_Loop19_TestCase9, YES, 1777)
(FSE_Mathematical_Integer_Mode_Missing_Iterator_Update_4_T_Loop21_TestCase7, YES, 1883)
(FSE_Mathematical_Integer_Mode_Missing_Iterator_Update_4_T_Loop21_TestCase6, YES, 1736)
(FSE_Mathematical_Integer_Mode_Missing_Iterator_Update_4_T_Loop19_TestCase8, YES, 1754)
(FSE_Mathematical_Integer_Mode_Missing_Iterator_Update_4_T_Loop21_TestCase4, YES, 1743)
(FSE_Mathematical_Integer_Mode_Missing_Iterator_Update_4_T_Loop19_TestCase10, YES, 1776)
(FSE_Mathematical_Integer_Mode_Missing_Iterator_Update_4_T_Loop21_TestCase5, YES, 1782)</t>
  </si>
  <si>
    <t>(FSE_Mathematical_Integer_Mode_Missing_Iterator_Update_4_T_Loop0_TestCase1, YES, 1727)
(FSE_Mathematical_Integer_Mode_Missing_Iterator_Update_4_T_Loop0_TestCase3, YES, 1709)
(FSE_Mathematical_Integer_Mode_Missing_Iterator_Update_4_T_Loop0_TestCase2, YES, 1710)
(FSE_Mathematical_Integer_Mode_Missing_Iterator_Update_4_T_Loop0_TestCase6, YES, 1724)
(FSE_Mathematical_Integer_Mode_Missing_Iterator_Update_4_T_Loop0_TestCase7, YES, 2040)
(FSE_Mathematical_Integer_Mode_Missing_Iterator_Update_4_T_Loop0_TestCase5, YES, 1715)
(FSE_Mathematical_Integer_Mode_Missing_Iterator_Update_4_T_Loop0_TestCase4, YES, 1729)
(FSE_Mathematical_Integer_Mode_Missing_Iterator_Update_4_T_Loop0_TestCase9, YES, 2086)
(FSE_Mathematical_Integer_Mode_Missing_Iterator_Update_4_T_Loop0_TestCase8, YES, 2171)
(FSE_Mathematical_Integer_Mode_Missing_Iterator_Update_4_T_Loop0_TestCase10, YES, 2008)</t>
  </si>
  <si>
    <t>(FSE_Mathematical_Integer_Mode_Missing_Iterator_Update_4_T_Loop19_TestCase0, YES, 1810)
(FSE_Mathematical_Integer_Mode_Missing_Iterator_Update_4_T_Loop21_TestCase0, YES, 2214)</t>
  </si>
  <si>
    <t>(FSE_Mathematical_Integer_Mode_Missing_Iterator_Update_4_T_Loop0_TestCase0, YES, 2963)</t>
  </si>
  <si>
    <t>(FSE_Mathematical_Integer_Mode_Missing_Iterator_Update_4_NT_Loop21_TestCase3, YES, 1724)
(FSE_Mathematical_Integer_Mode_Missing_Iterator_Update_4_NT_Loop21_TestCase2, YES, 1728)
(FSE_Mathematical_Integer_Mode_Missing_Iterator_Update_4_NT_Loop21_TestCase1, YES, 1802)
(FSE_Mathematical_Integer_Mode_Missing_Iterator_Update_4_NT_Loop21_TestCase5, YES, 1790)
(FSE_Mathematical_Integer_Mode_Missing_Iterator_Update_4_NT_Loop21_TestCase4, YES, 1783)
(FSE_Mathematical_Integer_Mode_Missing_Iterator_Update_4_NT_Loop19_TestCase8, NO, 1717)
(FSE_Mathematical_Integer_Mode_Missing_Iterator_Update_4_NT_Loop21_TestCase6, NO, 1734)
(FSE_Mathematical_Integer_Mode_Missing_Iterator_Update_4_NT_Loop21_TestCase7, NO, 1741)
(FSE_Mathematical_Integer_Mode_Missing_Iterator_Update_4_NT_Loop19_TestCase9, NO, 1994)
(FSE_Mathematical_Integer_Mode_Missing_Iterator_Update_4_NT_Loop21_TestCase10, NO, 1716)
(FSE_Mathematical_Integer_Mode_Missing_Iterator_Update_4_NT_Loop19_TestCase4, YES, 1712)
(FSE_Mathematical_Integer_Mode_Missing_Iterator_Update_4_NT_Loop19_TestCase5, YES, 1725)
(FSE_Mathematical_Integer_Mode_Missing_Iterator_Update_4_NT_Loop19_TestCase7, NO, 1695)
(FSE_Mathematical_Integer_Mode_Missing_Iterator_Update_4_NT_Loop21_TestCase9, NO, 1736)
(FSE_Mathematical_Integer_Mode_Missing_Iterator_Update_4_NT_Loop21_TestCase8, NO, 1777)
(FSE_Mathematical_Integer_Mode_Missing_Iterator_Update_4_NT_Loop19_TestCase6, NO, 1745)
(FSE_Mathematical_Integer_Mode_Missing_Iterator_Update_4_NT_Loop19_TestCase2, YES, 1704)
(FSE_Mathematical_Integer_Mode_Missing_Iterator_Update_4_NT_Loop19_TestCase10, NO, 1713)
(FSE_Mathematical_Integer_Mode_Missing_Iterator_Update_4_NT_Loop19_TestCase3, YES, 1734)
(FSE_Mathematical_Integer_Mode_Missing_Iterator_Update_4_NT_Loop19_TestCase1, YES, 1712)</t>
  </si>
  <si>
    <t>(FSE_Mathematical_Integer_Mode_Missing_Iterator_Update_4_NT_Loop0_TestCase10, NO, 1670)
(FSE_Mathematical_Integer_Mode_Missing_Iterator_Update_4_NT_Loop0_TestCase6, NO, 1735)
(FSE_Mathematical_Integer_Mode_Missing_Iterator_Update_4_NT_Loop0_TestCase7, NO, 1931)
(FSE_Mathematical_Integer_Mode_Missing_Iterator_Update_4_NT_Loop0_TestCase5, YES, 1709)
(FSE_Mathematical_Integer_Mode_Missing_Iterator_Update_4_NT_Loop0_TestCase4, YES, 1743)
(FSE_Mathematical_Integer_Mode_Missing_Iterator_Update_4_NT_Loop0_TestCase1, YES, 1723)
(FSE_Mathematical_Integer_Mode_Missing_Iterator_Update_4_NT_Loop0_TestCase3, YES, 1715)
(FSE_Mathematical_Integer_Mode_Missing_Iterator_Update_4_NT_Loop0_TestCase2, YES, 1718)
(FSE_Mathematical_Integer_Mode_Missing_Iterator_Update_4_NT_Loop0_TestCase9, NO, 1789)
(FSE_Mathematical_Integer_Mode_Missing_Iterator_Update_4_NT_Loop0_TestCase8, NO, 1863)</t>
  </si>
  <si>
    <t>(FSE_Mathematical_Integer_Mode_Missing_Iterator_Update_4_NT_Loop21_TestCase0, NO, 1813)
(FSE_Mathematical_Integer_Mode_Missing_Iterator_Update_4_NT_Loop19_TestCase0, NO, 1810)</t>
  </si>
  <si>
    <t>(FSE_Mathematical_Integer_Mode_Missing_Iterator_Update_4_NT_Loop0_TestCase0, NO, 2158)</t>
  </si>
  <si>
    <t>(FSE_Mathematical_Integer_Mode_Missing_Iterator_Update_3_T_Loop30_TestCase1, YES, 1789)
(FSE_Mathematical_Integer_Mode_Missing_Iterator_Update_3_T_Loop30_TestCase2, YES, 1817)
(FSE_Mathematical_Integer_Mode_Missing_Iterator_Update_3_T_Loop36_TestCase8, MAYBE, 1250)
(FSE_Mathematical_Integer_Mode_Missing_Iterator_Update_3_T_Loop36_TestCase9, MAYBE, 1251)
(FSE_Mathematical_Integer_Mode_Missing_Iterator_Update_3_T_Loop30_TestCase3, YES, 1791)
(FSE_Mathematical_Integer_Mode_Missing_Iterator_Update_3_T_Loop30_TestCase7, YES, 1820)
(FSE_Mathematical_Integer_Mode_Missing_Iterator_Update_3_T_Loop30_TestCase6, YES, 1805)
(FSE_Mathematical_Integer_Mode_Missing_Iterator_Update_3_T_Loop30_TestCase4, YES, 1794)
(FSE_Mathematical_Integer_Mode_Missing_Iterator_Update_3_T_Loop30_TestCase5, YES, 1852)
(FSE_Mathematical_Integer_Mode_Missing_Iterator_Update_3_T_Loop30_TestCase10, YES, 1761)
(FSE_Mathematical_Integer_Mode_Missing_Iterator_Update_3_T_Loop36_TestCase10, MAYBE, 1241)
(FSE_Mathematical_Integer_Mode_Missing_Iterator_Update_3_T_Loop30_TestCase8, YES, 1803)
(FSE_Mathematical_Integer_Mode_Missing_Iterator_Update_3_T_Loop36_TestCase2, MAYBE, 1250)
(FSE_Mathematical_Integer_Mode_Missing_Iterator_Update_3_T_Loop36_TestCase3, MAYBE, 1253)
(FSE_Mathematical_Integer_Mode_Missing_Iterator_Update_3_T_Loop30_TestCase9, YES, 1784)
(FSE_Mathematical_Integer_Mode_Missing_Iterator_Update_3_T_Loop36_TestCase1, MAYBE, 1274)
(FSE_Mathematical_Integer_Mode_Missing_Iterator_Update_3_T_Loop36_TestCase4, MAYBE, 1254)
(FSE_Mathematical_Integer_Mode_Missing_Iterator_Update_3_T_Loop36_TestCase5, MAYBE, 1260)
(FSE_Mathematical_Integer_Mode_Missing_Iterator_Update_3_T_Loop36_TestCase7, MAYBE, 1306)
(FSE_Mathematical_Integer_Mode_Missing_Iterator_Update_3_T_Loop36_TestCase6, MAYBE, 1265)</t>
  </si>
  <si>
    <t>(FSE_Mathematical_Integer_Mode_Missing_Iterator_Update_3_T_Loop0_TestCase8, MAYBE, 1230)
(FSE_Mathematical_Integer_Mode_Missing_Iterator_Update_3_T_Loop0_TestCase9, MAYBE, 1243)
(FSE_Mathematical_Integer_Mode_Missing_Iterator_Update_3_T_Loop0_TestCase7, MAYBE, 1255)
(FSE_Mathematical_Integer_Mode_Missing_Iterator_Update_3_T_Loop0_TestCase6, MAYBE, 1218)
(FSE_Mathematical_Integer_Mode_Missing_Iterator_Update_3_T_Loop0_TestCase4, MAYBE, 1231)
(FSE_Mathematical_Integer_Mode_Missing_Iterator_Update_3_T_Loop0_TestCase5, MAYBE, 1225)
(FSE_Mathematical_Integer_Mode_Missing_Iterator_Update_3_T_Loop0_TestCase1, MAYBE, 1216)
(FSE_Mathematical_Integer_Mode_Missing_Iterator_Update_3_T_Loop0_TestCase2, MAYBE, 1233)
(FSE_Mathematical_Integer_Mode_Missing_Iterator_Update_3_T_Loop0_TestCase3, MAYBE, 1212)
(FSE_Mathematical_Integer_Mode_Missing_Iterator_Update_3_T_Loop0_TestCase10, MAYBE, 1256)</t>
  </si>
  <si>
    <t>(FSE_Mathematical_Integer_Mode_Missing_Iterator_Update_3_T_Loop30_TestCase0, YES, 1898)
(FSE_Mathematical_Integer_Mode_Missing_Iterator_Update_3_T_Loop36_TestCase0, MAYBE, 1273)</t>
  </si>
  <si>
    <t>(FSE_Mathematical_Integer_Mode_Missing_Iterator_Update_3_T_Loop0_TestCase0, TIMEOUT, 302406)</t>
  </si>
  <si>
    <t>(FSE_Mathematical_Integer_Mode_Missing_Iterator_Update_3_NT_Loop29_TestCase8, YES, 1843)
(FSE_Mathematical_Integer_Mode_Missing_Iterator_Update_3_NT_Loop29_TestCase9, YES, 1804)
(FSE_Mathematical_Integer_Mode_Missing_Iterator_Update_3_NT_Loop35_TestCase4, MAYBE, 1818)
(FSE_Mathematical_Integer_Mode_Missing_Iterator_Update_3_NT_Loop35_TestCase5, MAYBE, 1274)
(FSE_Mathematical_Integer_Mode_Missing_Iterator_Update_3_NT_Loop35_TestCase7, MAYBE, 1271)
(FSE_Mathematical_Integer_Mode_Missing_Iterator_Update_3_NT_Loop35_TestCase6, MAYBE, 1275)
(FSE_Mathematical_Integer_Mode_Missing_Iterator_Update_3_NT_Loop35_TestCase2, MAYBE, 1250)
(FSE_Mathematical_Integer_Mode_Missing_Iterator_Update_3_NT_Loop35_TestCase3, MAYBE, 1257)
(FSE_Mathematical_Integer_Mode_Missing_Iterator_Update_3_NT_Loop35_TestCase1, MAYBE, 1278)
(FSE_Mathematical_Integer_Mode_Missing_Iterator_Update_3_NT_Loop35_TestCase8, MAYBE, 1248)
(FSE_Mathematical_Integer_Mode_Missing_Iterator_Update_3_NT_Loop35_TestCase9, MAYBE, 1242)
(FSE_Mathematical_Integer_Mode_Missing_Iterator_Update_3_NT_Loop35_TestCase10, MAYBE, 1258)
(FSE_Mathematical_Integer_Mode_Missing_Iterator_Update_3_NT_Loop29_TestCase7, YES, 1789)
(FSE_Mathematical_Integer_Mode_Missing_Iterator_Update_3_NT_Loop29_TestCase6, YES, 1813)
(FSE_Mathematical_Integer_Mode_Missing_Iterator_Update_3_NT_Loop29_TestCase4, YES, 1799)
(FSE_Mathematical_Integer_Mode_Missing_Iterator_Update_3_NT_Loop29_TestCase5, YES, 1781)
(FSE_Mathematical_Integer_Mode_Missing_Iterator_Update_3_NT_Loop29_TestCase1, YES, 1790)
(FSE_Mathematical_Integer_Mode_Missing_Iterator_Update_3_NT_Loop29_TestCase10, YES, 1792)
(FSE_Mathematical_Integer_Mode_Missing_Iterator_Update_3_NT_Loop29_TestCase2, YES, 1799)
(FSE_Mathematical_Integer_Mode_Missing_Iterator_Update_3_NT_Loop29_TestCase3, YES, 1809)</t>
  </si>
  <si>
    <t>(FSE_Mathematical_Integer_Mode_Missing_Iterator_Update_3_NT_Loop0_TestCase5, MAYBE, 1221)
(FSE_Mathematical_Integer_Mode_Missing_Iterator_Update_3_NT_Loop0_TestCase10, MAYBE, 1277)
(FSE_Mathematical_Integer_Mode_Missing_Iterator_Update_3_NT_Loop0_TestCase4, MAYBE, 1238)
(FSE_Mathematical_Integer_Mode_Missing_Iterator_Update_3_NT_Loop0_TestCase6, MAYBE, 1265)
(FSE_Mathematical_Integer_Mode_Missing_Iterator_Update_3_NT_Loop0_TestCase7, MAYBE, 1243)
(FSE_Mathematical_Integer_Mode_Missing_Iterator_Update_3_NT_Loop0_TestCase3, MAYBE, 1231)
(FSE_Mathematical_Integer_Mode_Missing_Iterator_Update_3_NT_Loop0_TestCase2, MAYBE, 1263)
(FSE_Mathematical_Integer_Mode_Missing_Iterator_Update_3_NT_Loop0_TestCase1, MAYBE, 1216)
(FSE_Mathematical_Integer_Mode_Missing_Iterator_Update_3_NT_Loop0_TestCase9, MAYBE, 1238)
(FSE_Mathematical_Integer_Mode_Missing_Iterator_Update_3_NT_Loop0_TestCase8, MAYBE, 1194)</t>
  </si>
  <si>
    <t>(FSE_Mathematical_Integer_Mode_Missing_Iterator_Update_3_NT_Loop35_TestCase0, MAYBE, 1317)
(FSE_Mathematical_Integer_Mode_Missing_Iterator_Update_3_NT_Loop29_TestCase0, YES, 1901)</t>
  </si>
  <si>
    <t>(FSE_Mathematical_Integer_Mode_Missing_Iterator_Update_3_NT_Loop0_TestCase0, NO, 184495)</t>
  </si>
  <si>
    <t>(FSE_Mathematical_Integer_Mode_Missing_Iterator_Update_2_T_Loop28_TestCase8, YES, 1798)
(FSE_Mathematical_Integer_Mode_Missing_Iterator_Update_2_T_Loop28_TestCase9, YES, 1805)
(FSE_Mathematical_Integer_Mode_Missing_Iterator_Update_2_T_Loop28_TestCase10, YES, 1786)
(FSE_Mathematical_Integer_Mode_Missing_Iterator_Update_2_T_Loop28_TestCase7, YES, 1749)
(FSE_Mathematical_Integer_Mode_Missing_Iterator_Update_2_T_Loop28_TestCase6, YES, 1800)
(FSE_Mathematical_Integer_Mode_Missing_Iterator_Update_2_T_Loop28_TestCase4, YES, 1718)
(FSE_Mathematical_Integer_Mode_Missing_Iterator_Update_2_T_Loop28_TestCase5, YES, 1804)
(FSE_Mathematical_Integer_Mode_Missing_Iterator_Update_2_T_Loop28_TestCase1, YES, 1776)
(FSE_Mathematical_Integer_Mode_Missing_Iterator_Update_2_T_Loop28_TestCase2, YES, 1749)
(FSE_Mathematical_Integer_Mode_Missing_Iterator_Update_2_T_Loop28_TestCase3, YES, 1772)</t>
  </si>
  <si>
    <t>(FSE_Mathematical_Integer_Mode_Missing_Iterator_Update_2_T_Loop0_TestCase4, YES, 1729)
(FSE_Mathematical_Integer_Mode_Missing_Iterator_Update_2_T_Loop0_TestCase5, YES, 1752)
(FSE_Mathematical_Integer_Mode_Missing_Iterator_Update_2_T_Loop0_TestCase7, YES, 1711)
(FSE_Mathematical_Integer_Mode_Missing_Iterator_Update_2_T_Loop0_TestCase6, YES, 1716)
(FSE_Mathematical_Integer_Mode_Missing_Iterator_Update_2_T_Loop0_TestCase2, YES, 1762)
(FSE_Mathematical_Integer_Mode_Missing_Iterator_Update_2_T_Loop0_TestCase3, YES, 1717)
(FSE_Mathematical_Integer_Mode_Missing_Iterator_Update_2_T_Loop0_TestCase1, YES, 1773)
(FSE_Mathematical_Integer_Mode_Missing_Iterator_Update_2_T_Loop0_TestCase10, YES, 1719)
(FSE_Mathematical_Integer_Mode_Missing_Iterator_Update_2_T_Loop0_TestCase8, YES, 1748)
(FSE_Mathematical_Integer_Mode_Missing_Iterator_Update_2_T_Loop0_TestCase9, YES, 1764)</t>
  </si>
  <si>
    <t>(FSE_Mathematical_Integer_Mode_Missing_Iterator_Update_2_T_Loop28_TestCase0, YES, 2056)</t>
  </si>
  <si>
    <t>(FSE_Mathematical_Integer_Mode_Missing_Iterator_Update_2_T_Loop0_TestCase0, YES, 1953)</t>
  </si>
  <si>
    <t>(FSE_Mathematical_Integer_Mode_Missing_Iterator_Update_2_NT_Loop28_TestCase8, NO, 1782)
(FSE_Mathematical_Integer_Mode_Missing_Iterator_Update_2_NT_Loop28_TestCase9, NO, 1748)
(FSE_Mathematical_Integer_Mode_Missing_Iterator_Update_2_NT_Loop28_TestCase4, YES, 2957)
(FSE_Mathematical_Integer_Mode_Missing_Iterator_Update_2_NT_Loop28_TestCase5, YES, 1875)
(FSE_Mathematical_Integer_Mode_Missing_Iterator_Update_2_NT_Loop28_TestCase7, NO, 1734)
(FSE_Mathematical_Integer_Mode_Missing_Iterator_Update_2_NT_Loop28_TestCase6, NO, 1762)
(FSE_Mathematical_Integer_Mode_Missing_Iterator_Update_2_NT_Loop28_TestCase10, NO, 1760)
(FSE_Mathematical_Integer_Mode_Missing_Iterator_Update_2_NT_Loop28_TestCase2, YES, 1969)
(FSE_Mathematical_Integer_Mode_Missing_Iterator_Update_2_NT_Loop28_TestCase3, YES, 1919)
(FSE_Mathematical_Integer_Mode_Missing_Iterator_Update_2_NT_Loop28_TestCase1, YES, 1773)</t>
  </si>
  <si>
    <t>(FSE_Mathematical_Integer_Mode_Missing_Iterator_Update_2_NT_Loop0_TestCase1, YES, 1708)
(FSE_Mathematical_Integer_Mode_Missing_Iterator_Update_2_NT_Loop0_TestCase2, YES, 1843)
(FSE_Mathematical_Integer_Mode_Missing_Iterator_Update_2_NT_Loop0_TestCase3, YES, 1855)
(FSE_Mathematical_Integer_Mode_Missing_Iterator_Update_2_NT_Loop0_TestCase7, NO, 1785)
(FSE_Mathematical_Integer_Mode_Missing_Iterator_Update_2_NT_Loop0_TestCase6, NO, 1718)
(FSE_Mathematical_Integer_Mode_Missing_Iterator_Update_2_NT_Loop0_TestCase4, YES, 1757)
(FSE_Mathematical_Integer_Mode_Missing_Iterator_Update_2_NT_Loop0_TestCase5, YES, 1794)
(FSE_Mathematical_Integer_Mode_Missing_Iterator_Update_2_NT_Loop0_TestCase8, NO, 1722)
(FSE_Mathematical_Integer_Mode_Missing_Iterator_Update_2_NT_Loop0_TestCase9, NO, 1760)
(FSE_Mathematical_Integer_Mode_Missing_Iterator_Update_2_NT_Loop0_TestCase10, NO, 1766)</t>
  </si>
  <si>
    <t>(FSE_Mathematical_Integer_Mode_Missing_Iterator_Update_2_NT_Loop28_TestCase0, NO, 1856)</t>
  </si>
  <si>
    <t>(FSE_Mathematical_Integer_Mode_Missing_Iterator_Update_2_NT_Loop0_TestCase0, NO, 1858)</t>
  </si>
  <si>
    <t>(FSE_Mathematical_Integer_Mode_Missing_Iterator_Update_1_T_Loop17_TestCase1, YES, 1741)
(FSE_Mathematical_Integer_Mode_Missing_Iterator_Update_1_T_Loop17_TestCase2, YES, 1748)
(FSE_Mathematical_Integer_Mode_Missing_Iterator_Update_1_T_Loop17_TestCase3, YES, 1745)
(FSE_Mathematical_Integer_Mode_Missing_Iterator_Update_1_T_Loop17_TestCase7, YES, 1758)
(FSE_Mathematical_Integer_Mode_Missing_Iterator_Update_1_T_Loop17_TestCase6, YES, 1772)
(FSE_Mathematical_Integer_Mode_Missing_Iterator_Update_1_T_Loop17_TestCase4, YES, 1772)
(FSE_Mathematical_Integer_Mode_Missing_Iterator_Update_1_T_Loop17_TestCase5, YES, 1757)
(FSE_Mathematical_Integer_Mode_Missing_Iterator_Update_1_T_Loop17_TestCase10, YES, 1777)
(FSE_Mathematical_Integer_Mode_Missing_Iterator_Update_1_T_Loop35_TestCase9, YES, 1758)
(FSE_Mathematical_Integer_Mode_Missing_Iterator_Update_1_T_Loop35_TestCase8, YES, 1810)
(FSE_Mathematical_Integer_Mode_Missing_Iterator_Update_1_T_Loop35_TestCase6, YES, 1742)
(FSE_Mathematical_Integer_Mode_Missing_Iterator_Update_1_T_Loop35_TestCase7, YES, 1785)
(FSE_Mathematical_Integer_Mode_Missing_Iterator_Update_1_T_Loop35_TestCase5, YES, 1770)
(FSE_Mathematical_Integer_Mode_Missing_Iterator_Update_1_T_Loop35_TestCase4, YES, 1778)
(FSE_Mathematical_Integer_Mode_Missing_Iterator_Update_1_T_Loop35_TestCase1, YES, 1760)
(FSE_Mathematical_Integer_Mode_Missing_Iterator_Update_1_T_Loop35_TestCase3, YES, 3909)
(FSE_Mathematical_Integer_Mode_Missing_Iterator_Update_1_T_Loop35_TestCase2, YES, 1766)
(FSE_Mathematical_Integer_Mode_Missing_Iterator_Update_1_T_Loop17_TestCase8, YES, 1779)
(FSE_Mathematical_Integer_Mode_Missing_Iterator_Update_1_T_Loop17_TestCase9, YES, 1800)
(FSE_Mathematical_Integer_Mode_Missing_Iterator_Update_1_T_Loop35_TestCase10, YES, 1780)</t>
  </si>
  <si>
    <t>(FSE_Mathematical_Integer_Mode_Missing_Iterator_Update_1_T_Loop0_TestCase9, YES, 1720)
(FSE_Mathematical_Integer_Mode_Missing_Iterator_Update_1_T_Loop0_TestCase8, YES, 1730)
(FSE_Mathematical_Integer_Mode_Missing_Iterator_Update_1_T_Loop0_TestCase1, YES, 1739)
(FSE_Mathematical_Integer_Mode_Missing_Iterator_Update_1_T_Loop0_TestCase3, YES, 1703)
(FSE_Mathematical_Integer_Mode_Missing_Iterator_Update_1_T_Loop0_TestCase10, YES, 1739)
(FSE_Mathematical_Integer_Mode_Missing_Iterator_Update_1_T_Loop0_TestCase2, YES, 1735)
(FSE_Mathematical_Integer_Mode_Missing_Iterator_Update_1_T_Loop0_TestCase6, YES, 1756)
(FSE_Mathematical_Integer_Mode_Missing_Iterator_Update_1_T_Loop0_TestCase7, YES, 1729)
(FSE_Mathematical_Integer_Mode_Missing_Iterator_Update_1_T_Loop0_TestCase5, YES, 1759)
(FSE_Mathematical_Integer_Mode_Missing_Iterator_Update_1_T_Loop0_TestCase4, YES, 1799)</t>
  </si>
  <si>
    <t>(FSE_Mathematical_Integer_Mode_Missing_Iterator_Update_1_T_Loop17_TestCase0, YES, 1842)
(FSE_Mathematical_Integer_Mode_Missing_Iterator_Update_1_T_Loop35_TestCase0, YES, 1980)</t>
  </si>
  <si>
    <t>(FSE_Mathematical_Integer_Mode_Missing_Iterator_Update_1_T_Loop0_TestCase0, YES, 2047)</t>
  </si>
  <si>
    <t>(FSE_Mathematical_Integer_Mode_Missing_Iterator_Update_1_NT_Loop18_TestCase9, YES, 1789)
(FSE_Mathematical_Integer_Mode_Missing_Iterator_Update_1_NT_Loop18_TestCase8, YES, 1791)
(FSE_Mathematical_Integer_Mode_Missing_Iterator_Update_1_NT_Loop18_TestCase1, YES, 1816)
(FSE_Mathematical_Integer_Mode_Missing_Iterator_Update_1_NT_Loop18_TestCase3, YES, 1760)
(FSE_Mathematical_Integer_Mode_Missing_Iterator_Update_1_NT_Loop18_TestCase2, YES, 1778)
(FSE_Mathematical_Integer_Mode_Missing_Iterator_Update_1_NT_Loop18_TestCase6, YES, 1782)
(FSE_Mathematical_Integer_Mode_Missing_Iterator_Update_1_NT_Loop18_TestCase7, YES, 1778)
(FSE_Mathematical_Integer_Mode_Missing_Iterator_Update_1_NT_Loop18_TestCase5, YES, 1792)
(FSE_Mathematical_Integer_Mode_Missing_Iterator_Update_1_NT_Loop18_TestCase4, YES, 1752)
(FSE_Mathematical_Integer_Mode_Missing_Iterator_Update_1_NT_Loop18_TestCase10, YES, 1791)</t>
  </si>
  <si>
    <t>(FSE_Mathematical_Integer_Mode_Missing_Iterator_Update_1_NT_Loop0_TestCase4, YES, 1738)
(FSE_Mathematical_Integer_Mode_Missing_Iterator_Update_1_NT_Loop0_TestCase5, YES, 1739)
(FSE_Mathematical_Integer_Mode_Missing_Iterator_Update_1_NT_Loop0_TestCase7, NO, 1738)
(FSE_Mathematical_Integer_Mode_Missing_Iterator_Update_1_NT_Loop0_TestCase6, NO, 1771)
(FSE_Mathematical_Integer_Mode_Missing_Iterator_Update_1_NT_Loop0_TestCase2, YES, 1705)
(FSE_Mathematical_Integer_Mode_Missing_Iterator_Update_1_NT_Loop0_TestCase3, YES, 1737)
(FSE_Mathematical_Integer_Mode_Missing_Iterator_Update_1_NT_Loop0_TestCase1, YES, 1730)
(FSE_Mathematical_Integer_Mode_Missing_Iterator_Update_1_NT_Loop0_TestCase10, NO, 1751)
(FSE_Mathematical_Integer_Mode_Missing_Iterator_Update_1_NT_Loop0_TestCase8, NO, 1728)
(FSE_Mathematical_Integer_Mode_Missing_Iterator_Update_1_NT_Loop0_TestCase9, NO, 1741)</t>
  </si>
  <si>
    <t>(FSE_Mathematical_Integer_Mode_Missing_Iterator_Update_1_NT_Loop18_TestCase0, YES, 1852)</t>
  </si>
  <si>
    <t>(FSE_Mathematical_Integer_Mode_Missing_Iterator_Update_1_NT_Loop0_TestCase0, NO, 1840)</t>
  </si>
  <si>
    <t>(FSE_Mathematical_Integer_Mode_Missing_Initialization_1_T_Loop17_TestCase7, YES, 1939)
(FSE_Mathematical_Integer_Mode_Missing_Initialization_1_T_Loop14_TestCase2, YES, 1717)
(FSE_Mathematical_Integer_Mode_Missing_Initialization_1_T_Loop14_TestCase3, YES, 1772)
(FSE_Mathematical_Integer_Mode_Missing_Initialization_1_T_Loop17_TestCase6, YES, 1948)
(FSE_Mathematical_Integer_Mode_Missing_Initialization_1_T_Loop17_TestCase4, YES, 1713)
(FSE_Mathematical_Integer_Mode_Missing_Initialization_1_T_Loop14_TestCase1, YES, 1756)
(FSE_Mathematical_Integer_Mode_Missing_Initialization_1_T_Loop17_TestCase5, YES, 2330)
(FSE_Mathematical_Integer_Mode_Missing_Initialization_1_T_Loop17_TestCase1, YES, 1735)
(FSE_Mathematical_Integer_Mode_Missing_Initialization_1_T_Loop14_TestCase4, YES, 1722)
(FSE_Mathematical_Integer_Mode_Missing_Initialization_1_T_Loop14_TestCase5, YES, 1738)
(FSE_Mathematical_Integer_Mode_Missing_Initialization_1_T_Loop17_TestCase2, YES, 1756)
(FSE_Mathematical_Integer_Mode_Missing_Initialization_1_T_Loop14_TestCase7, YES, 1834)
(FSE_Mathematical_Integer_Mode_Missing_Initialization_1_T_Loop14_TestCase6, YES, 2062)
(FSE_Mathematical_Integer_Mode_Missing_Initialization_1_T_Loop17_TestCase3, YES, 3909)
(FSE_Mathematical_Integer_Mode_Missing_Initialization_1_T_Loop14_TestCase10, YES, 1960)
(FSE_Mathematical_Integer_Mode_Missing_Initialization_1_T_Loop14_TestCase8, YES, 1777)
(FSE_Mathematical_Integer_Mode_Missing_Initialization_1_T_Loop14_TestCase9, YES, 1730)
(FSE_Mathematical_Integer_Mode_Missing_Initialization_1_T_Loop17_TestCase10, YES, 1950)
(FSE_Mathematical_Integer_Mode_Missing_Initialization_1_T_Loop17_TestCase8, YES, 1735)
(FSE_Mathematical_Integer_Mode_Missing_Initialization_1_T_Loop17_TestCase9, YES, 1751)</t>
  </si>
  <si>
    <t>(FSE_Mathematical_Integer_Mode_Missing_Initialization_1_T_Loop0_TestCase1, YES, 1687)
(FSE_Mathematical_Integer_Mode_Missing_Initialization_1_T_Loop0_TestCase2, YES, 1703)
(FSE_Mathematical_Integer_Mode_Missing_Initialization_1_T_Loop0_TestCase3, YES, 1718)
(FSE_Mathematical_Integer_Mode_Missing_Initialization_1_T_Loop0_TestCase7, YES, 1801)
(FSE_Mathematical_Integer_Mode_Missing_Initialization_1_T_Loop0_TestCase6, YES, 2202)
(FSE_Mathematical_Integer_Mode_Missing_Initialization_1_T_Loop0_TestCase4, YES, 1707)
(FSE_Mathematical_Integer_Mode_Missing_Initialization_1_T_Loop0_TestCase5, YES, 1703)
(FSE_Mathematical_Integer_Mode_Missing_Initialization_1_T_Loop0_TestCase10, YES, 2042)
(FSE_Mathematical_Integer_Mode_Missing_Initialization_1_T_Loop0_TestCase8, YES, 1690)
(FSE_Mathematical_Integer_Mode_Missing_Initialization_1_T_Loop0_TestCase9, YES, 1686)</t>
  </si>
  <si>
    <t>(FSE_Mathematical_Integer_Mode_Missing_Initialization_1_T_Loop14_TestCase0, YES, 2250)
(FSE_Mathematical_Integer_Mode_Missing_Initialization_1_T_Loop17_TestCase0, YES, 1920)</t>
  </si>
  <si>
    <t>(FSE_Mathematical_Integer_Mode_Missing_Initialization_1_T_Loop0_TestCase0, YES, 1920)</t>
  </si>
  <si>
    <t>(FSE_Mathematical_Integer_Mode_Missing_Initialization_1_NT_Loop16_TestCase6, NO, 1734)
(FSE_Mathematical_Integer_Mode_Missing_Initialization_1_NT_Loop16_TestCase7, NO, 1748)
(FSE_Mathematical_Integer_Mode_Missing_Initialization_1_NT_Loop16_TestCase5, YES, 1735)
(FSE_Mathematical_Integer_Mode_Missing_Initialization_1_NT_Loop16_TestCase4, YES, 1752)
(FSE_Mathematical_Integer_Mode_Missing_Initialization_1_NT_Loop16_TestCase1, YES, 1775)
(FSE_Mathematical_Integer_Mode_Missing_Initialization_1_NT_Loop16_TestCase3, YES, 1712)
(FSE_Mathematical_Integer_Mode_Missing_Initialization_1_NT_Loop14_TestCase8, NO, 1826)
(FSE_Mathematical_Integer_Mode_Missing_Initialization_1_NT_Loop14_TestCase9, NO, 1757)
(FSE_Mathematical_Integer_Mode_Missing_Initialization_1_NT_Loop16_TestCase2, YES, 1739)
(FSE_Mathematical_Integer_Mode_Missing_Initialization_1_NT_Loop14_TestCase4, YES, 1755)
(FSE_Mathematical_Integer_Mode_Missing_Initialization_1_NT_Loop14_TestCase5, YES, 1766)
(FSE_Mathematical_Integer_Mode_Missing_Initialization_1_NT_Loop14_TestCase7, NO, 3598)
(FSE_Mathematical_Integer_Mode_Missing_Initialization_1_NT_Loop14_TestCase6, NO, 1713)
(FSE_Mathematical_Integer_Mode_Missing_Initialization_1_NT_Loop16_TestCase9, NO, 1749)
(FSE_Mathematical_Integer_Mode_Missing_Initialization_1_NT_Loop14_TestCase2, YES, 1712)
(FSE_Mathematical_Integer_Mode_Missing_Initialization_1_NT_Loop14_TestCase3, YES, 1740)
(FSE_Mathematical_Integer_Mode_Missing_Initialization_1_NT_Loop16_TestCase8, NO, 1775)
(FSE_Mathematical_Integer_Mode_Missing_Initialization_1_NT_Loop16_TestCase10, NO, 1709)
(FSE_Mathematical_Integer_Mode_Missing_Initialization_1_NT_Loop14_TestCase1, YES, 1724)
(FSE_Mathematical_Integer_Mode_Missing_Initialization_1_NT_Loop14_TestCase10, NO, 1699)</t>
  </si>
  <si>
    <t>(FSE_Mathematical_Integer_Mode_Missing_Initialization_1_NT_Loop0_TestCase2, YES, 1680)
(FSE_Mathematical_Integer_Mode_Missing_Initialization_1_NT_Loop0_TestCase3, YES, 1733)
(FSE_Mathematical_Integer_Mode_Missing_Initialization_1_NT_Loop0_TestCase1, YES, 1706)
(FSE_Mathematical_Integer_Mode_Missing_Initialization_1_NT_Loop0_TestCase10, NO, 1710)
(FSE_Mathematical_Integer_Mode_Missing_Initialization_1_NT_Loop0_TestCase4, YES, 1698)
(FSE_Mathematical_Integer_Mode_Missing_Initialization_1_NT_Loop0_TestCase5, YES, 1763)
(FSE_Mathematical_Integer_Mode_Missing_Initialization_1_NT_Loop0_TestCase7, NO, 1730)
(FSE_Mathematical_Integer_Mode_Missing_Initialization_1_NT_Loop0_TestCase6, NO, 1735)
(FSE_Mathematical_Integer_Mode_Missing_Initialization_1_NT_Loop0_TestCase8, NO, 1709)
(FSE_Mathematical_Integer_Mode_Missing_Initialization_1_NT_Loop0_TestCase9, NO, 1742)</t>
  </si>
  <si>
    <t>(FSE_Mathematical_Integer_Mode_Missing_Initialization_1_NT_Loop16_TestCase0, NO, 1823)
(FSE_Mathematical_Integer_Mode_Missing_Initialization_1_NT_Loop14_TestCase0, NO, 1817)</t>
  </si>
  <si>
    <t>(FSE_Mathematical_Integer_Mode_Missing_Initialization_1_NT_Loop0_TestCase0, NO, 1769)</t>
  </si>
  <si>
    <t>(FSE_Mathematical_Integer_Mode_Missing_Corner-case_Handling_4_T_Loop36_TestCase7, MAYBE, 1565)
(FSE_Mathematical_Integer_Mode_Missing_Corner-case_Handling_4_T_Loop36_TestCase6, MAYBE, 1555)
(FSE_Mathematical_Integer_Mode_Missing_Corner-case_Handling_4_T_Loop50_TestCase9, MAYBE, 1734)
(FSE_Mathematical_Integer_Mode_Missing_Corner-case_Handling_4_T_Loop36_TestCase4, MAYBE, 1592)
(FSE_Mathematical_Integer_Mode_Missing_Corner-case_Handling_4_T_Loop36_TestCase5, MAYBE, 1754)
(FSE_Mathematical_Integer_Mode_Missing_Corner-case_Handling_4_T_Loop50_TestCase8, MAYBE, 1716)
(FSE_Mathematical_Integer_Mode_Missing_Corner-case_Handling_4_T_Loop36_TestCase1, MAYBE, 1542)
(FSE_Mathematical_Integer_Mode_Missing_Corner-case_Handling_4_T_Loop23_TestCase9, MAYBE, 1380)
(FSE_Mathematical_Integer_Mode_Missing_Corner-case_Handling_4_T_Loop36_TestCase2, MAYBE, 1554)
(FSE_Mathematical_Integer_Mode_Missing_Corner-case_Handling_4_T_Loop36_TestCase3, MAYBE, 1572)
(FSE_Mathematical_Integer_Mode_Missing_Corner-case_Handling_4_T_Loop23_TestCase8, MAYBE, 1385)
(FSE_Mathematical_Integer_Mode_Missing_Corner-case_Handling_4_T_Loop50_TestCase10, MAYBE, 1693)
(FSE_Mathematical_Integer_Mode_Missing_Corner-case_Handling_4_T_Loop50_TestCase3, MAYBE, 1697)
(FSE_Mathematical_Integer_Mode_Missing_Corner-case_Handling_4_T_Loop23_TestCase5, MAYBE, 1358)
(FSE_Mathematical_Integer_Mode_Missing_Corner-case_Handling_4_T_Loop23_TestCase4, MAYBE, 1362)
(FSE_Mathematical_Integer_Mode_Missing_Corner-case_Handling_4_T_Loop50_TestCase2, MAYBE, 1682)
(FSE_Mathematical_Integer_Mode_Missing_Corner-case_Handling_4_T_Loop23_TestCase6, MAYBE, 1388)
(FSE_Mathematical_Integer_Mode_Missing_Corner-case_Handling_4_T_Loop23_TestCase7, MAYBE, 1425)
(FSE_Mathematical_Integer_Mode_Missing_Corner-case_Handling_4_T_Loop50_TestCase1, MAYBE, 1676)
(FSE_Mathematical_Integer_Mode_Missing_Corner-case_Handling_4_T_Loop23_TestCase3, MAYBE, 1365)
(FSE_Mathematical_Integer_Mode_Missing_Corner-case_Handling_4_T_Loop23_TestCase10, MAYBE, 1443)
(FSE_Mathematical_Integer_Mode_Missing_Corner-case_Handling_4_T_Loop36_TestCase10, MAYBE, 1551)
(FSE_Mathematical_Integer_Mode_Missing_Corner-case_Handling_4_T_Loop50_TestCase5, MAYBE, 1658)
(FSE_Mathematical_Integer_Mode_Missing_Corner-case_Handling_4_T_Loop36_TestCase8, MAYBE, 1546)
(FSE_Mathematical_Integer_Mode_Missing_Corner-case_Handling_4_T_Loop36_TestCase9, MAYBE, 1583)
(FSE_Mathematical_Integer_Mode_Missing_Corner-case_Handling_4_T_Loop50_TestCase4, MAYBE, 1687)
(FSE_Mathematical_Integer_Mode_Missing_Corner-case_Handling_4_T_Loop23_TestCase2, MAYBE, 1360)
(FSE_Mathematical_Integer_Mode_Missing_Corner-case_Handling_4_T_Loop50_TestCase6, MAYBE, 1692)
(FSE_Mathematical_Integer_Mode_Missing_Corner-case_Handling_4_T_Loop50_TestCase7, MAYBE, 1790)
(FSE_Mathematical_Integer_Mode_Missing_Corner-case_Handling_4_T_Loop23_TestCase1, MAYBE, 1367)</t>
  </si>
  <si>
    <t>(FSE_Mathematical_Integer_Mode_Missing_Corner-case_Handling_4_T_Loop0_TestCase10, TIMEOUT, 302203)
(FSE_Mathematical_Integer_Mode_Missing_Corner-case_Handling_4_T_Loop0_TestCase8, TIMEOUT, 302211)
(FSE_Mathematical_Integer_Mode_Missing_Corner-case_Handling_4_T_Loop0_TestCase9, TIMEOUT, 302283)
(FSE_Mathematical_Integer_Mode_Missing_Corner-case_Handling_4_T_Loop0_TestCase4, YES, 2190)
(FSE_Mathematical_Integer_Mode_Missing_Corner-case_Handling_4_T_Loop0_TestCase5, YES, 2156)
(FSE_Mathematical_Integer_Mode_Missing_Corner-case_Handling_4_T_Loop0_TestCase7, TIMEOUT, 302231)
(FSE_Mathematical_Integer_Mode_Missing_Corner-case_Handling_4_T_Loop0_TestCase6, YES, 2249)
(FSE_Mathematical_Integer_Mode_Missing_Corner-case_Handling_4_T_Loop0_TestCase2, YES, 2137)
(FSE_Mathematical_Integer_Mode_Missing_Corner-case_Handling_4_T_Loop0_TestCase3, YES, 2187)
(FSE_Mathematical_Integer_Mode_Missing_Corner-case_Handling_4_T_Loop0_TestCase1, YES, 2144)</t>
  </si>
  <si>
    <t>(FSE_Mathematical_Integer_Mode_Missing_Corner-case_Handling_4_T_Loop36_TestCase0, MAYBE, 1588)
(FSE_Mathematical_Integer_Mode_Missing_Corner-case_Handling_4_T_Loop50_TestCase0, MAYBE, 1709)
(FSE_Mathematical_Integer_Mode_Missing_Corner-case_Handling_4_T_Loop23_TestCase0, MAYBE, 1406)</t>
  </si>
  <si>
    <t>(FSE_Mathematical_Integer_Mode_Missing_Corner-case_Handling_4_T_Loop0_TestCase0, TIMEOUT, 302604)</t>
  </si>
  <si>
    <t>(FSE_Mathematical_Integer_Mode_Missing_Corner-case_Handling_4_NT_Loop24_TestCase4, MAYBE, 1396)
(FSE_Mathematical_Integer_Mode_Missing_Corner-case_Handling_4_NT_Loop51_TestCase8, MAYBE, 1538)
(FSE_Mathematical_Integer_Mode_Missing_Corner-case_Handling_4_NT_Loop37_TestCase5, MAYBE, 1577)
(FSE_Mathematical_Integer_Mode_Missing_Corner-case_Handling_4_NT_Loop37_TestCase4, MAYBE, 1610)
(FSE_Mathematical_Integer_Mode_Missing_Corner-case_Handling_4_NT_Loop51_TestCase9, MAYBE, 1487)
(FSE_Mathematical_Integer_Mode_Missing_Corner-case_Handling_4_NT_Loop24_TestCase5, MAYBE, 1356)
(FSE_Mathematical_Integer_Mode_Missing_Corner-case_Handling_4_NT_Loop24_TestCase7, MAYBE, 1414)
(FSE_Mathematical_Integer_Mode_Missing_Corner-case_Handling_4_NT_Loop37_TestCase6, MAYBE, 1589)
(FSE_Mathematical_Integer_Mode_Missing_Corner-case_Handling_4_NT_Loop37_TestCase7, MAYBE, 1542)
(FSE_Mathematical_Integer_Mode_Missing_Corner-case_Handling_4_NT_Loop24_TestCase6, MAYBE, 1353)
(FSE_Mathematical_Integer_Mode_Missing_Corner-case_Handling_4_NT_Loop24_TestCase2, MAYBE, 1379)
(FSE_Mathematical_Integer_Mode_Missing_Corner-case_Handling_4_NT_Loop37_TestCase3, MAYBE, 1561)
(FSE_Mathematical_Integer_Mode_Missing_Corner-case_Handling_4_NT_Loop37_TestCase2, MAYBE, 1532)
(FSE_Mathematical_Integer_Mode_Missing_Corner-case_Handling_4_NT_Loop24_TestCase3, MAYBE, 1362)
(FSE_Mathematical_Integer_Mode_Missing_Corner-case_Handling_4_NT_Loop24_TestCase1, MAYBE, 1441)
(FSE_Mathematical_Integer_Mode_Missing_Corner-case_Handling_4_NT_Loop37_TestCase1, MAYBE, 1581)
(FSE_Mathematical_Integer_Mode_Missing_Corner-case_Handling_4_NT_Loop51_TestCase10, MAYBE, 1497)
(FSE_Mathematical_Integer_Mode_Missing_Corner-case_Handling_4_NT_Loop37_TestCase10, MAYBE, 1529)
(FSE_Mathematical_Integer_Mode_Missing_Corner-case_Handling_4_NT_Loop24_TestCase10, MAYBE, 1366)
(FSE_Mathematical_Integer_Mode_Missing_Corner-case_Handling_4_NT_Loop51_TestCase1, MAYBE, 1520)
(FSE_Mathematical_Integer_Mode_Missing_Corner-case_Handling_4_NT_Loop51_TestCase2, MAYBE, 1509)
(FSE_Mathematical_Integer_Mode_Missing_Corner-case_Handling_4_NT_Loop51_TestCase3, MAYBE, 1571)
(FSE_Mathematical_Integer_Mode_Missing_Corner-case_Handling_4_NT_Loop51_TestCase7, MAYBE, 1565)
(FSE_Mathematical_Integer_Mode_Missing_Corner-case_Handling_4_NT_Loop51_TestCase6, MAYBE, 1520)
(FSE_Mathematical_Integer_Mode_Missing_Corner-case_Handling_4_NT_Loop24_TestCase8, MAYBE, 1346)
(FSE_Mathematical_Integer_Mode_Missing_Corner-case_Handling_4_NT_Loop51_TestCase4, MAYBE, 1545)
(FSE_Mathematical_Integer_Mode_Missing_Corner-case_Handling_4_NT_Loop37_TestCase9, MAYBE, 1571)
(FSE_Mathematical_Integer_Mode_Missing_Corner-case_Handling_4_NT_Loop37_TestCase8, MAYBE, 1536)
(FSE_Mathematical_Integer_Mode_Missing_Corner-case_Handling_4_NT_Loop51_TestCase5, MAYBE, 1520)
(FSE_Mathematical_Integer_Mode_Missing_Corner-case_Handling_4_NT_Loop24_TestCase9, MAYBE, 1368)</t>
  </si>
  <si>
    <t>(FSE_Mathematical_Integer_Mode_Missing_Corner-case_Handling_4_NT_Loop0_TestCase9, TIMEOUT, 302111)
(FSE_Mathematical_Integer_Mode_Missing_Corner-case_Handling_4_NT_Loop0_TestCase8, TIMEOUT, 302248)
(FSE_Mathematical_Integer_Mode_Missing_Corner-case_Handling_4_NT_Loop0_TestCase1, YES, 2152)
(FSE_Mathematical_Integer_Mode_Missing_Corner-case_Handling_4_NT_Loop0_TestCase3, YES, 2136)
(FSE_Mathematical_Integer_Mode_Missing_Corner-case_Handling_4_NT_Loop0_TestCase2, YES, 2121)
(FSE_Mathematical_Integer_Mode_Missing_Corner-case_Handling_4_NT_Loop0_TestCase6, TIMEOUT, 302275)
(FSE_Mathematical_Integer_Mode_Missing_Corner-case_Handling_4_NT_Loop0_TestCase7, TIMEOUT, 302202)
(FSE_Mathematical_Integer_Mode_Missing_Corner-case_Handling_4_NT_Loop0_TestCase5, YES, 2161)
(FSE_Mathematical_Integer_Mode_Missing_Corner-case_Handling_4_NT_Loop0_TestCase4, YES, 2155)
(FSE_Mathematical_Integer_Mode_Missing_Corner-case_Handling_4_NT_Loop0_TestCase10, TIMEOUT, 301997)</t>
  </si>
  <si>
    <t>(FSE_Mathematical_Integer_Mode_Missing_Corner-case_Handling_4_NT_Loop37_TestCase0, MAYBE, 1583)
(FSE_Mathematical_Integer_Mode_Missing_Corner-case_Handling_4_NT_Loop24_TestCase0, MAYBE, 1379)
(FSE_Mathematical_Integer_Mode_Missing_Corner-case_Handling_4_NT_Loop51_TestCase0, MAYBE, 1542)</t>
  </si>
  <si>
    <t>(FSE_Mathematical_Integer_Mode_Missing_Corner-case_Handling_4_NT_Loop0_TestCase0, TIMEOUT, 302626)</t>
  </si>
  <si>
    <t>(FSE_Mathematical_Integer_Mode_Missing_Corner-case_Handling_3_T_Loop21_TestCase4, YES, 5536)
(FSE_Mathematical_Integer_Mode_Missing_Corner-case_Handling_3_T_Loop31_TestCase1, YES, 2015)
(FSE_Mathematical_Integer_Mode_Missing_Corner-case_Handling_3_T_Loop21_TestCase5, YES, 5571)
(FSE_Mathematical_Integer_Mode_Missing_Corner-case_Handling_3_T_Loop21_TestCase7, YES, 6039)
(FSE_Mathematical_Integer_Mode_Missing_Corner-case_Handling_3_T_Loop33_TestCase8, YES, 4395)
(FSE_Mathematical_Integer_Mode_Missing_Corner-case_Handling_3_T_Loop31_TestCase3, YES, 7624)
(FSE_Mathematical_Integer_Mode_Missing_Corner-case_Handling_3_T_Loop19_TestCase9, YES, 5659)
(FSE_Mathematical_Integer_Mode_Missing_Corner-case_Handling_3_T_Loop19_TestCase8, YES, 4032)
(FSE_Mathematical_Integer_Mode_Missing_Corner-case_Handling_3_T_Loop31_TestCase2, YES, 5021)
(FSE_Mathematical_Integer_Mode_Missing_Corner-case_Handling_3_T_Loop33_TestCase9, YES, 6365)
(FSE_Mathematical_Integer_Mode_Missing_Corner-case_Handling_3_T_Loop21_TestCase6, YES, 5714)
(FSE_Mathematical_Integer_Mode_Missing_Corner-case_Handling_3_T_Loop21_TestCase2, YES, 4087)
(FSE_Mathematical_Integer_Mode_Missing_Corner-case_Handling_3_T_Loop31_TestCase6, YES, 6073)
(FSE_Mathematical_Integer_Mode_Missing_Corner-case_Handling_3_T_Loop31_TestCase7, YES, 9863)
(FSE_Mathematical_Integer_Mode_Missing_Corner-case_Handling_3_T_Loop21_TestCase3, YES, 4784)
(FSE_Mathematical_Integer_Mode_Missing_Corner-case_Handling_3_T_Loop21_TestCase1, YES, 2215)
(FSE_Mathematical_Integer_Mode_Missing_Corner-case_Handling_3_T_Loop31_TestCase5, YES, 6366)
(FSE_Mathematical_Integer_Mode_Missing_Corner-case_Handling_3_T_Loop31_TestCase4, YES, 6497)
(FSE_Mathematical_Integer_Mode_Missing_Corner-case_Handling_3_T_Loop19_TestCase10, YES, 5624)
(FSE_Mathematical_Integer_Mode_Missing_Corner-case_Handling_3_T_Loop31_TestCase10, YES, 4528)
(FSE_Mathematical_Integer_Mode_Missing_Corner-case_Handling_3_T_Loop33_TestCase2, YES, 4622)
(FSE_Mathematical_Integer_Mode_Missing_Corner-case_Handling_3_T_Loop31_TestCase9, YES, 6054)
(FSE_Mathematical_Integer_Mode_Missing_Corner-case_Handling_3_T_Loop19_TestCase3, YES, 8288)
(FSE_Mathematical_Integer_Mode_Missing_Corner-case_Handling_3_T_Loop19_TestCase2, YES, 4352)
(FSE_Mathematical_Integer_Mode_Missing_Corner-case_Handling_3_T_Loop31_TestCase8, YES, 5581)
(FSE_Mathematical_Integer_Mode_Missing_Corner-case_Handling_3_T_Loop33_TestCase3, YES, 5570)
(FSE_Mathematical_Integer_Mode_Missing_Corner-case_Handling_3_T_Loop21_TestCase10, YES, 5974)
(FSE_Mathematical_Integer_Mode_Missing_Corner-case_Handling_3_T_Loop33_TestCase1, YES, 2157)
(FSE_Mathematical_Integer_Mode_Missing_Corner-case_Handling_3_T_Loop19_TestCase1, YES, 2076)
(FSE_Mathematical_Integer_Mode_Missing_Corner-case_Handling_3_T_Loop33_TestCase10, YES, 6413)
(FSE_Mathematical_Integer_Mode_Missing_Corner-case_Handling_3_T_Loop33_TestCase4, YES, 5787)
(FSE_Mathematical_Integer_Mode_Missing_Corner-case_Handling_3_T_Loop19_TestCase5, YES, 5992)
(FSE_Mathematical_Integer_Mode_Missing_Corner-case_Handling_3_T_Loop19_TestCase4, YES, 5208)
(FSE_Mathematical_Integer_Mode_Missing_Corner-case_Handling_3_T_Loop33_TestCase5, YES, 6210)
(FSE_Mathematical_Integer_Mode_Missing_Corner-case_Handling_3_T_Loop21_TestCase8, YES, 5939)
(FSE_Mathematical_Integer_Mode_Missing_Corner-case_Handling_3_T_Loop33_TestCase7, YES, 5954)
(FSE_Mathematical_Integer_Mode_Missing_Corner-case_Handling_3_T_Loop19_TestCase6, YES, 7436)
(FSE_Mathematical_Integer_Mode_Missing_Corner-case_Handling_3_T_Loop19_TestCase7, YES, 6078)
(FSE_Mathematical_Integer_Mode_Missing_Corner-case_Handling_3_T_Loop33_TestCase6, YES, 4408)
(FSE_Mathematical_Integer_Mode_Missing_Corner-case_Handling_3_T_Loop21_TestCase9, YES, 7249)</t>
  </si>
  <si>
    <t>(FSE_Mathematical_Integer_Mode_Missing_Corner-case_Handling_3_T_Loop0_TestCase3, YES, 5145)
(FSE_Mathematical_Integer_Mode_Missing_Corner-case_Handling_3_T_Loop0_TestCase2, YES, 3651)
(FSE_Mathematical_Integer_Mode_Missing_Corner-case_Handling_3_T_Loop0_TestCase1, YES, 1882)
(FSE_Mathematical_Integer_Mode_Missing_Corner-case_Handling_3_T_Loop0_TestCase5, YES, 6374)
(FSE_Mathematical_Integer_Mode_Missing_Corner-case_Handling_3_T_Loop0_TestCase4, YES, 4774)
(FSE_Mathematical_Integer_Mode_Missing_Corner-case_Handling_3_T_Loop0_TestCase6, YES, 4919)
(FSE_Mathematical_Integer_Mode_Missing_Corner-case_Handling_3_T_Loop0_TestCase10, YES, 5637)
(FSE_Mathematical_Integer_Mode_Missing_Corner-case_Handling_3_T_Loop0_TestCase7, YES, 6090)
(FSE_Mathematical_Integer_Mode_Missing_Corner-case_Handling_3_T_Loop0_TestCase9, YES, 5740)
(FSE_Mathematical_Integer_Mode_Missing_Corner-case_Handling_3_T_Loop0_TestCase8, YES, 6386)</t>
  </si>
  <si>
    <t>(FSE_Mathematical_Integer_Mode_Missing_Corner-case_Handling_3_T_Loop31_TestCase0, YES, 33390)
(FSE_Mathematical_Integer_Mode_Missing_Corner-case_Handling_3_T_Loop21_TestCase0, YES, 26468)
(FSE_Mathematical_Integer_Mode_Missing_Corner-case_Handling_3_T_Loop19_TestCase0, YES, 20766)
(FSE_Mathematical_Integer_Mode_Missing_Corner-case_Handling_3_T_Loop33_TestCase0, YES, 50346)</t>
  </si>
  <si>
    <t>(FSE_Mathematical_Integer_Mode_Missing_Corner-case_Handling_3_T_Loop0_TestCase0, YES, 92210)</t>
  </si>
  <si>
    <t>(FSE_Mathematical_Integer_Mode_Missing_Corner-case_Handling_3_NT_Loop19_TestCase10, TIMEOUT, 302087)
(FSE_Mathematical_Integer_Mode_Missing_Corner-case_Handling_3_NT_Loop21_TestCase9, TIMEOUT, 302109)
(FSE_Mathematical_Integer_Mode_Missing_Corner-case_Handling_3_NT_Loop33_TestCase6, TIMEOUT, 302181)
(FSE_Mathematical_Integer_Mode_Missing_Corner-case_Handling_3_NT_Loop19_TestCase7, TIMEOUT, 301976)
(FSE_Mathematical_Integer_Mode_Missing_Corner-case_Handling_3_NT_Loop19_TestCase6, TIMEOUT, 301990)
(FSE_Mathematical_Integer_Mode_Missing_Corner-case_Handling_3_NT_Loop33_TestCase7, TIMEOUT, 301940)
(FSE_Mathematical_Integer_Mode_Missing_Corner-case_Handling_3_NT_Loop21_TestCase8, TIMEOUT, 302013)
(FSE_Mathematical_Integer_Mode_Missing_Corner-case_Handling_3_NT_Loop33_TestCase5, TIMEOUT, 302015)
(FSE_Mathematical_Integer_Mode_Missing_Corner-case_Handling_3_NT_Loop19_TestCase4, TIMEOUT, 302075)
(FSE_Mathematical_Integer_Mode_Missing_Corner-case_Handling_3_NT_Loop19_TestCase5, TIMEOUT, 301785)
(FSE_Mathematical_Integer_Mode_Missing_Corner-case_Handling_3_NT_Loop33_TestCase4, TIMEOUT, 301958)
(FSE_Mathematical_Integer_Mode_Missing_Corner-case_Handling_3_NT_Loop19_TestCase1, TIMEOUT, 302161)
(FSE_Mathematical_Integer_Mode_Missing_Corner-case_Handling_3_NT_Loop33_TestCase1, TIMEOUT, 302007)
(FSE_Mathematical_Integer_Mode_Missing_Corner-case_Handling_3_NT_Loop33_TestCase3, TIMEOUT, 302121)
(FSE_Mathematical_Integer_Mode_Missing_Corner-case_Handling_3_NT_Loop31_TestCase8, TIMEOUT, 302008)
(FSE_Mathematical_Integer_Mode_Missing_Corner-case_Handling_3_NT_Loop19_TestCase2, TIMEOUT, 301898)
(FSE_Mathematical_Integer_Mode_Missing_Corner-case_Handling_3_NT_Loop19_TestCase3, TIMEOUT, 302093)
(FSE_Mathematical_Integer_Mode_Missing_Corner-case_Handling_3_NT_Loop31_TestCase9, TIMEOUT, 302124)
(FSE_Mathematical_Integer_Mode_Missing_Corner-case_Handling_3_NT_Loop33_TestCase2, TIMEOUT, 302078)
(FSE_Mathematical_Integer_Mode_Missing_Corner-case_Handling_3_NT_Loop31_TestCase4, TIMEOUT, 302023)
(FSE_Mathematical_Integer_Mode_Missing_Corner-case_Handling_3_NT_Loop31_TestCase5, TIMEOUT, 302098)
(FSE_Mathematical_Integer_Mode_Missing_Corner-case_Handling_3_NT_Loop21_TestCase1, TIMEOUT, 301971)
(FSE_Mathematical_Integer_Mode_Missing_Corner-case_Handling_3_NT_Loop21_TestCase3, TIMEOUT, 302087)
(FSE_Mathematical_Integer_Mode_Missing_Corner-case_Handling_3_NT_Loop31_TestCase7, TIMEOUT, 302090)
(FSE_Mathematical_Integer_Mode_Missing_Corner-case_Handling_3_NT_Loop31_TestCase6, TIMEOUT, 302039)
(FSE_Mathematical_Integer_Mode_Missing_Corner-case_Handling_3_NT_Loop21_TestCase2, TIMEOUT, 302055)
(FSE_Mathematical_Integer_Mode_Missing_Corner-case_Handling_3_NT_Loop21_TestCase6, TIMEOUT, 301980)
(FSE_Mathematical_Integer_Mode_Missing_Corner-case_Handling_3_NT_Loop33_TestCase9, TIMEOUT, 301974)
(FSE_Mathematical_Integer_Mode_Missing_Corner-case_Handling_3_NT_Loop31_TestCase2, TIMEOUT, 302174)
(FSE_Mathematical_Integer_Mode_Missing_Corner-case_Handling_3_NT_Loop19_TestCase8, TIMEOUT, 301901)
(FSE_Mathematical_Integer_Mode_Missing_Corner-case_Handling_3_NT_Loop19_TestCase9, TIMEOUT, 301976)
(FSE_Mathematical_Integer_Mode_Missing_Corner-case_Handling_3_NT_Loop31_TestCase3, TIMEOUT, 302118)
(FSE_Mathematical_Integer_Mode_Missing_Corner-case_Handling_3_NT_Loop33_TestCase8, TIMEOUT, 302063)
(FSE_Mathematical_Integer_Mode_Missing_Corner-case_Handling_3_NT_Loop21_TestCase7, TIMEOUT, 302153)
(FSE_Mathematical_Integer_Mode_Missing_Corner-case_Handling_3_NT_Loop33_TestCase10, TIMEOUT, 301933)
(FSE_Mathematical_Integer_Mode_Missing_Corner-case_Handling_3_NT_Loop21_TestCase5, TIMEOUT, 301849)
(FSE_Mathematical_Integer_Mode_Missing_Corner-case_Handling_3_NT_Loop31_TestCase1, TIMEOUT, 301932)
(FSE_Mathematical_Integer_Mode_Missing_Corner-case_Handling_3_NT_Loop21_TestCase4, TIMEOUT, 301968)
(FSE_Mathematical_Integer_Mode_Missing_Corner-case_Handling_3_NT_Loop21_TestCase10, TIMEOUT, 302016)
(FSE_Mathematical_Integer_Mode_Missing_Corner-case_Handling_3_NT_Loop31_TestCase10, TIMEOUT, 301946)</t>
  </si>
  <si>
    <t>(FSE_Mathematical_Integer_Mode_Missing_Corner-case_Handling_3_NT_Loop0_TestCase9, TIMEOUT, 301682)
(FSE_Mathematical_Integer_Mode_Missing_Corner-case_Handling_3_NT_Loop0_TestCase8, TIMEOUT, 301803)
(FSE_Mathematical_Integer_Mode_Missing_Corner-case_Handling_3_NT_Loop0_TestCase10, TIMEOUT, 301677)
(FSE_Mathematical_Integer_Mode_Missing_Corner-case_Handling_3_NT_Loop0_TestCase3, TIMEOUT, 301685)
(FSE_Mathematical_Integer_Mode_Missing_Corner-case_Handling_3_NT_Loop0_TestCase2, TIMEOUT, 302108)
(FSE_Mathematical_Integer_Mode_Missing_Corner-case_Handling_3_NT_Loop0_TestCase1, TIMEOUT, 301772)
(FSE_Mathematical_Integer_Mode_Missing_Corner-case_Handling_3_NT_Loop0_TestCase5, TIMEOUT, 301984)
(FSE_Mathematical_Integer_Mode_Missing_Corner-case_Handling_3_NT_Loop0_TestCase4, TIMEOUT, 301896)
(FSE_Mathematical_Integer_Mode_Missing_Corner-case_Handling_3_NT_Loop0_TestCase6, TIMEOUT, 301663)
(FSE_Mathematical_Integer_Mode_Missing_Corner-case_Handling_3_NT_Loop0_TestCase7, TIMEOUT, 301684)</t>
  </si>
  <si>
    <t>(FSE_Mathematical_Integer_Mode_Missing_Corner-case_Handling_3_NT_Loop33_TestCase0, TIMEOUT, 302201)
(FSE_Mathematical_Integer_Mode_Missing_Corner-case_Handling_3_NT_Loop19_TestCase0, TIMEOUT, 302282)
(FSE_Mathematical_Integer_Mode_Missing_Corner-case_Handling_3_NT_Loop21_TestCase0, TIMEOUT, 302225)
(FSE_Mathematical_Integer_Mode_Missing_Corner-case_Handling_3_NT_Loop31_TestCase0, TIMEOUT, 302268)</t>
  </si>
  <si>
    <t>(FSE_Mathematical_Integer_Mode_Missing_Corner-case_Handling_3_NT_Loop0_TestCase0, TIMEOUT, 302185)</t>
  </si>
  <si>
    <t>(FSE_Mathematical_Integer_Mode_Missing_Corner-case_Handling_2_T_Loop16_TestCase5, ERROR, 1632)
(FSE_Mathematical_Integer_Mode_Missing_Corner-case_Handling_2_T_Loop16_TestCase4, ERROR, 1660)
(FSE_Mathematical_Integer_Mode_Missing_Corner-case_Handling_2_T_Loop16_TestCase6, ERROR, 1609)
(FSE_Mathematical_Integer_Mode_Missing_Corner-case_Handling_2_T_Loop16_TestCase7, ERROR, 1646)
(FSE_Mathematical_Integer_Mode_Missing_Corner-case_Handling_2_T_Loop16_TestCase3, ERROR, 1686)
(FSE_Mathematical_Integer_Mode_Missing_Corner-case_Handling_2_T_Loop16_TestCase2, ERROR, 1626)
(FSE_Mathematical_Integer_Mode_Missing_Corner-case_Handling_2_T_Loop16_TestCase1, ERROR, 1611)
(FSE_Mathematical_Integer_Mode_Missing_Corner-case_Handling_2_T_Loop16_TestCase10, ERROR, 1616)
(FSE_Mathematical_Integer_Mode_Missing_Corner-case_Handling_2_T_Loop16_TestCase9, ERROR, 1673)
(FSE_Mathematical_Integer_Mode_Missing_Corner-case_Handling_2_T_Loop16_TestCase8, ERROR, 1625)</t>
  </si>
  <si>
    <t>(FSE_Mathematical_Integer_Mode_Missing_Corner-case_Handling_2_T_Loop0_TestCase10, ERROR, 1609)
(FSE_Mathematical_Integer_Mode_Missing_Corner-case_Handling_2_T_Loop0_TestCase9, ERROR, 1605)
(FSE_Mathematical_Integer_Mode_Missing_Corner-case_Handling_2_T_Loop0_TestCase8, ERROR, 1599)
(FSE_Mathematical_Integer_Mode_Missing_Corner-case_Handling_2_T_Loop0_TestCase1, ERROR, 1612)
(FSE_Mathematical_Integer_Mode_Missing_Corner-case_Handling_2_T_Loop0_TestCase3, ERROR, 1593)
(FSE_Mathematical_Integer_Mode_Missing_Corner-case_Handling_2_T_Loop0_TestCase2, ERROR, 1608)
(FSE_Mathematical_Integer_Mode_Missing_Corner-case_Handling_2_T_Loop0_TestCase6, ERROR, 1619)
(FSE_Mathematical_Integer_Mode_Missing_Corner-case_Handling_2_T_Loop0_TestCase7, ERROR, 1621)
(FSE_Mathematical_Integer_Mode_Missing_Corner-case_Handling_2_T_Loop0_TestCase5, ERROR, 1654)
(FSE_Mathematical_Integer_Mode_Missing_Corner-case_Handling_2_T_Loop0_TestCase4, ERROR, 1603)</t>
  </si>
  <si>
    <t>(FSE_Mathematical_Integer_Mode_Missing_Corner-case_Handling_2_T_Loop16_TestCase0, ERROR, 1630)</t>
  </si>
  <si>
    <t>(FSE_Mathematical_Integer_Mode_Missing_Corner-case_Handling_2_T_Loop0_TestCase0, ERROR, 1646)</t>
  </si>
  <si>
    <t>(FSE_Mathematical_Integer_Mode_Missing_Corner-case_Handling_2_NT_Loop17_TestCase10, ERROR, 1667)
(FSE_Mathematical_Integer_Mode_Missing_Corner-case_Handling_2_NT_Loop17_TestCase9, ERROR, 1645)
(FSE_Mathematical_Integer_Mode_Missing_Corner-case_Handling_2_NT_Loop17_TestCase8, ERROR, 1607)
(FSE_Mathematical_Integer_Mode_Missing_Corner-case_Handling_2_NT_Loop17_TestCase6, ERROR, 1630)
(FSE_Mathematical_Integer_Mode_Missing_Corner-case_Handling_2_NT_Loop17_TestCase7, ERROR, 1609)
(FSE_Mathematical_Integer_Mode_Missing_Corner-case_Handling_2_NT_Loop17_TestCase5, ERROR, 1598)
(FSE_Mathematical_Integer_Mode_Missing_Corner-case_Handling_2_NT_Loop17_TestCase4, ERROR, 1643)
(FSE_Mathematical_Integer_Mode_Missing_Corner-case_Handling_2_NT_Loop17_TestCase1, ERROR, 1626)
(FSE_Mathematical_Integer_Mode_Missing_Corner-case_Handling_2_NT_Loop17_TestCase3, ERROR, 1588)
(FSE_Mathematical_Integer_Mode_Missing_Corner-case_Handling_2_NT_Loop17_TestCase2, ERROR, 1595)</t>
  </si>
  <si>
    <t>(FSE_Mathematical_Integer_Mode_Missing_Corner-case_Handling_2_NT_Loop0_TestCase8, ERROR, 1592)
(FSE_Mathematical_Integer_Mode_Missing_Corner-case_Handling_2_NT_Loop0_TestCase9, ERROR, 1615)
(FSE_Mathematical_Integer_Mode_Missing_Corner-case_Handling_2_NT_Loop0_TestCase10, ERROR, 1613)
(FSE_Mathematical_Integer_Mode_Missing_Corner-case_Handling_2_NT_Loop0_TestCase7, ERROR, 1625)
(FSE_Mathematical_Integer_Mode_Missing_Corner-case_Handling_2_NT_Loop0_TestCase6, ERROR, 1654)
(FSE_Mathematical_Integer_Mode_Missing_Corner-case_Handling_2_NT_Loop0_TestCase4, ERROR, 1610)
(FSE_Mathematical_Integer_Mode_Missing_Corner-case_Handling_2_NT_Loop0_TestCase5, ERROR, 1631)
(FSE_Mathematical_Integer_Mode_Missing_Corner-case_Handling_2_NT_Loop0_TestCase1, ERROR, 1601)
(FSE_Mathematical_Integer_Mode_Missing_Corner-case_Handling_2_NT_Loop0_TestCase2, ERROR, 1639)
(FSE_Mathematical_Integer_Mode_Missing_Corner-case_Handling_2_NT_Loop0_TestCase3, ERROR, 1630)</t>
  </si>
  <si>
    <t>(FSE_Mathematical_Integer_Mode_Missing_Corner-case_Handling_2_NT_Loop17_TestCase0, ERROR, 1629)</t>
  </si>
  <si>
    <t>(FSE_Mathematical_Integer_Mode_Missing_Corner-case_Handling_2_NT_Loop0_TestCase0, ERROR, 1658)</t>
  </si>
  <si>
    <t>(FSE_Mathematical_Integer_Mode_Missing_Corner-case_Handling_1_T_Loop40_TestCase10, YES, 1752)
(FSE_Mathematical_Integer_Mode_Missing_Corner-case_Handling_1_T_Loop40_TestCase9, YES, 1763)
(FSE_Mathematical_Integer_Mode_Missing_Corner-case_Handling_1_T_Loop40_TestCase8, YES, 1754)
(FSE_Mathematical_Integer_Mode_Missing_Corner-case_Handling_1_T_Loop40_TestCase5, YES, 1761)
(FSE_Mathematical_Integer_Mode_Missing_Corner-case_Handling_1_T_Loop40_TestCase4, YES, 1750)
(FSE_Mathematical_Integer_Mode_Missing_Corner-case_Handling_1_T_Loop40_TestCase6, YES, 1786)
(FSE_Mathematical_Integer_Mode_Missing_Corner-case_Handling_1_T_Loop40_TestCase7, YES, 1774)
(FSE_Mathematical_Integer_Mode_Missing_Corner-case_Handling_1_T_Loop40_TestCase3, YES, 1752)
(FSE_Mathematical_Integer_Mode_Missing_Corner-case_Handling_1_T_Loop40_TestCase2, YES, 1754)
(FSE_Mathematical_Integer_Mode_Missing_Corner-case_Handling_1_T_Loop40_TestCase1, YES, 1760)</t>
  </si>
  <si>
    <t>(FSE_Mathematical_Integer_Mode_Missing_Corner-case_Handling_1_T_Loop0_TestCase4, YES, 1763)
(FSE_Mathematical_Integer_Mode_Missing_Corner-case_Handling_1_T_Loop0_TestCase5, YES, 1748)
(FSE_Mathematical_Integer_Mode_Missing_Corner-case_Handling_1_T_Loop0_TestCase7, YES, 1760)
(FSE_Mathematical_Integer_Mode_Missing_Corner-case_Handling_1_T_Loop0_TestCase6, YES, 1720)
(FSE_Mathematical_Integer_Mode_Missing_Corner-case_Handling_1_T_Loop0_TestCase2, YES, 1803)
(FSE_Mathematical_Integer_Mode_Missing_Corner-case_Handling_1_T_Loop0_TestCase3, YES, 1731)
(FSE_Mathematical_Integer_Mode_Missing_Corner-case_Handling_1_T_Loop0_TestCase1, YES, 1763)
(FSE_Mathematical_Integer_Mode_Missing_Corner-case_Handling_1_T_Loop0_TestCase10, YES, 1779)
(FSE_Mathematical_Integer_Mode_Missing_Corner-case_Handling_1_T_Loop0_TestCase8, YES, 1784)
(FSE_Mathematical_Integer_Mode_Missing_Corner-case_Handling_1_T_Loop0_TestCase9, YES, 1711)</t>
  </si>
  <si>
    <t>(FSE_Mathematical_Integer_Mode_Missing_Corner-case_Handling_1_T_Loop40_TestCase0, YES, 1806)</t>
  </si>
  <si>
    <t>(FSE_Mathematical_Integer_Mode_Missing_Corner-case_Handling_1_T_Loop0_TestCase0, YES, 1831)</t>
  </si>
  <si>
    <t>(FSE_Mathematical_Integer_Mode_Missing_Corner-case_Handling_1_NT_Loop40_TestCase10, NO, 1784)
(FSE_Mathematical_Integer_Mode_Missing_Corner-case_Handling_1_NT_Loop40_TestCase8, NO, 1784)
(FSE_Mathematical_Integer_Mode_Missing_Corner-case_Handling_1_NT_Loop40_TestCase9, NO, 1993)
(FSE_Mathematical_Integer_Mode_Missing_Corner-case_Handling_1_NT_Loop40_TestCase1, YES, 1775)
(FSE_Mathematical_Integer_Mode_Missing_Corner-case_Handling_1_NT_Loop40_TestCase2, YES, 1762)
(FSE_Mathematical_Integer_Mode_Missing_Corner-case_Handling_1_NT_Loop40_TestCase3, YES, 1756)
(FSE_Mathematical_Integer_Mode_Missing_Corner-case_Handling_1_NT_Loop40_TestCase7, NO, 1776)
(FSE_Mathematical_Integer_Mode_Missing_Corner-case_Handling_1_NT_Loop40_TestCase6, NO, 1795)
(FSE_Mathematical_Integer_Mode_Missing_Corner-case_Handling_1_NT_Loop40_TestCase4, YES, 1786)
(FSE_Mathematical_Integer_Mode_Missing_Corner-case_Handling_1_NT_Loop40_TestCase5, YES, 1799)</t>
  </si>
  <si>
    <t>(FSE_Mathematical_Integer_Mode_Missing_Corner-case_Handling_1_NT_Loop0_TestCase8, NO, 1770)
(FSE_Mathematical_Integer_Mode_Missing_Corner-case_Handling_1_NT_Loop0_TestCase9, NO, 1749)
(FSE_Mathematical_Integer_Mode_Missing_Corner-case_Handling_1_NT_Loop0_TestCase10, NO, 1751)
(FSE_Mathematical_Integer_Mode_Missing_Corner-case_Handling_1_NT_Loop0_TestCase2, YES, 1738)
(FSE_Mathematical_Integer_Mode_Missing_Corner-case_Handling_1_NT_Loop0_TestCase3, YES, 1748)
(FSE_Mathematical_Integer_Mode_Missing_Corner-case_Handling_1_NT_Loop0_TestCase1, YES, 1742)
(FSE_Mathematical_Integer_Mode_Missing_Corner-case_Handling_1_NT_Loop0_TestCase4, YES, 1759)
(FSE_Mathematical_Integer_Mode_Missing_Corner-case_Handling_1_NT_Loop0_TestCase5, YES, 1738)
(FSE_Mathematical_Integer_Mode_Missing_Corner-case_Handling_1_NT_Loop0_TestCase7, NO, 1764)
(FSE_Mathematical_Integer_Mode_Missing_Corner-case_Handling_1_NT_Loop0_TestCase6, NO, 1733)</t>
  </si>
  <si>
    <t>(FSE_Mathematical_Integer_Mode_Missing_Corner-case_Handling_1_NT_Loop40_TestCase0, NO, 1875)</t>
  </si>
  <si>
    <t>(FSE_Mathematical_Integer_Mode_Missing_Corner-case_Handling_1_NT_Loop0_TestCase0, NO, 1797)</t>
  </si>
  <si>
    <t>(FSE_Mathematical_Integer_Mode_Incorrect_Update_for_Loop_Iterator_3_NT_Loop18_TestCase6, NO, 1723)
(FSE_Mathematical_Integer_Mode_Incorrect_Update_for_Loop_Iterator_3_NT_Loop18_TestCase7, NO, 1746)
(FSE_Mathematical_Integer_Mode_Incorrect_Update_for_Loop_Iterator_3_NT_Loop18_TestCase5, YES, 1758)
(FSE_Mathematical_Integer_Mode_Incorrect_Update_for_Loop_Iterator_3_NT_Loop18_TestCase4, YES, 1729)
(FSE_Mathematical_Integer_Mode_Incorrect_Update_for_Loop_Iterator_3_NT_Loop18_TestCase1, YES, 1729)
(FSE_Mathematical_Integer_Mode_Incorrect_Update_for_Loop_Iterator_3_NT_Loop18_TestCase3, YES, 1731)
(FSE_Mathematical_Integer_Mode_Incorrect_Update_for_Loop_Iterator_3_NT_Loop18_TestCase2, YES, 1725)
(FSE_Mathematical_Integer_Mode_Incorrect_Update_for_Loop_Iterator_3_NT_Loop18_TestCase9, NO, 1702)
(FSE_Mathematical_Integer_Mode_Incorrect_Update_for_Loop_Iterator_3_NT_Loop18_TestCase8, NO, 1701)
(FSE_Mathematical_Integer_Mode_Incorrect_Update_for_Loop_Iterator_3_NT_Loop18_TestCase10, NO, 1699)</t>
  </si>
  <si>
    <t>(FSE_Mathematical_Integer_Mode_Incorrect_Update_for_Loop_Iterator_3_NT_Loop0_TestCase1, YES, 1721)
(FSE_Mathematical_Integer_Mode_Incorrect_Update_for_Loop_Iterator_3_NT_Loop0_TestCase3, YES, 1719)
(FSE_Mathematical_Integer_Mode_Incorrect_Update_for_Loop_Iterator_3_NT_Loop0_TestCase2, YES, 1761)
(FSE_Mathematical_Integer_Mode_Incorrect_Update_for_Loop_Iterator_3_NT_Loop0_TestCase6, NO, 1736)
(FSE_Mathematical_Integer_Mode_Incorrect_Update_for_Loop_Iterator_3_NT_Loop0_TestCase7, NO, 1743)
(FSE_Mathematical_Integer_Mode_Incorrect_Update_for_Loop_Iterator_3_NT_Loop0_TestCase5, YES, 1693)
(FSE_Mathematical_Integer_Mode_Incorrect_Update_for_Loop_Iterator_3_NT_Loop0_TestCase4, YES, 1692)
(FSE_Mathematical_Integer_Mode_Incorrect_Update_for_Loop_Iterator_3_NT_Loop0_TestCase10, NO, 1721)
(FSE_Mathematical_Integer_Mode_Incorrect_Update_for_Loop_Iterator_3_NT_Loop0_TestCase9, NO, 1713)
(FSE_Mathematical_Integer_Mode_Incorrect_Update_for_Loop_Iterator_3_NT_Loop0_TestCase8, NO, 1694)</t>
  </si>
  <si>
    <t>(FSE_Mathematical_Integer_Mode_Incorrect_Update_for_Loop_Iterator_3_NT_Loop18_TestCase0, NO, 1798)</t>
  </si>
  <si>
    <t>(FSE_Mathematical_Integer_Mode_Incorrect_Update_for_Loop_Iterator_3_NT_Loop0_TestCase0, NO, 1770)</t>
  </si>
  <si>
    <t>(FSE_Mathematical_Integer_Mode_Incorrect_Update_for_Loop_Iterator_2_T_Loop14_TestCase4, YES, 1757)
(FSE_Mathematical_Integer_Mode_Incorrect_Update_for_Loop_Iterator_2_T_Loop14_TestCase5, NO, 1722)
(FSE_Mathematical_Integer_Mode_Incorrect_Update_for_Loop_Iterator_2_T_Loop14_TestCase7, YES, 1761)
(FSE_Mathematical_Integer_Mode_Incorrect_Update_for_Loop_Iterator_2_T_Loop14_TestCase6, YES, 1780)
(FSE_Mathematical_Integer_Mode_Incorrect_Update_for_Loop_Iterator_2_T_Loop14_TestCase10, NO, 1732)
(FSE_Mathematical_Integer_Mode_Incorrect_Update_for_Loop_Iterator_2_T_Loop14_TestCase2, YES, 1744)
(FSE_Mathematical_Integer_Mode_Incorrect_Update_for_Loop_Iterator_2_T_Loop14_TestCase3, YES, 1711)
(FSE_Mathematical_Integer_Mode_Incorrect_Update_for_Loop_Iterator_2_T_Loop14_TestCase1, YES, 1751)
(FSE_Mathematical_Integer_Mode_Incorrect_Update_for_Loop_Iterator_2_T_Loop14_TestCase8, NO, 1715)
(FSE_Mathematical_Integer_Mode_Incorrect_Update_for_Loop_Iterator_2_T_Loop14_TestCase9, NO, 1779)</t>
  </si>
  <si>
    <t>(FSE_Mathematical_Integer_Mode_Incorrect_Update_for_Loop_Iterator_2_T_Loop0_TestCase3, YES, 1696)
(FSE_Mathematical_Integer_Mode_Incorrect_Update_for_Loop_Iterator_2_T_Loop0_TestCase2, YES, 2260)
(FSE_Mathematical_Integer_Mode_Incorrect_Update_for_Loop_Iterator_2_T_Loop0_TestCase1, YES, 1740)
(FSE_Mathematical_Integer_Mode_Incorrect_Update_for_Loop_Iterator_2_T_Loop0_TestCase5, NO, 1794)
(FSE_Mathematical_Integer_Mode_Incorrect_Update_for_Loop_Iterator_2_T_Loop0_TestCase4, YES, 1777)
(FSE_Mathematical_Integer_Mode_Incorrect_Update_for_Loop_Iterator_2_T_Loop0_TestCase6, YES, 1823)
(FSE_Mathematical_Integer_Mode_Incorrect_Update_for_Loop_Iterator_2_T_Loop0_TestCase7, YES, 1728)
(FSE_Mathematical_Integer_Mode_Incorrect_Update_for_Loop_Iterator_2_T_Loop0_TestCase9, NO, 1737)
(FSE_Mathematical_Integer_Mode_Incorrect_Update_for_Loop_Iterator_2_T_Loop0_TestCase10, NO, 1719)
(FSE_Mathematical_Integer_Mode_Incorrect_Update_for_Loop_Iterator_2_T_Loop0_TestCase8, NO, 1892)</t>
  </si>
  <si>
    <t>(FSE_Mathematical_Integer_Mode_Incorrect_Update_for_Loop_Iterator_2_T_Loop14_TestCase0, NO, 1782)</t>
  </si>
  <si>
    <t>(FSE_Mathematical_Integer_Mode_Incorrect_Update_for_Loop_Iterator_2_T_Loop0_TestCase0, NO, 1744)</t>
  </si>
  <si>
    <t>(FSE_Mathematical_Integer_Mode_Incorrect_Update_for_Loop_Iterator_2_NT_Loop15_TestCase8, NO, 2049)
(FSE_Mathematical_Integer_Mode_Incorrect_Update_for_Loop_Iterator_2_NT_Loop15_TestCase9, NO, 2093)
(FSE_Mathematical_Integer_Mode_Incorrect_Update_for_Loop_Iterator_2_NT_Loop15_TestCase2, YES, 1751)
(FSE_Mathematical_Integer_Mode_Incorrect_Update_for_Loop_Iterator_2_NT_Loop15_TestCase3, YES, 1749)
(FSE_Mathematical_Integer_Mode_Incorrect_Update_for_Loop_Iterator_2_NT_Loop15_TestCase1, YES, 1724)
(FSE_Mathematical_Integer_Mode_Incorrect_Update_for_Loop_Iterator_2_NT_Loop15_TestCase4, YES, 2492)
(FSE_Mathematical_Integer_Mode_Incorrect_Update_for_Loop_Iterator_2_NT_Loop15_TestCase5, NO, 2124)
(FSE_Mathematical_Integer_Mode_Incorrect_Update_for_Loop_Iterator_2_NT_Loop15_TestCase7, NO, 1727)
(FSE_Mathematical_Integer_Mode_Incorrect_Update_for_Loop_Iterator_2_NT_Loop15_TestCase6, NO, 1725)
(FSE_Mathematical_Integer_Mode_Incorrect_Update_for_Loop_Iterator_2_NT_Loop15_TestCase10, NO, 2012)</t>
  </si>
  <si>
    <t>(FSE_Mathematical_Integer_Mode_Incorrect_Update_for_Loop_Iterator_2_NT_Loop0_TestCase4, YES, 2127)
(FSE_Mathematical_Integer_Mode_Incorrect_Update_for_Loop_Iterator_2_NT_Loop0_TestCase5, NO, 1726)
(FSE_Mathematical_Integer_Mode_Incorrect_Update_for_Loop_Iterator_2_NT_Loop0_TestCase7, NO, 2148)
(FSE_Mathematical_Integer_Mode_Incorrect_Update_for_Loop_Iterator_2_NT_Loop0_TestCase6, NO, 2612)
(FSE_Mathematical_Integer_Mode_Incorrect_Update_for_Loop_Iterator_2_NT_Loop0_TestCase2, YES, 1699)
(FSE_Mathematical_Integer_Mode_Incorrect_Update_for_Loop_Iterator_2_NT_Loop0_TestCase3, YES, 1715)
(FSE_Mathematical_Integer_Mode_Incorrect_Update_for_Loop_Iterator_2_NT_Loop0_TestCase1, YES, 1677)
(FSE_Mathematical_Integer_Mode_Incorrect_Update_for_Loop_Iterator_2_NT_Loop0_TestCase8, NO, 2553)
(FSE_Mathematical_Integer_Mode_Incorrect_Update_for_Loop_Iterator_2_NT_Loop0_TestCase9, NO, 2089)
(FSE_Mathematical_Integer_Mode_Incorrect_Update_for_Loop_Iterator_2_NT_Loop0_TestCase10, NO, 2579)</t>
  </si>
  <si>
    <t>(FSE_Mathematical_Integer_Mode_Incorrect_Update_for_Loop_Iterator_2_NT_Loop15_TestCase0, NO, 1768)</t>
  </si>
  <si>
    <t>(FSE_Mathematical_Integer_Mode_Incorrect_Update_for_Loop_Iterator_2_NT_Loop0_TestCase0, NO, 2603)</t>
  </si>
  <si>
    <t>(FSE_Mathematical_Integer_Mode_Incorrect_Update_for_Loop_Iterator_1_T_Loop19_TestCase1, YES, 1757)
(FSE_Mathematical_Integer_Mode_Incorrect_Update_for_Loop_Iterator_1_T_Loop19_TestCase2, YES, 1748)
(FSE_Mathematical_Integer_Mode_Incorrect_Update_for_Loop_Iterator_1_T_Loop19_TestCase3, YES, 1789)
(FSE_Mathematical_Integer_Mode_Incorrect_Update_for_Loop_Iterator_1_T_Loop19_TestCase7, YES, 1781)
(FSE_Mathematical_Integer_Mode_Incorrect_Update_for_Loop_Iterator_1_T_Loop19_TestCase6, YES, 1739)
(FSE_Mathematical_Integer_Mode_Incorrect_Update_for_Loop_Iterator_1_T_Loop19_TestCase4, YES, 1739)
(FSE_Mathematical_Integer_Mode_Incorrect_Update_for_Loop_Iterator_1_T_Loop19_TestCase5, YES, 1722)
(FSE_Mathematical_Integer_Mode_Incorrect_Update_for_Loop_Iterator_1_T_Loop19_TestCase10, YES, 1722)
(FSE_Mathematical_Integer_Mode_Incorrect_Update_for_Loop_Iterator_1_T_Loop19_TestCase8, YES, 1777)
(FSE_Mathematical_Integer_Mode_Incorrect_Update_for_Loop_Iterator_1_T_Loop19_TestCase9, YES, 1763)</t>
  </si>
  <si>
    <t>(FSE_Mathematical_Integer_Mode_Incorrect_Update_for_Loop_Iterator_1_T_Loop0_TestCase8, YES, 1701)
(FSE_Mathematical_Integer_Mode_Incorrect_Update_for_Loop_Iterator_1_T_Loop0_TestCase9, YES, 1706)
(FSE_Mathematical_Integer_Mode_Incorrect_Update_for_Loop_Iterator_1_T_Loop0_TestCase7, YES, 1723)
(FSE_Mathematical_Integer_Mode_Incorrect_Update_for_Loop_Iterator_1_T_Loop0_TestCase6, YES, 1747)
(FSE_Mathematical_Integer_Mode_Incorrect_Update_for_Loop_Iterator_1_T_Loop0_TestCase4, YES, 1752)
(FSE_Mathematical_Integer_Mode_Incorrect_Update_for_Loop_Iterator_1_T_Loop0_TestCase5, YES, 1724)
(FSE_Mathematical_Integer_Mode_Incorrect_Update_for_Loop_Iterator_1_T_Loop0_TestCase1, YES, 1691)
(FSE_Mathematical_Integer_Mode_Incorrect_Update_for_Loop_Iterator_1_T_Loop0_TestCase2, YES, 1711)
(FSE_Mathematical_Integer_Mode_Incorrect_Update_for_Loop_Iterator_1_T_Loop0_TestCase3, YES, 1699)
(FSE_Mathematical_Integer_Mode_Incorrect_Update_for_Loop_Iterator_1_T_Loop0_TestCase10, YES, 1738)</t>
  </si>
  <si>
    <t>(FSE_Mathematical_Integer_Mode_Incorrect_Update_for_Loop_Iterator_1_T_Loop19_TestCase0, YES, 2002)</t>
  </si>
  <si>
    <t>(FSE_Mathematical_Integer_Mode_Incorrect_Update_for_Loop_Iterator_1_T_Loop0_TestCase0, YES, 1972)</t>
  </si>
  <si>
    <t>(FSE_Mathematical_Integer_Mode_Incorrect_Update_for_Loop_Iterator_1_NT_Loop19_TestCase10, NO, 1831)
(FSE_Mathematical_Integer_Mode_Incorrect_Update_for_Loop_Iterator_1_NT_Loop19_TestCase1, TIMEOUT, 301830)
(FSE_Mathematical_Integer_Mode_Incorrect_Update_for_Loop_Iterator_1_NT_Loop19_TestCase3, YES, 2186)
(FSE_Mathematical_Integer_Mode_Incorrect_Update_for_Loop_Iterator_1_NT_Loop19_TestCase2, YES, 2149)
(FSE_Mathematical_Integer_Mode_Incorrect_Update_for_Loop_Iterator_1_NT_Loop19_TestCase6, NO, 2042)
(FSE_Mathematical_Integer_Mode_Incorrect_Update_for_Loop_Iterator_1_NT_Loop19_TestCase7, NO, 1955)
(FSE_Mathematical_Integer_Mode_Incorrect_Update_for_Loop_Iterator_1_NT_Loop19_TestCase5, YES, 2034)
(FSE_Mathematical_Integer_Mode_Incorrect_Update_for_Loop_Iterator_1_NT_Loop19_TestCase4, YES, 2429)
(FSE_Mathematical_Integer_Mode_Incorrect_Update_for_Loop_Iterator_1_NT_Loop19_TestCase9, NO, 1834)
(FSE_Mathematical_Integer_Mode_Incorrect_Update_for_Loop_Iterator_1_NT_Loop19_TestCase8, NO, 1912)</t>
  </si>
  <si>
    <t>(FSE_Mathematical_Integer_Mode_Incorrect_Update_for_Loop_Iterator_1_NT_Loop0_TestCase1, TIMEOUT, 301609)
(FSE_Mathematical_Integer_Mode_Incorrect_Update_for_Loop_Iterator_1_NT_Loop0_TestCase2, YES, 2120)
(FSE_Mathematical_Integer_Mode_Incorrect_Update_for_Loop_Iterator_1_NT_Loop0_TestCase3, YES, 1919)
(FSE_Mathematical_Integer_Mode_Incorrect_Update_for_Loop_Iterator_1_NT_Loop0_TestCase7, NO, 1947)
(FSE_Mathematical_Integer_Mode_Incorrect_Update_for_Loop_Iterator_1_NT_Loop0_TestCase6, NO, 1887)
(FSE_Mathematical_Integer_Mode_Incorrect_Update_for_Loop_Iterator_1_NT_Loop0_TestCase4, YES, 1947)
(FSE_Mathematical_Integer_Mode_Incorrect_Update_for_Loop_Iterator_1_NT_Loop0_TestCase5, YES, 2139)
(FSE_Mathematical_Integer_Mode_Incorrect_Update_for_Loop_Iterator_1_NT_Loop0_TestCase8, NO, 1881)
(FSE_Mathematical_Integer_Mode_Incorrect_Update_for_Loop_Iterator_1_NT_Loop0_TestCase9, NO, 1718)
(FSE_Mathematical_Integer_Mode_Incorrect_Update_for_Loop_Iterator_1_NT_Loop0_TestCase10, NO, 1886)</t>
  </si>
  <si>
    <t>(FSE_Mathematical_Integer_Mode_Incorrect_Update_for_Loop_Iterator_1_NT_Loop19_TestCase0, NO, 3541)</t>
  </si>
  <si>
    <t>(FSE_Mathematical_Integer_Mode_Incorrect_Update_for_Loop_Iterator_1_NT_Loop0_TestCase0, NO, 3851)</t>
  </si>
  <si>
    <t>(FSE_Mathematical_Integer_Mode_Incorrect_Initialization_4_T_Loop20_TestCase8, YES, 1815)
(FSE_Mathematical_Integer_Mode_Incorrect_Initialization_4_T_Loop20_TestCase9, YES, 1724)
(FSE_Mathematical_Integer_Mode_Incorrect_Initialization_4_T_Loop20_TestCase10, YES, 1728)
(FSE_Mathematical_Integer_Mode_Incorrect_Initialization_4_T_Loop20_TestCase4, YES, 1699)
(FSE_Mathematical_Integer_Mode_Incorrect_Initialization_4_T_Loop20_TestCase5, YES, 1730)
(FSE_Mathematical_Integer_Mode_Incorrect_Initialization_4_T_Loop20_TestCase7, YES, 1708)
(FSE_Mathematical_Integer_Mode_Incorrect_Initialization_4_T_Loop20_TestCase6, YES, 1768)
(FSE_Mathematical_Integer_Mode_Incorrect_Initialization_4_T_Loop20_TestCase2, YES, 1727)
(FSE_Mathematical_Integer_Mode_Incorrect_Initialization_4_T_Loop20_TestCase3, YES, 1691)
(FSE_Mathematical_Integer_Mode_Incorrect_Initialization_4_T_Loop20_TestCase1, YES, 1772)</t>
  </si>
  <si>
    <t>(FSE_Mathematical_Integer_Mode_Incorrect_Initialization_4_T_Loop0_TestCase4, YES, 1711)
(FSE_Mathematical_Integer_Mode_Incorrect_Initialization_4_T_Loop0_TestCase5, YES, 1730)
(FSE_Mathematical_Integer_Mode_Incorrect_Initialization_4_T_Loop0_TestCase10, YES, 1687)
(FSE_Mathematical_Integer_Mode_Incorrect_Initialization_4_T_Loop0_TestCase7, YES, 1717)
(FSE_Mathematical_Integer_Mode_Incorrect_Initialization_4_T_Loop0_TestCase6, YES, 1730)
(FSE_Mathematical_Integer_Mode_Incorrect_Initialization_4_T_Loop0_TestCase2, YES, 1720)
(FSE_Mathematical_Integer_Mode_Incorrect_Initialization_4_T_Loop0_TestCase3, YES, 1688)
(FSE_Mathematical_Integer_Mode_Incorrect_Initialization_4_T_Loop0_TestCase1, YES, 1706)
(FSE_Mathematical_Integer_Mode_Incorrect_Initialization_4_T_Loop0_TestCase8, YES, 1712)
(FSE_Mathematical_Integer_Mode_Incorrect_Initialization_4_T_Loop0_TestCase9, YES, 1678)</t>
  </si>
  <si>
    <t>(FSE_Mathematical_Integer_Mode_Incorrect_Initialization_4_T_Loop20_TestCase0, YES, 2389)</t>
  </si>
  <si>
    <t>(FSE_Mathematical_Integer_Mode_Incorrect_Initialization_4_T_Loop0_TestCase0, YES, 2210)</t>
  </si>
  <si>
    <t>(FSE_Mathematical_Integer_Mode_Incorrect_Initialization_4_NT_Loop19_TestCase8, NO, 1774)
(FSE_Mathematical_Integer_Mode_Incorrect_Initialization_4_NT_Loop19_TestCase9, NO, 1788)
(FSE_Mathematical_Integer_Mode_Incorrect_Initialization_4_NT_Loop19_TestCase10, NO, 1739)
(FSE_Mathematical_Integer_Mode_Incorrect_Initialization_4_NT_Loop19_TestCase7, NO, 1705)
(FSE_Mathematical_Integer_Mode_Incorrect_Initialization_4_NT_Loop19_TestCase6, NO, 1748)
(FSE_Mathematical_Integer_Mode_Incorrect_Initialization_4_NT_Loop19_TestCase4, YES, 1722)
(FSE_Mathematical_Integer_Mode_Incorrect_Initialization_4_NT_Loop19_TestCase5, YES, 1728)
(FSE_Mathematical_Integer_Mode_Incorrect_Initialization_4_NT_Loop19_TestCase1, YES, 1718)
(FSE_Mathematical_Integer_Mode_Incorrect_Initialization_4_NT_Loop19_TestCase2, YES, 1709)
(FSE_Mathematical_Integer_Mode_Incorrect_Initialization_4_NT_Loop19_TestCase3, YES, 1717)</t>
  </si>
  <si>
    <t>(FSE_Mathematical_Integer_Mode_Incorrect_Initialization_4_NT_Loop0_TestCase10, NO, 1712)
(FSE_Mathematical_Integer_Mode_Incorrect_Initialization_4_NT_Loop0_TestCase8, NO, 1699)
(FSE_Mathematical_Integer_Mode_Incorrect_Initialization_4_NT_Loop0_TestCase9, NO, 1804)
(FSE_Mathematical_Integer_Mode_Incorrect_Initialization_4_NT_Loop0_TestCase4, YES, 1699)
(FSE_Mathematical_Integer_Mode_Incorrect_Initialization_4_NT_Loop0_TestCase5, YES, 1777)
(FSE_Mathematical_Integer_Mode_Incorrect_Initialization_4_NT_Loop0_TestCase7, NO, 1712)
(FSE_Mathematical_Integer_Mode_Incorrect_Initialization_4_NT_Loop0_TestCase6, NO, 1679)
(FSE_Mathematical_Integer_Mode_Incorrect_Initialization_4_NT_Loop0_TestCase2, YES, 1750)
(FSE_Mathematical_Integer_Mode_Incorrect_Initialization_4_NT_Loop0_TestCase3, YES, 1715)
(FSE_Mathematical_Integer_Mode_Incorrect_Initialization_4_NT_Loop0_TestCase1, YES, 1657)</t>
  </si>
  <si>
    <t>(FSE_Mathematical_Integer_Mode_Incorrect_Initialization_4_NT_Loop19_TestCase0, NO, 1811)</t>
  </si>
  <si>
    <t>(FSE_Mathematical_Integer_Mode_Incorrect_Initialization_4_NT_Loop0_TestCase0, NO, 2046)</t>
  </si>
  <si>
    <t>(FSE_Mathematical_Integer_Mode_Incorrect_Initialization_3_T_Loop21_TestCase0, YES, 1706)
(FSE_Mathematical_Integer_Mode_Incorrect_Initialization_3_T_Loop25_TestCase0, MAYBE, 1820)
(FSE_Mathematical_Integer_Mode_Incorrect_Initialization_3_T_Loop10_TestCase0, MAYBE, 2143)</t>
  </si>
  <si>
    <t>(FSE_Mathematical_Integer_Mode_Incorrect_Initialization_3_T_Loop0_TestCase0, TIMEOUT, 302299)</t>
  </si>
  <si>
    <t>(FSE_Mathematical_Integer_Mode_Incorrect_Initialization_3_T_Loop21_TestCase0, YES, 1767)
(FSE_Mathematical_Integer_Mode_Incorrect_Initialization_3_T_Loop25_TestCase0, MAYBE, 1851)
(FSE_Mathematical_Integer_Mode_Incorrect_Initialization_3_T_Loop10_TestCase0, MAYBE, 2173)</t>
  </si>
  <si>
    <t>(FSE_Mathematical_Integer_Mode_Incorrect_Initialization_3_T_Loop0_TestCase0, TIMEOUT, 302247)</t>
  </si>
  <si>
    <t>(FSE_Mathematical_Integer_Mode_Incorrect_Initialization_3_NT_Loop25_TestCase0, MAYBE, 1345)
(FSE_Mathematical_Integer_Mode_Incorrect_Initialization_3_NT_Loop21_TestCase0, YES, 1770)
(FSE_Mathematical_Integer_Mode_Incorrect_Initialization_3_NT_Loop10_TestCase0, MAYBE, 2080)</t>
  </si>
  <si>
    <t>(FSE_Mathematical_Integer_Mode_Incorrect_Initialization_3_NT_Loop0_TestCase0, TIMEOUT, 301941)</t>
  </si>
  <si>
    <t>(FSE_Mathematical_Integer_Mode_Incorrect_Initialization_3_NT_Loop25_TestCase0, MAYBE, 1368)
(FSE_Mathematical_Integer_Mode_Incorrect_Initialization_3_NT_Loop21_TestCase0, YES, 1803)
(FSE_Mathematical_Integer_Mode_Incorrect_Initialization_3_NT_Loop10_TestCase0, MAYBE, 2089)</t>
  </si>
  <si>
    <t>(FSE_Mathematical_Integer_Mode_Incorrect_Initialization_3_NT_Loop0_TestCase0, TIMEOUT, 302215)</t>
  </si>
  <si>
    <t>(FSE_Mathematical_Integer_Mode_Incorrect_Initialization_2_T_Loop29_TestCase8, YES, 2186)
(FSE_Mathematical_Integer_Mode_Incorrect_Initialization_2_T_Loop29_TestCase9, YES, 2180)
(FSE_Mathematical_Integer_Mode_Incorrect_Initialization_2_T_Loop26_TestCase1, YES, 1778)
(FSE_Mathematical_Integer_Mode_Incorrect_Initialization_2_T_Loop26_TestCase3, NO, 1847)
(FSE_Mathematical_Integer_Mode_Incorrect_Initialization_2_T_Loop26_TestCase2, NO, 1803)
(FSE_Mathematical_Integer_Mode_Incorrect_Initialization_2_T_Loop26_TestCase6, YES, 2127)
(FSE_Mathematical_Integer_Mode_Incorrect_Initialization_2_T_Loop26_TestCase7, YES, 2151)
(FSE_Mathematical_Integer_Mode_Incorrect_Initialization_2_T_Loop26_TestCase5, NO, 2234)
(FSE_Mathematical_Integer_Mode_Incorrect_Initialization_2_T_Loop26_TestCase4, NO, 2384)
(FSE_Mathematical_Integer_Mode_Incorrect_Initialization_2_T_Loop26_TestCase9, ERROR, 2132)
(FSE_Mathematical_Integer_Mode_Incorrect_Initialization_2_T_Loop26_TestCase8, YES, 2219)
(FSE_Mathematical_Integer_Mode_Incorrect_Initialization_2_T_Loop29_TestCase10, YES, 2005)
(FSE_Mathematical_Integer_Mode_Incorrect_Initialization_2_T_Loop26_TestCase10, YES, 2161)
(FSE_Mathematical_Integer_Mode_Incorrect_Initialization_2_T_Loop29_TestCase2, NO, 1779)
(FSE_Mathematical_Integer_Mode_Incorrect_Initialization_2_T_Loop29_TestCase3, NO, 1753)
(FSE_Mathematical_Integer_Mode_Incorrect_Initialization_2_T_Loop29_TestCase1, YES, 1818)
(FSE_Mathematical_Integer_Mode_Incorrect_Initialization_2_T_Loop29_TestCase4, NO, 2333)
(FSE_Mathematical_Integer_Mode_Incorrect_Initialization_2_T_Loop29_TestCase5, NO, 2283)
(FSE_Mathematical_Integer_Mode_Incorrect_Initialization_2_T_Loop29_TestCase7, YES, 2429)
(FSE_Mathematical_Integer_Mode_Incorrect_Initialization_2_T_Loop29_TestCase6, YES, 2193)</t>
  </si>
  <si>
    <t>(FSE_Mathematical_Integer_Mode_Incorrect_Initialization_2_T_Loop0_TestCase1, YES, 1798)
(FSE_Mathematical_Integer_Mode_Incorrect_Initialization_2_T_Loop0_TestCase3, NO, 1778)
(FSE_Mathematical_Integer_Mode_Incorrect_Initialization_2_T_Loop0_TestCase2, NO, 1866)
(FSE_Mathematical_Integer_Mode_Incorrect_Initialization_2_T_Loop0_TestCase6, YES, 2193)
(FSE_Mathematical_Integer_Mode_Incorrect_Initialization_2_T_Loop0_TestCase7, YES, 2284)
(FSE_Mathematical_Integer_Mode_Incorrect_Initialization_2_T_Loop0_TestCase5, NO, 2213)
(FSE_Mathematical_Integer_Mode_Incorrect_Initialization_2_T_Loop0_TestCase4, NO, 2309)
(FSE_Mathematical_Integer_Mode_Incorrect_Initialization_2_T_Loop0_TestCase10, YES, 2242)
(FSE_Mathematical_Integer_Mode_Incorrect_Initialization_2_T_Loop0_TestCase9, YES, 2073)
(FSE_Mathematical_Integer_Mode_Incorrect_Initialization_2_T_Loop0_TestCase8, YES, 2115)</t>
  </si>
  <si>
    <t>(FSE_Mathematical_Integer_Mode_Incorrect_Initialization_2_T_Loop26_TestCase0, NO, 2590)
(FSE_Mathematical_Integer_Mode_Incorrect_Initialization_2_T_Loop29_TestCase0, NO, 2664)</t>
  </si>
  <si>
    <t>(FSE_Mathematical_Integer_Mode_Incorrect_Initialization_2_T_Loop0_TestCase0, NO, 2817)</t>
  </si>
  <si>
    <t>(FSE_Mathematical_Integer_Mode_Incorrect_Initialization_2_NT_Loop31_TestCase8, NO, 1814)
(FSE_Mathematical_Integer_Mode_Incorrect_Initialization_2_NT_Loop31_TestCase9, NO, 1791)
(FSE_Mathematical_Integer_Mode_Incorrect_Initialization_2_NT_Loop29_TestCase1, YES, 1795)
(FSE_Mathematical_Integer_Mode_Incorrect_Initialization_2_NT_Loop29_TestCase3, NO, 1783)
(FSE_Mathematical_Integer_Mode_Incorrect_Initialization_2_NT_Loop29_TestCase2, NO, 1803)
(FSE_Mathematical_Integer_Mode_Incorrect_Initialization_2_NT_Loop29_TestCase6, NO, 1774)
(FSE_Mathematical_Integer_Mode_Incorrect_Initialization_2_NT_Loop29_TestCase7, NO, 1822)
(FSE_Mathematical_Integer_Mode_Incorrect_Initialization_2_NT_Loop29_TestCase5, NO, 2060)
(FSE_Mathematical_Integer_Mode_Incorrect_Initialization_2_NT_Loop29_TestCase4, NO, 1797)
(FSE_Mathematical_Integer_Mode_Incorrect_Initialization_2_NT_Loop29_TestCase9, NO, 1842)
(FSE_Mathematical_Integer_Mode_Incorrect_Initialization_2_NT_Loop29_TestCase8, NO, 1782)
(FSE_Mathematical_Integer_Mode_Incorrect_Initialization_2_NT_Loop31_TestCase10, NO, 1824)
(FSE_Mathematical_Integer_Mode_Incorrect_Initialization_2_NT_Loop31_TestCase2, NO, 1800)
(FSE_Mathematical_Integer_Mode_Incorrect_Initialization_2_NT_Loop31_TestCase3, NO, 1777)
(FSE_Mathematical_Integer_Mode_Incorrect_Initialization_2_NT_Loop31_TestCase1, YES, 1838)
(FSE_Mathematical_Integer_Mode_Incorrect_Initialization_2_NT_Loop29_TestCase10, NO, 1805)
(FSE_Mathematical_Integer_Mode_Incorrect_Initialization_2_NT_Loop31_TestCase4, NO, 1827)
(FSE_Mathematical_Integer_Mode_Incorrect_Initialization_2_NT_Loop31_TestCase5, NO, 2116)
(FSE_Mathematical_Integer_Mode_Incorrect_Initialization_2_NT_Loop31_TestCase7, NO, 1779)
(FSE_Mathematical_Integer_Mode_Incorrect_Initialization_2_NT_Loop31_TestCase6, NO, 1757)</t>
  </si>
  <si>
    <t>(FSE_Mathematical_Integer_Mode_Incorrect_Initialization_2_NT_Loop0_TestCase9, NO, 1761)
(FSE_Mathematical_Integer_Mode_Incorrect_Initialization_2_NT_Loop0_TestCase8, NO, 1787)
(FSE_Mathematical_Integer_Mode_Incorrect_Initialization_2_NT_Loop0_TestCase3, NO, 1786)
(FSE_Mathematical_Integer_Mode_Incorrect_Initialization_2_NT_Loop0_TestCase2, NO, 1783)
(FSE_Mathematical_Integer_Mode_Incorrect_Initialization_2_NT_Loop0_TestCase1, YES, 1805)
(FSE_Mathematical_Integer_Mode_Incorrect_Initialization_2_NT_Loop0_TestCase5, NO, 2102)
(FSE_Mathematical_Integer_Mode_Incorrect_Initialization_2_NT_Loop0_TestCase10, NO, 1782)
(FSE_Mathematical_Integer_Mode_Incorrect_Initialization_2_NT_Loop0_TestCase4, NO, 1820)
(FSE_Mathematical_Integer_Mode_Incorrect_Initialization_2_NT_Loop0_TestCase6, NO, 1817)
(FSE_Mathematical_Integer_Mode_Incorrect_Initialization_2_NT_Loop0_TestCase7, NO, 1752)</t>
  </si>
  <si>
    <t>(FSE_Mathematical_Integer_Mode_Incorrect_Initialization_2_NT_Loop29_TestCase0, NO, 2014)
(FSE_Mathematical_Integer_Mode_Incorrect_Initialization_2_NT_Loop31_TestCase0, NO, 2076)</t>
  </si>
  <si>
    <t>(FSE_Mathematical_Integer_Mode_Incorrect_Initialization_2_NT_Loop0_TestCase0, NO, 2012)</t>
  </si>
  <si>
    <t>(FSE_Mathematical_Integer_Mode_Incorrect_Initialization_1_T_Loop15_TestCase1, MAYBE, 1438)
(FSE_Mathematical_Integer_Mode_Incorrect_Initialization_1_T_Loop15_TestCase2, MAYBE, 1376)
(FSE_Mathematical_Integer_Mode_Incorrect_Initialization_1_T_Loop15_TestCase3, MAYBE, 1380)
(FSE_Mathematical_Integer_Mode_Incorrect_Initialization_1_T_Loop15_TestCase7, MAYBE, 1366)
(FSE_Mathematical_Integer_Mode_Incorrect_Initialization_1_T_Loop15_TestCase6, MAYBE, 1353)
(FSE_Mathematical_Integer_Mode_Incorrect_Initialization_1_T_Loop15_TestCase10, MAYBE, 1427)
(FSE_Mathematical_Integer_Mode_Incorrect_Initialization_1_T_Loop15_TestCase4, MAYBE, 1367)
(FSE_Mathematical_Integer_Mode_Incorrect_Initialization_1_T_Loop15_TestCase5, MAYBE, 1378)
(FSE_Mathematical_Integer_Mode_Incorrect_Initialization_1_T_Loop35_TestCase4, MAYBE, 1366)
(FSE_Mathematical_Integer_Mode_Incorrect_Initialization_1_T_Loop31_TestCase5, YES, 1728)
(FSE_Mathematical_Integer_Mode_Incorrect_Initialization_1_T_Loop18_TestCase1, MAYBE, 1357)
(FSE_Mathematical_Integer_Mode_Incorrect_Initialization_1_T_Loop18_TestCase10, MAYBE, 1415)
(FSE_Mathematical_Integer_Mode_Incorrect_Initialization_1_T_Loop31_TestCase4, ERROR, 1639)
(FSE_Mathematical_Integer_Mode_Incorrect_Initialization_1_T_Loop35_TestCase5, MAYBE, 1398)
(FSE_Mathematical_Integer_Mode_Incorrect_Initialization_1_T_Loop35_TestCase7, MAYBE, 1358)
(FSE_Mathematical_Integer_Mode_Incorrect_Initialization_1_T_Loop18_TestCase2, MAYBE, 1390)
(FSE_Mathematical_Integer_Mode_Incorrect_Initialization_1_T_Loop31_TestCase6, ERROR, 1663)
(FSE_Mathematical_Integer_Mode_Incorrect_Initialization_1_T_Loop31_TestCase7, ERROR, 1677)
(FSE_Mathematical_Integer_Mode_Incorrect_Initialization_1_T_Loop18_TestCase3, MAYBE, 1391)
(FSE_Mathematical_Integer_Mode_Incorrect_Initialization_1_T_Loop35_TestCase6, MAYBE, 1368)
(FSE_Mathematical_Integer_Mode_Incorrect_Initialization_1_T_Loop35_TestCase2, MAYBE, 1378)
(FSE_Mathematical_Integer_Mode_Incorrect_Initialization_1_T_Loop18_TestCase7, MAYBE, 1371)
(FSE_Mathematical_Integer_Mode_Incorrect_Initialization_1_T_Loop31_TestCase3, YES, 1771)
(FSE_Mathematical_Integer_Mode_Incorrect_Initialization_1_T_Loop31_TestCase2, YES, 1767)
(FSE_Mathematical_Integer_Mode_Incorrect_Initialization_1_T_Loop18_TestCase6, MAYBE, 1344)
(FSE_Mathematical_Integer_Mode_Incorrect_Initialization_1_T_Loop35_TestCase3, MAYBE, 1370)
(FSE_Mathematical_Integer_Mode_Incorrect_Initialization_1_T_Loop35_TestCase1, MAYBE, 1373)
(FSE_Mathematical_Integer_Mode_Incorrect_Initialization_1_T_Loop18_TestCase4, MAYBE, 1371)
(FSE_Mathematical_Integer_Mode_Incorrect_Initialization_1_T_Loop18_TestCase5, MAYBE, 1361)
(FSE_Mathematical_Integer_Mode_Incorrect_Initialization_1_T_Loop31_TestCase1, YES, 1779)
(FSE_Mathematical_Integer_Mode_Incorrect_Initialization_1_T_Loop18_TestCase8, MAYBE, 1361)
(FSE_Mathematical_Integer_Mode_Incorrect_Initialization_1_T_Loop18_TestCase9, MAYBE, 1386)
(FSE_Mathematical_Integer_Mode_Incorrect_Initialization_1_T_Loop35_TestCase8, MAYBE, 1392)
(FSE_Mathematical_Integer_Mode_Incorrect_Initialization_1_T_Loop31_TestCase9, ERROR, 1669)
(FSE_Mathematical_Integer_Mode_Incorrect_Initialization_1_T_Loop31_TestCase10, YES, 1799)
(FSE_Mathematical_Integer_Mode_Incorrect_Initialization_1_T_Loop31_TestCase8, YES, 1740)
(FSE_Mathematical_Integer_Mode_Incorrect_Initialization_1_T_Loop35_TestCase9, MAYBE, 1361)
(FSE_Mathematical_Integer_Mode_Incorrect_Initialization_1_T_Loop15_TestCase8, MAYBE, 1369)
(FSE_Mathematical_Integer_Mode_Incorrect_Initialization_1_T_Loop15_TestCase9, MAYBE, 1379)
(FSE_Mathematical_Integer_Mode_Incorrect_Initialization_1_T_Loop35_TestCase10, MAYBE, 1353)</t>
  </si>
  <si>
    <t>(FSE_Mathematical_Integer_Mode_Incorrect_Initialization_1_T_Loop0_TestCase8, MAYBE, 1352)
(FSE_Mathematical_Integer_Mode_Incorrect_Initialization_1_T_Loop0_TestCase9, MAYBE, 1346)
(FSE_Mathematical_Integer_Mode_Incorrect_Initialization_1_T_Loop0_TestCase10, MAYBE, 1356)
(FSE_Mathematical_Integer_Mode_Incorrect_Initialization_1_T_Loop0_TestCase4, MAYBE, 1335)
(FSE_Mathematical_Integer_Mode_Incorrect_Initialization_1_T_Loop0_TestCase5, MAYBE, 1355)
(FSE_Mathematical_Integer_Mode_Incorrect_Initialization_1_T_Loop0_TestCase7, MAYBE, 1352)
(FSE_Mathematical_Integer_Mode_Incorrect_Initialization_1_T_Loop0_TestCase6, MAYBE, 1366)
(FSE_Mathematical_Integer_Mode_Incorrect_Initialization_1_T_Loop0_TestCase2, MAYBE, 1357)
(FSE_Mathematical_Integer_Mode_Incorrect_Initialization_1_T_Loop0_TestCase3, MAYBE, 1390)
(FSE_Mathematical_Integer_Mode_Incorrect_Initialization_1_T_Loop0_TestCase1, MAYBE, 1323)</t>
  </si>
  <si>
    <t>(FSE_Mathematical_Integer_Mode_Incorrect_Initialization_1_T_Loop15_TestCase0, TIMEOUT, 302053)
(FSE_Mathematical_Integer_Mode_Incorrect_Initialization_1_T_Loop18_TestCase0, TIMEOUT, 302338)
(FSE_Mathematical_Integer_Mode_Incorrect_Initialization_1_T_Loop31_TestCase0, YES, 1775)
(FSE_Mathematical_Integer_Mode_Incorrect_Initialization_1_T_Loop35_TestCase0, TIMEOUT, 302116)</t>
  </si>
  <si>
    <t>(FSE_Mathematical_Integer_Mode_Incorrect_Initialization_1_T_Loop0_TestCase0, TIMEOUT, 302253)</t>
  </si>
  <si>
    <t>(FSE_Mathematical_Integer_Mode_Incorrect_Initialization_1_NT_Loop16_TestCase9, MAYBE, 1351)
(FSE_Mathematical_Integer_Mode_Incorrect_Initialization_1_NT_Loop16_TestCase8, MAYBE, 1350)
(FSE_Mathematical_Integer_Mode_Incorrect_Initialization_1_NT_Loop36_TestCase10, MAYBE, 1410)
(FSE_Mathematical_Integer_Mode_Incorrect_Initialization_1_NT_Loop19_TestCase4, MAYBE, 1336)
(FSE_Mathematical_Integer_Mode_Incorrect_Initialization_1_NT_Loop19_TestCase5, MAYBE, 1402)
(FSE_Mathematical_Integer_Mode_Incorrect_Initialization_1_NT_Loop36_TestCase9, MAYBE, 1382)
(FSE_Mathematical_Integer_Mode_Incorrect_Initialization_1_NT_Loop19_TestCase7, MAYBE, 1348)
(FSE_Mathematical_Integer_Mode_Incorrect_Initialization_1_NT_Loop32_TestCase8, YES, 1746)
(FSE_Mathematical_Integer_Mode_Incorrect_Initialization_1_NT_Loop32_TestCase9, ERROR, 1669)
(FSE_Mathematical_Integer_Mode_Incorrect_Initialization_1_NT_Loop19_TestCase6, MAYBE, 1347)
(FSE_Mathematical_Integer_Mode_Incorrect_Initialization_1_NT_Loop36_TestCase8, MAYBE, 1331)
(FSE_Mathematical_Integer_Mode_Incorrect_Initialization_1_NT_Loop19_TestCase2, MAYBE, 1384)
(FSE_Mathematical_Integer_Mode_Incorrect_Initialization_1_NT_Loop19_TestCase3, MAYBE, 1380)
(FSE_Mathematical_Integer_Mode_Incorrect_Initialization_1_NT_Loop32_TestCase10, YES, 1748)
(FSE_Mathematical_Integer_Mode_Incorrect_Initialization_1_NT_Loop19_TestCase1, MAYBE, 1352)
(FSE_Mathematical_Integer_Mode_Incorrect_Initialization_1_NT_Loop36_TestCase3, MAYBE, 1377)
(FSE_Mathematical_Integer_Mode_Incorrect_Initialization_1_NT_Loop32_TestCase2, YES, 1779)
(FSE_Mathematical_Integer_Mode_Incorrect_Initialization_1_NT_Loop32_TestCase3, YES, 1738)
(FSE_Mathematical_Integer_Mode_Incorrect_Initialization_1_NT_Loop36_TestCase2, MAYBE, 1333)
(FSE_Mathematical_Integer_Mode_Incorrect_Initialization_1_NT_Loop32_TestCase1, YES, 1748)
(FSE_Mathematical_Integer_Mode_Incorrect_Initialization_1_NT_Loop36_TestCase1, MAYBE, 1358)
(FSE_Mathematical_Integer_Mode_Incorrect_Initialization_1_NT_Loop36_TestCase5, MAYBE, 1347)
(FSE_Mathematical_Integer_Mode_Incorrect_Initialization_1_NT_Loop32_TestCase4, ERROR, 1637)
(FSE_Mathematical_Integer_Mode_Incorrect_Initialization_1_NT_Loop32_TestCase5, YES, 1716)
(FSE_Mathematical_Integer_Mode_Incorrect_Initialization_1_NT_Loop36_TestCase4, MAYBE, 1376)
(FSE_Mathematical_Integer_Mode_Incorrect_Initialization_1_NT_Loop36_TestCase6, MAYBE, 1334)
(FSE_Mathematical_Integer_Mode_Incorrect_Initialization_1_NT_Loop19_TestCase8, MAYBE, 1397)
(FSE_Mathematical_Integer_Mode_Incorrect_Initialization_1_NT_Loop32_TestCase7, ERROR, 1599)
(FSE_Mathematical_Integer_Mode_Incorrect_Initialization_1_NT_Loop32_TestCase6, ERROR, 1743)
(FSE_Mathematical_Integer_Mode_Incorrect_Initialization_1_NT_Loop19_TestCase9, MAYBE, 1330)
(FSE_Mathematical_Integer_Mode_Incorrect_Initialization_1_NT_Loop36_TestCase7, MAYBE, 1346)
(FSE_Mathematical_Integer_Mode_Incorrect_Initialization_1_NT_Loop16_TestCase6, MAYBE, 1348)
(FSE_Mathematical_Integer_Mode_Incorrect_Initialization_1_NT_Loop16_TestCase7, MAYBE, 1332)
(FSE_Mathematical_Integer_Mode_Incorrect_Initialization_1_NT_Loop16_TestCase5, MAYBE, 1383)
(FSE_Mathematical_Integer_Mode_Incorrect_Initialization_1_NT_Loop16_TestCase4, MAYBE, 1348)
(FSE_Mathematical_Integer_Mode_Incorrect_Initialization_1_NT_Loop16_TestCase10, MAYBE, 1357)
(FSE_Mathematical_Integer_Mode_Incorrect_Initialization_1_NT_Loop16_TestCase1, MAYBE, 1356)
(FSE_Mathematical_Integer_Mode_Incorrect_Initialization_1_NT_Loop16_TestCase3, MAYBE, 1454)
(FSE_Mathematical_Integer_Mode_Incorrect_Initialization_1_NT_Loop19_TestCase10, MAYBE, 1375)
(FSE_Mathematical_Integer_Mode_Incorrect_Initialization_1_NT_Loop16_TestCase2, MAYBE, 1380)</t>
  </si>
  <si>
    <t>(FSE_Mathematical_Integer_Mode_Incorrect_Initialization_1_NT_Loop0_TestCase9, MAYBE, 1330)
(FSE_Mathematical_Integer_Mode_Incorrect_Initialization_1_NT_Loop0_TestCase8, MAYBE, 1345)
(FSE_Mathematical_Integer_Mode_Incorrect_Initialization_1_NT_Loop0_TestCase10, MAYBE, 1346)
(FSE_Mathematical_Integer_Mode_Incorrect_Initialization_1_NT_Loop0_TestCase6, MAYBE, 1358)
(FSE_Mathematical_Integer_Mode_Incorrect_Initialization_1_NT_Loop0_TestCase7, MAYBE, 1359)
(FSE_Mathematical_Integer_Mode_Incorrect_Initialization_1_NT_Loop0_TestCase5, MAYBE, 1359)
(FSE_Mathematical_Integer_Mode_Incorrect_Initialization_1_NT_Loop0_TestCase4, MAYBE, 1336)
(FSE_Mathematical_Integer_Mode_Incorrect_Initialization_1_NT_Loop0_TestCase1, MAYBE, 1343)
(FSE_Mathematical_Integer_Mode_Incorrect_Initialization_1_NT_Loop0_TestCase3, MAYBE, 1348)
(FSE_Mathematical_Integer_Mode_Incorrect_Initialization_1_NT_Loop0_TestCase2, MAYBE, 1361)</t>
  </si>
  <si>
    <t>(FSE_Mathematical_Integer_Mode_Incorrect_Initialization_1_NT_Loop19_TestCase0, NO, 129698)
(FSE_Mathematical_Integer_Mode_Incorrect_Initialization_1_NT_Loop36_TestCase0, TIMEOUT, 302347)
(FSE_Mathematical_Integer_Mode_Incorrect_Initialization_1_NT_Loop32_TestCase0, YES, 1807)
(FSE_Mathematical_Integer_Mode_Incorrect_Initialization_1_NT_Loop16_TestCase0, TIMEOUT, 302089)</t>
  </si>
  <si>
    <t>(FSE_Mathematical_Integer_Mode_Incorrect_Initialization_1_NT_Loop0_TestCase0, NO, 204805)</t>
  </si>
  <si>
    <t>(FSE_Mathematical_Integer_Mode_Incorrect_Control_Statement_2_T_Loop23_TestCase6, YES, 1889)
(FSE_Mathematical_Integer_Mode_Incorrect_Control_Statement_2_T_Loop23_TestCase7, YES, 1891)
(FSE_Mathematical_Integer_Mode_Incorrect_Control_Statement_2_T_Loop23_TestCase5, YES, 1935)
(FSE_Mathematical_Integer_Mode_Incorrect_Control_Statement_2_T_Loop23_TestCase4, YES, 1911)
(FSE_Mathematical_Integer_Mode_Incorrect_Control_Statement_2_T_Loop23_TestCase1, YES, 1932)
(FSE_Mathematical_Integer_Mode_Incorrect_Control_Statement_2_T_Loop23_TestCase3, YES, 2187)
(FSE_Mathematical_Integer_Mode_Incorrect_Control_Statement_2_T_Loop23_TestCase2, YES, 1988)
(FSE_Mathematical_Integer_Mode_Incorrect_Control_Statement_2_T_Loop17_TestCase6, YES, 1739)
(FSE_Mathematical_Integer_Mode_Incorrect_Control_Statement_2_T_Loop17_TestCase7, YES, 1737)
(FSE_Mathematical_Integer_Mode_Incorrect_Control_Statement_2_T_Loop17_TestCase5, YES, 1733)
(FSE_Mathematical_Integer_Mode_Incorrect_Control_Statement_2_T_Loop17_TestCase4, YES, 1781)
(FSE_Mathematical_Integer_Mode_Incorrect_Control_Statement_2_T_Loop17_TestCase1, YES, 1786)
(FSE_Mathematical_Integer_Mode_Incorrect_Control_Statement_2_T_Loop17_TestCase3, YES, 1730)
(FSE_Mathematical_Integer_Mode_Incorrect_Control_Statement_2_T_Loop17_TestCase2, YES, 1726)
(FSE_Mathematical_Integer_Mode_Incorrect_Control_Statement_2_T_Loop17_TestCase10, YES, 1774)
(FSE_Mathematical_Integer_Mode_Incorrect_Control_Statement_2_T_Loop23_TestCase10, YES, 1875)
(FSE_Mathematical_Integer_Mode_Incorrect_Control_Statement_2_T_Loop17_TestCase9, YES, 1766)
(FSE_Mathematical_Integer_Mode_Incorrect_Control_Statement_2_T_Loop17_TestCase8, YES, 1802)
(FSE_Mathematical_Integer_Mode_Incorrect_Control_Statement_2_T_Loop23_TestCase9, YES, 1919)
(FSE_Mathematical_Integer_Mode_Incorrect_Control_Statement_2_T_Loop23_TestCase8, YES, 1904)</t>
  </si>
  <si>
    <t>(FSE_Mathematical_Integer_Mode_Incorrect_Control_Statement_2_T_Loop0_TestCase1, YES, 1886)
(FSE_Mathematical_Integer_Mode_Incorrect_Control_Statement_2_T_Loop0_TestCase3, YES, 1854)
(FSE_Mathematical_Integer_Mode_Incorrect_Control_Statement_2_T_Loop0_TestCase2, YES, 1868)
(FSE_Mathematical_Integer_Mode_Incorrect_Control_Statement_2_T_Loop0_TestCase6, YES, 1865)
(FSE_Mathematical_Integer_Mode_Incorrect_Control_Statement_2_T_Loop0_TestCase7, YES, 1862)
(FSE_Mathematical_Integer_Mode_Incorrect_Control_Statement_2_T_Loop0_TestCase5, YES, 1848)
(FSE_Mathematical_Integer_Mode_Incorrect_Control_Statement_2_T_Loop0_TestCase4, YES, 1884)
(FSE_Mathematical_Integer_Mode_Incorrect_Control_Statement_2_T_Loop0_TestCase9, YES, 1867)
(FSE_Mathematical_Integer_Mode_Incorrect_Control_Statement_2_T_Loop0_TestCase8, YES, 1878)
(FSE_Mathematical_Integer_Mode_Incorrect_Control_Statement_2_T_Loop0_TestCase10, YES, 1887)</t>
  </si>
  <si>
    <t>(FSE_Mathematical_Integer_Mode_Incorrect_Control_Statement_2_T_Loop23_TestCase0, YES, 1791)
(FSE_Mathematical_Integer_Mode_Incorrect_Control_Statement_2_T_Loop17_TestCase0, YES, 1806)</t>
  </si>
  <si>
    <t>(FSE_Mathematical_Integer_Mode_Incorrect_Control_Statement_2_T_Loop0_TestCase0, YES, 1926)</t>
  </si>
  <si>
    <t>(FSE_Mathematical_Integer_Mode_Incorrect_Control_Statement_2_NT_Loop17_TestCase7, YES, 1742)
(FSE_Mathematical_Integer_Mode_Incorrect_Control_Statement_2_NT_Loop17_TestCase6, YES, 1732)
(FSE_Mathematical_Integer_Mode_Incorrect_Control_Statement_2_NT_Loop17_TestCase4, YES, 1724)
(FSE_Mathematical_Integer_Mode_Incorrect_Control_Statement_2_NT_Loop17_TestCase5, YES, 1743)
(FSE_Mathematical_Integer_Mode_Incorrect_Control_Statement_2_NT_Loop17_TestCase1, YES, 1714)
(FSE_Mathematical_Integer_Mode_Incorrect_Control_Statement_2_NT_Loop17_TestCase2, YES, 1712)
(FSE_Mathematical_Integer_Mode_Incorrect_Control_Statement_2_NT_Loop17_TestCase3, YES, 1744)
(FSE_Mathematical_Integer_Mode_Incorrect_Control_Statement_2_NT_Loop23_TestCase7, NO, 2850)
(FSE_Mathematical_Integer_Mode_Incorrect_Control_Statement_2_NT_Loop23_TestCase6, NO, 2199)
(FSE_Mathematical_Integer_Mode_Incorrect_Control_Statement_2_NT_Loop23_TestCase4, NO, 2219)
(FSE_Mathematical_Integer_Mode_Incorrect_Control_Statement_2_NT_Loop23_TestCase5, NO, 2399)
(FSE_Mathematical_Integer_Mode_Incorrect_Control_Statement_2_NT_Loop23_TestCase1, NO, 2284)
(FSE_Mathematical_Integer_Mode_Incorrect_Control_Statement_2_NT_Loop23_TestCase10, NO, 2180)
(FSE_Mathematical_Integer_Mode_Incorrect_Control_Statement_2_NT_Loop23_TestCase2, NO, 2201)
(FSE_Mathematical_Integer_Mode_Incorrect_Control_Statement_2_NT_Loop23_TestCase3, NO, 2203)
(FSE_Mathematical_Integer_Mode_Incorrect_Control_Statement_2_NT_Loop17_TestCase10, YES, 1755)
(FSE_Mathematical_Integer_Mode_Incorrect_Control_Statement_2_NT_Loop23_TestCase8, NO, 2205)
(FSE_Mathematical_Integer_Mode_Incorrect_Control_Statement_2_NT_Loop23_TestCase9, NO, 2205)
(FSE_Mathematical_Integer_Mode_Incorrect_Control_Statement_2_NT_Loop17_TestCase8, YES, 1753)
(FSE_Mathematical_Integer_Mode_Incorrect_Control_Statement_2_NT_Loop17_TestCase9, YES, 1738)</t>
  </si>
  <si>
    <t>(FSE_Mathematical_Integer_Mode_Incorrect_Control_Statement_2_NT_Loop0_TestCase3, NO, 2339)
(FSE_Mathematical_Integer_Mode_Incorrect_Control_Statement_2_NT_Loop0_TestCase2, NO, 2149)
(FSE_Mathematical_Integer_Mode_Incorrect_Control_Statement_2_NT_Loop0_TestCase1, NO, 2183)
(FSE_Mathematical_Integer_Mode_Incorrect_Control_Statement_2_NT_Loop0_TestCase5, NO, 2210)
(FSE_Mathematical_Integer_Mode_Incorrect_Control_Statement_2_NT_Loop0_TestCase4, NO, 2162)
(FSE_Mathematical_Integer_Mode_Incorrect_Control_Statement_2_NT_Loop0_TestCase6, NO, 2161)
(FSE_Mathematical_Integer_Mode_Incorrect_Control_Statement_2_NT_Loop0_TestCase7, NO, 2253)
(FSE_Mathematical_Integer_Mode_Incorrect_Control_Statement_2_NT_Loop0_TestCase9, NO, 2220)
(FSE_Mathematical_Integer_Mode_Incorrect_Control_Statement_2_NT_Loop0_TestCase8, NO, 2176)
(FSE_Mathematical_Integer_Mode_Incorrect_Control_Statement_2_NT_Loop0_TestCase10, NO, 2298)</t>
  </si>
  <si>
    <t>(FSE_Mathematical_Integer_Mode_Incorrect_Control_Statement_2_NT_Loop17_TestCase0, YES, 1780)
(FSE_Mathematical_Integer_Mode_Incorrect_Control_Statement_2_NT_Loop23_TestCase0, TIMEOUT, 301956)</t>
  </si>
  <si>
    <t>(FSE_Mathematical_Integer_Mode_Incorrect_Control_Statement_2_NT_Loop0_TestCase0, TIMEOUT, 301885)</t>
  </si>
  <si>
    <t>(FSE_Mathematical_Integer_Mode_Incorrect_Control_Statement_1_T_Loop18_TestCase8, MAYBE, 1615)
(FSE_Mathematical_Integer_Mode_Incorrect_Control_Statement_1_T_Loop18_TestCase9, MAYBE, 1633)
(FSE_Mathematical_Integer_Mode_Incorrect_Control_Statement_1_T_Loop18_TestCase10, MAYBE, 1641)
(FSE_Mathematical_Integer_Mode_Incorrect_Control_Statement_1_T_Loop14_TestCase6, ERROR, 1609)
(FSE_Mathematical_Integer_Mode_Incorrect_Control_Statement_1_T_Loop14_TestCase10, ERROR, 1643)
(FSE_Mathematical_Integer_Mode_Incorrect_Control_Statement_1_T_Loop14_TestCase7, ERROR, 1645)
(FSE_Mathematical_Integer_Mode_Incorrect_Control_Statement_1_T_Loop14_TestCase5, ERROR, 1666)
(FSE_Mathematical_Integer_Mode_Incorrect_Control_Statement_1_T_Loop14_TestCase4, ERROR, 1629)
(FSE_Mathematical_Integer_Mode_Incorrect_Control_Statement_1_T_Loop14_TestCase1, ERROR, 1616)
(FSE_Mathematical_Integer_Mode_Incorrect_Control_Statement_1_T_Loop14_TestCase3, ERROR, 1626)
(FSE_Mathematical_Integer_Mode_Incorrect_Control_Statement_1_T_Loop14_TestCase2, YES, 1755)
(FSE_Mathematical_Integer_Mode_Incorrect_Control_Statement_1_T_Loop14_TestCase9, YES, 1769)
(FSE_Mathematical_Integer_Mode_Incorrect_Control_Statement_1_T_Loop14_TestCase8, YES, 1756)
(FSE_Mathematical_Integer_Mode_Incorrect_Control_Statement_1_T_Loop18_TestCase1, MAYBE, 1638)
(FSE_Mathematical_Integer_Mode_Incorrect_Control_Statement_1_T_Loop18_TestCase2, MAYBE, 1625)
(FSE_Mathematical_Integer_Mode_Incorrect_Control_Statement_1_T_Loop18_TestCase3, MAYBE, 1641)
(FSE_Mathematical_Integer_Mode_Incorrect_Control_Statement_1_T_Loop18_TestCase7, MAYBE, 1650)
(FSE_Mathematical_Integer_Mode_Incorrect_Control_Statement_1_T_Loop18_TestCase6, MAYBE, 1663)
(FSE_Mathematical_Integer_Mode_Incorrect_Control_Statement_1_T_Loop18_TestCase4, MAYBE, 1635)
(FSE_Mathematical_Integer_Mode_Incorrect_Control_Statement_1_T_Loop18_TestCase5, MAYBE, 1651)</t>
  </si>
  <si>
    <t>(FSE_Mathematical_Integer_Mode_Incorrect_Control_Statement_1_T_Loop0_TestCase8, MAYBE, 1625)
(FSE_Mathematical_Integer_Mode_Incorrect_Control_Statement_1_T_Loop0_TestCase9, MAYBE, 1640)
(FSE_Mathematical_Integer_Mode_Incorrect_Control_Statement_1_T_Loop0_TestCase4, MAYBE, 1612)
(FSE_Mathematical_Integer_Mode_Incorrect_Control_Statement_1_T_Loop0_TestCase5, MAYBE, 1634)
(FSE_Mathematical_Integer_Mode_Incorrect_Control_Statement_1_T_Loop0_TestCase7, MAYBE, 1635)
(FSE_Mathematical_Integer_Mode_Incorrect_Control_Statement_1_T_Loop0_TestCase6, MAYBE, 1634)
(FSE_Mathematical_Integer_Mode_Incorrect_Control_Statement_1_T_Loop0_TestCase2, MAYBE, 1604)
(FSE_Mathematical_Integer_Mode_Incorrect_Control_Statement_1_T_Loop0_TestCase3, MAYBE, 1619)
(FSE_Mathematical_Integer_Mode_Incorrect_Control_Statement_1_T_Loop0_TestCase1, MAYBE, 1643)
(FSE_Mathematical_Integer_Mode_Incorrect_Control_Statement_1_T_Loop0_TestCase10, MAYBE, 1623)</t>
  </si>
  <si>
    <t>(FSE_Mathematical_Integer_Mode_Incorrect_Control_Statement_1_T_Loop14_TestCase0, YES, 1793)
(FSE_Mathematical_Integer_Mode_Incorrect_Control_Statement_1_T_Loop18_TestCase0, TIMEOUT, 302626)</t>
  </si>
  <si>
    <t>(FSE_Mathematical_Integer_Mode_Incorrect_Control_Statement_1_T_Loop0_TestCase0, TIMEOUT, 302607)</t>
  </si>
  <si>
    <t>(FSE_Mathematical_Integer_Mode_Incorrect_Control_Statement_1_NT_Loop20_TestCase7, MAYBE, 1635)
(FSE_Mathematical_Integer_Mode_Incorrect_Control_Statement_1_NT_Loop20_TestCase6, MAYBE, 1624)
(FSE_Mathematical_Integer_Mode_Incorrect_Control_Statement_1_NT_Loop20_TestCase4, MAYBE, 1680)
(FSE_Mathematical_Integer_Mode_Incorrect_Control_Statement_1_NT_Loop16_TestCase10, ERROR, 1628)
(FSE_Mathematical_Integer_Mode_Incorrect_Control_Statement_1_NT_Loop20_TestCase5, MAYBE, 1628)
(FSE_Mathematical_Integer_Mode_Incorrect_Control_Statement_1_NT_Loop20_TestCase1, MAYBE, 1648)
(FSE_Mathematical_Integer_Mode_Incorrect_Control_Statement_1_NT_Loop20_TestCase2, MAYBE, 1619)
(FSE_Mathematical_Integer_Mode_Incorrect_Control_Statement_1_NT_Loop20_TestCase3, MAYBE, 1635)
(FSE_Mathematical_Integer_Mode_Incorrect_Control_Statement_1_NT_Loop16_TestCase9, YES, 1728)
(FSE_Mathematical_Integer_Mode_Incorrect_Control_Statement_1_NT_Loop16_TestCase8, YES, 1736)
(FSE_Mathematical_Integer_Mode_Incorrect_Control_Statement_1_NT_Loop16_TestCase5, ERROR, 1622)
(FSE_Mathematical_Integer_Mode_Incorrect_Control_Statement_1_NT_Loop16_TestCase4, ERROR, 1640)
(FSE_Mathematical_Integer_Mode_Incorrect_Control_Statement_1_NT_Loop20_TestCase10, MAYBE, 1653)
(FSE_Mathematical_Integer_Mode_Incorrect_Control_Statement_1_NT_Loop16_TestCase6, ERROR, 1703)
(FSE_Mathematical_Integer_Mode_Incorrect_Control_Statement_1_NT_Loop16_TestCase7, ERROR, 1620)
(FSE_Mathematical_Integer_Mode_Incorrect_Control_Statement_1_NT_Loop16_TestCase3, ERROR, 1639)
(FSE_Mathematical_Integer_Mode_Incorrect_Control_Statement_1_NT_Loop16_TestCase2, YES, 1728)
(FSE_Mathematical_Integer_Mode_Incorrect_Control_Statement_1_NT_Loop16_TestCase1, ERROR, 1653)
(FSE_Mathematical_Integer_Mode_Incorrect_Control_Statement_1_NT_Loop20_TestCase8, MAYBE, 1628)
(FSE_Mathematical_Integer_Mode_Incorrect_Control_Statement_1_NT_Loop20_TestCase9, MAYBE, 1633)</t>
  </si>
  <si>
    <t>(FSE_Mathematical_Integer_Mode_Incorrect_Control_Statement_1_NT_Loop0_TestCase6, MAYBE, 1628)
(FSE_Mathematical_Integer_Mode_Incorrect_Control_Statement_1_NT_Loop0_TestCase7, MAYBE, 1605)
(FSE_Mathematical_Integer_Mode_Incorrect_Control_Statement_1_NT_Loop0_TestCase5, MAYBE, 1647)
(FSE_Mathematical_Integer_Mode_Incorrect_Control_Statement_1_NT_Loop0_TestCase4, MAYBE, 1632)
(FSE_Mathematical_Integer_Mode_Incorrect_Control_Statement_1_NT_Loop0_TestCase1, MAYBE, 1633)
(FSE_Mathematical_Integer_Mode_Incorrect_Control_Statement_1_NT_Loop0_TestCase3, MAYBE, 1601)
(FSE_Mathematical_Integer_Mode_Incorrect_Control_Statement_1_NT_Loop0_TestCase2, MAYBE, 1624)
(FSE_Mathematical_Integer_Mode_Incorrect_Control_Statement_1_NT_Loop0_TestCase9, MAYBE, 1620)
(FSE_Mathematical_Integer_Mode_Incorrect_Control_Statement_1_NT_Loop0_TestCase8, MAYBE, 1634)
(FSE_Mathematical_Integer_Mode_Incorrect_Control_Statement_1_NT_Loop0_TestCase10, MAYBE, 1636)</t>
  </si>
  <si>
    <t>(FSE_Mathematical_Integer_Mode_Incorrect_Control_Statement_1_NT_Loop20_TestCase0, TIMEOUT, 302683)
(FSE_Mathematical_Integer_Mode_Incorrect_Control_Statement_1_NT_Loop16_TestCase0, YES, 1774)</t>
  </si>
  <si>
    <t>(FSE_Mathematical_Integer_Mode_Incorrect_Control_Statement_1_NT_Loop0_TestCase0, TIMEOUT, 302439)</t>
  </si>
  <si>
    <t>(FSE_Mathematical_Integer_Mode_Incorrect_Bit_Calculation_3_T_Loop15_TestCase10, ERROR, 1668)
(FSE_Mathematical_Integer_Mode_Incorrect_Bit_Calculation_3_T_Loop15_TestCase9, ERROR, 1662)
(FSE_Mathematical_Integer_Mode_Incorrect_Bit_Calculation_3_T_Loop15_TestCase8, ERROR, 1603)
(FSE_Mathematical_Integer_Mode_Incorrect_Bit_Calculation_3_T_Loop15_TestCase6, ERROR, 1676)
(FSE_Mathematical_Integer_Mode_Incorrect_Bit_Calculation_3_T_Loop15_TestCase7, ERROR, 1671)
(FSE_Mathematical_Integer_Mode_Incorrect_Bit_Calculation_3_T_Loop15_TestCase5, ERROR, 1637)
(FSE_Mathematical_Integer_Mode_Incorrect_Bit_Calculation_3_T_Loop15_TestCase4, ERROR, 1646)
(FSE_Mathematical_Integer_Mode_Incorrect_Bit_Calculation_3_T_Loop15_TestCase1, ERROR, 1626)
(FSE_Mathematical_Integer_Mode_Incorrect_Bit_Calculation_3_T_Loop15_TestCase3, ERROR, 1639)
(FSE_Mathematical_Integer_Mode_Incorrect_Bit_Calculation_3_T_Loop15_TestCase2, ERROR, 1675)</t>
  </si>
  <si>
    <t>(FSE_Mathematical_Integer_Mode_Incorrect_Bit_Calculation_3_T_Loop0_TestCase8, ERROR, 1580)
(FSE_Mathematical_Integer_Mode_Incorrect_Bit_Calculation_3_T_Loop0_TestCase9, ERROR, 1595)
(FSE_Mathematical_Integer_Mode_Incorrect_Bit_Calculation_3_T_Loop0_TestCase1, ERROR, 1595)
(FSE_Mathematical_Integer_Mode_Incorrect_Bit_Calculation_3_T_Loop0_TestCase2, ERROR, 1620)
(FSE_Mathematical_Integer_Mode_Incorrect_Bit_Calculation_3_T_Loop0_TestCase3, ERROR, 1612)
(FSE_Mathematical_Integer_Mode_Incorrect_Bit_Calculation_3_T_Loop0_TestCase7, ERROR, 1601)
(FSE_Mathematical_Integer_Mode_Incorrect_Bit_Calculation_3_T_Loop0_TestCase6, ERROR, 1604)
(FSE_Mathematical_Integer_Mode_Incorrect_Bit_Calculation_3_T_Loop0_TestCase4, ERROR, 1596)
(FSE_Mathematical_Integer_Mode_Incorrect_Bit_Calculation_3_T_Loop0_TestCase5, ERROR, 1598)
(FSE_Mathematical_Integer_Mode_Incorrect_Bit_Calculation_3_T_Loop0_TestCase10, ERROR, 1635)</t>
  </si>
  <si>
    <t>(FSE_Mathematical_Integer_Mode_Incorrect_Bit_Calculation_3_T_Loop15_TestCase0, ERROR, 1673)</t>
  </si>
  <si>
    <t>(FSE_Mathematical_Integer_Mode_Incorrect_Bit_Calculation_3_T_Loop0_TestCase0, ERROR, 1729)</t>
  </si>
  <si>
    <t>(FSE_Mathematical_Integer_Mode_Incorrect_Bit_Calculation_3_NT_Loop18_TestCase10, ERROR, 1637)
(FSE_Mathematical_Integer_Mode_Incorrect_Bit_Calculation_3_NT_Loop18_TestCase9, ERROR, 1635)
(FSE_Mathematical_Integer_Mode_Incorrect_Bit_Calculation_3_NT_Loop18_TestCase8, ERROR, 1633)
(FSE_Mathematical_Integer_Mode_Incorrect_Bit_Calculation_3_NT_Loop18_TestCase5, ERROR, 1631)
(FSE_Mathematical_Integer_Mode_Incorrect_Bit_Calculation_3_NT_Loop18_TestCase4, ERROR, 1599)
(FSE_Mathematical_Integer_Mode_Incorrect_Bit_Calculation_3_NT_Loop18_TestCase6, ERROR, 1643)
(FSE_Mathematical_Integer_Mode_Incorrect_Bit_Calculation_3_NT_Loop18_TestCase7, ERROR, 1573)
(FSE_Mathematical_Integer_Mode_Incorrect_Bit_Calculation_3_NT_Loop18_TestCase3, ERROR, 1616)
(FSE_Mathematical_Integer_Mode_Incorrect_Bit_Calculation_3_NT_Loop18_TestCase2, ERROR, 1640)
(FSE_Mathematical_Integer_Mode_Incorrect_Bit_Calculation_3_NT_Loop18_TestCase1, ERROR, 1584)</t>
  </si>
  <si>
    <t>(FSE_Mathematical_Integer_Mode_Incorrect_Bit_Calculation_3_NT_Loop0_TestCase1, ERROR, 1568)
(FSE_Mathematical_Integer_Mode_Incorrect_Bit_Calculation_3_NT_Loop0_TestCase2, ERROR, 1635)
(FSE_Mathematical_Integer_Mode_Incorrect_Bit_Calculation_3_NT_Loop0_TestCase3, ERROR, 1601)
(FSE_Mathematical_Integer_Mode_Incorrect_Bit_Calculation_3_NT_Loop0_TestCase7, ERROR, 1613)
(FSE_Mathematical_Integer_Mode_Incorrect_Bit_Calculation_3_NT_Loop0_TestCase6, ERROR, 1625)
(FSE_Mathematical_Integer_Mode_Incorrect_Bit_Calculation_3_NT_Loop0_TestCase4, ERROR, 1609)
(FSE_Mathematical_Integer_Mode_Incorrect_Bit_Calculation_3_NT_Loop0_TestCase5, ERROR, 1588)
(FSE_Mathematical_Integer_Mode_Incorrect_Bit_Calculation_3_NT_Loop0_TestCase8, ERROR, 1557)
(FSE_Mathematical_Integer_Mode_Incorrect_Bit_Calculation_3_NT_Loop0_TestCase9, ERROR, 1614)
(FSE_Mathematical_Integer_Mode_Incorrect_Bit_Calculation_3_NT_Loop0_TestCase10, ERROR, 1605)</t>
  </si>
  <si>
    <t>(FSE_Mathematical_Integer_Mode_Incorrect_Bit_Calculation_3_NT_Loop18_TestCase0, ERROR, 1709)</t>
  </si>
  <si>
    <t>(FSE_Mathematical_Integer_Mode_Incorrect_Bit_Calculation_3_NT_Loop0_TestCase0, ERROR, 1691)</t>
  </si>
  <si>
    <t>(FSE_Mathematical_Integer_Mode_Incorrect_Bit_Calculation_2_T_Loop16_TestCase8, ERROR, 1665)
(FSE_Mathematical_Integer_Mode_Incorrect_Bit_Calculation_2_T_Loop16_TestCase9, ERROR, 1665)
(FSE_Mathematical_Integer_Mode_Incorrect_Bit_Calculation_2_T_Loop16_TestCase10, ERROR, 1663)
(FSE_Mathematical_Integer_Mode_Incorrect_Bit_Calculation_2_T_Loop16_TestCase7, ERROR, 1658)
(FSE_Mathematical_Integer_Mode_Incorrect_Bit_Calculation_2_T_Loop16_TestCase6, ERROR, 1671)
(FSE_Mathematical_Integer_Mode_Incorrect_Bit_Calculation_2_T_Loop16_TestCase4, ERROR, 1701)
(FSE_Mathematical_Integer_Mode_Incorrect_Bit_Calculation_2_T_Loop16_TestCase5, ERROR, 1679)
(FSE_Mathematical_Integer_Mode_Incorrect_Bit_Calculation_2_T_Loop16_TestCase1, ERROR, 1678)
(FSE_Mathematical_Integer_Mode_Incorrect_Bit_Calculation_2_T_Loop16_TestCase2, ERROR, 1632)
(FSE_Mathematical_Integer_Mode_Incorrect_Bit_Calculation_2_T_Loop16_TestCase3, ERROR, 1672)</t>
  </si>
  <si>
    <t>(FSE_Mathematical_Integer_Mode_Incorrect_Bit_Calculation_2_T_Loop0_TestCase2, ERROR, 1617)
(FSE_Mathematical_Integer_Mode_Incorrect_Bit_Calculation_2_T_Loop0_TestCase3, ERROR, 1661)
(FSE_Mathematical_Integer_Mode_Incorrect_Bit_Calculation_2_T_Loop0_TestCase1, ERROR, 1583)
(FSE_Mathematical_Integer_Mode_Incorrect_Bit_Calculation_2_T_Loop0_TestCase4, ERROR, 1643)
(FSE_Mathematical_Integer_Mode_Incorrect_Bit_Calculation_2_T_Loop0_TestCase5, ERROR, 1633)
(FSE_Mathematical_Integer_Mode_Incorrect_Bit_Calculation_2_T_Loop0_TestCase7, ERROR, 1635)
(FSE_Mathematical_Integer_Mode_Incorrect_Bit_Calculation_2_T_Loop0_TestCase6, ERROR, 1611)
(FSE_Mathematical_Integer_Mode_Incorrect_Bit_Calculation_2_T_Loop0_TestCase10, ERROR, 1671)
(FSE_Mathematical_Integer_Mode_Incorrect_Bit_Calculation_2_T_Loop0_TestCase8, ERROR, 1629)
(FSE_Mathematical_Integer_Mode_Incorrect_Bit_Calculation_2_T_Loop0_TestCase9, ERROR, 1643)</t>
  </si>
  <si>
    <t>(FSE_Mathematical_Integer_Mode_Incorrect_Bit_Calculation_2_T_Loop16_TestCase0, ERROR, 1752)</t>
  </si>
  <si>
    <t>(FSE_Mathematical_Integer_Mode_Incorrect_Bit_Calculation_2_T_Loop0_TestCase0, ERROR, 1721)</t>
  </si>
  <si>
    <t>(FSE_Mathematical_Integer_Mode_Incorrect_Bit_Calculation_2_NT_Loop20_TestCase9, ERROR, 1694)
(FSE_Mathematical_Integer_Mode_Incorrect_Bit_Calculation_2_NT_Loop20_TestCase8, ERROR, 1664)
(FSE_Mathematical_Integer_Mode_Incorrect_Bit_Calculation_2_NT_Loop20_TestCase6, ERROR, 1731)
(FSE_Mathematical_Integer_Mode_Incorrect_Bit_Calculation_2_NT_Loop20_TestCase7, ERROR, 1679)
(FSE_Mathematical_Integer_Mode_Incorrect_Bit_Calculation_2_NT_Loop20_TestCase5, ERROR, 1693)
(FSE_Mathematical_Integer_Mode_Incorrect_Bit_Calculation_2_NT_Loop20_TestCase4, ERROR, 1650)
(FSE_Mathematical_Integer_Mode_Incorrect_Bit_Calculation_2_NT_Loop20_TestCase1, ERROR, 1792)
(FSE_Mathematical_Integer_Mode_Incorrect_Bit_Calculation_2_NT_Loop20_TestCase3, ERROR, 1679)
(FSE_Mathematical_Integer_Mode_Incorrect_Bit_Calculation_2_NT_Loop20_TestCase2, ERROR, 1687)
(FSE_Mathematical_Integer_Mode_Incorrect_Bit_Calculation_2_NT_Loop20_TestCase10, ERROR, 1675)</t>
  </si>
  <si>
    <t>(FSE_Mathematical_Integer_Mode_Incorrect_Bit_Calculation_2_NT_Loop0_TestCase5, ERROR, 1684)
(FSE_Mathematical_Integer_Mode_Incorrect_Bit_Calculation_2_NT_Loop0_TestCase4, ERROR, 1614)
(FSE_Mathematical_Integer_Mode_Incorrect_Bit_Calculation_2_NT_Loop0_TestCase6, ERROR, 1609)
(FSE_Mathematical_Integer_Mode_Incorrect_Bit_Calculation_2_NT_Loop0_TestCase7, ERROR, 1640)
(FSE_Mathematical_Integer_Mode_Incorrect_Bit_Calculation_2_NT_Loop0_TestCase3, ERROR, 1607)
(FSE_Mathematical_Integer_Mode_Incorrect_Bit_Calculation_2_NT_Loop0_TestCase2, ERROR, 1612)
(FSE_Mathematical_Integer_Mode_Incorrect_Bit_Calculation_2_NT_Loop0_TestCase1, ERROR, 1646)
(FSE_Mathematical_Integer_Mode_Incorrect_Bit_Calculation_2_NT_Loop0_TestCase10, ERROR, 1654)
(FSE_Mathematical_Integer_Mode_Incorrect_Bit_Calculation_2_NT_Loop0_TestCase9, ERROR, 1611)
(FSE_Mathematical_Integer_Mode_Incorrect_Bit_Calculation_2_NT_Loop0_TestCase8, ERROR, 1619)</t>
  </si>
  <si>
    <t>(FSE_Mathematical_Integer_Mode_Incorrect_Bit_Calculation_2_NT_Loop20_TestCase0, ERROR, 1726)</t>
  </si>
  <si>
    <t>(FSE_Mathematical_Integer_Mode_Incorrect_Bit_Calculation_2_NT_Loop0_TestCase0, ERROR, 1717)</t>
  </si>
  <si>
    <t>(FSE_Mathematical_Integer_Mode_Incorrect_Bit_Calculation_1_T_Loop14_TestCase1, ERROR, 1602)
(FSE_Mathematical_Integer_Mode_Incorrect_Bit_Calculation_1_T_Loop14_TestCase3, ERROR, 1605)
(FSE_Mathematical_Integer_Mode_Incorrect_Bit_Calculation_1_T_Loop14_TestCase2, ERROR, 1653)
(FSE_Mathematical_Integer_Mode_Incorrect_Bit_Calculation_1_T_Loop14_TestCase6, ERROR, 1608)
(FSE_Mathematical_Integer_Mode_Incorrect_Bit_Calculation_1_T_Loop14_TestCase7, ERROR, 1627)
(FSE_Mathematical_Integer_Mode_Incorrect_Bit_Calculation_1_T_Loop14_TestCase5, ERROR, 1601)
(FSE_Mathematical_Integer_Mode_Incorrect_Bit_Calculation_1_T_Loop14_TestCase4, ERROR, 1636)
(FSE_Mathematical_Integer_Mode_Incorrect_Bit_Calculation_1_T_Loop14_TestCase10, ERROR, 1624)
(FSE_Mathematical_Integer_Mode_Incorrect_Bit_Calculation_1_T_Loop14_TestCase9, ERROR, 1656)
(FSE_Mathematical_Integer_Mode_Incorrect_Bit_Calculation_1_T_Loop14_TestCase8, ERROR, 1596)</t>
  </si>
  <si>
    <t>(FSE_Mathematical_Integer_Mode_Incorrect_Bit_Calculation_1_T_Loop0_TestCase9, ERROR, 1605)
(FSE_Mathematical_Integer_Mode_Incorrect_Bit_Calculation_1_T_Loop0_TestCase8, ERROR, 1591)
(FSE_Mathematical_Integer_Mode_Incorrect_Bit_Calculation_1_T_Loop0_TestCase6, ERROR, 1606)
(FSE_Mathematical_Integer_Mode_Incorrect_Bit_Calculation_1_T_Loop0_TestCase7, ERROR, 1581)
(FSE_Mathematical_Integer_Mode_Incorrect_Bit_Calculation_1_T_Loop0_TestCase5, ERROR, 1583)
(FSE_Mathematical_Integer_Mode_Incorrect_Bit_Calculation_1_T_Loop0_TestCase4, ERROR, 1647)
(FSE_Mathematical_Integer_Mode_Incorrect_Bit_Calculation_1_T_Loop0_TestCase10, ERROR, 1613)
(FSE_Mathematical_Integer_Mode_Incorrect_Bit_Calculation_1_T_Loop0_TestCase1, ERROR, 1577)
(FSE_Mathematical_Integer_Mode_Incorrect_Bit_Calculation_1_T_Loop0_TestCase3, ERROR, 1607)
(FSE_Mathematical_Integer_Mode_Incorrect_Bit_Calculation_1_T_Loop0_TestCase2, ERROR, 1580)</t>
  </si>
  <si>
    <t>(FSE_Mathematical_Integer_Mode_Incorrect_Bit_Calculation_1_T_Loop14_TestCase0, ERROR, 1630)</t>
  </si>
  <si>
    <t>(FSE_Mathematical_Integer_Mode_Incorrect_Bit_Calculation_1_T_Loop0_TestCase0, ERROR, 1687)</t>
  </si>
  <si>
    <t>(FSE_Mathematical_Integer_Mode_Incorrect_Bit_Calculation_1_NT_Loop15_TestCase4, ERROR, 1637)
(FSE_Mathematical_Integer_Mode_Incorrect_Bit_Calculation_1_NT_Loop15_TestCase5, ERROR, 1604)
(FSE_Mathematical_Integer_Mode_Incorrect_Bit_Calculation_1_NT_Loop15_TestCase7, ERROR, 1634)
(FSE_Mathematical_Integer_Mode_Incorrect_Bit_Calculation_1_NT_Loop15_TestCase6, ERROR, 1646)
(FSE_Mathematical_Integer_Mode_Incorrect_Bit_Calculation_1_NT_Loop15_TestCase2, ERROR, 1623)
(FSE_Mathematical_Integer_Mode_Incorrect_Bit_Calculation_1_NT_Loop15_TestCase3, ERROR, 1619)
(FSE_Mathematical_Integer_Mode_Incorrect_Bit_Calculation_1_NT_Loop15_TestCase1, ERROR, 1632)
(FSE_Mathematical_Integer_Mode_Incorrect_Bit_Calculation_1_NT_Loop15_TestCase10, ERROR, 1622)
(FSE_Mathematical_Integer_Mode_Incorrect_Bit_Calculation_1_NT_Loop15_TestCase8, ERROR, 1659)
(FSE_Mathematical_Integer_Mode_Incorrect_Bit_Calculation_1_NT_Loop15_TestCase9, ERROR, 1632)</t>
  </si>
  <si>
    <t>(FSE_Mathematical_Integer_Mode_Incorrect_Bit_Calculation_1_NT_Loop0_TestCase1, ERROR, 1619)
(FSE_Mathematical_Integer_Mode_Incorrect_Bit_Calculation_1_NT_Loop0_TestCase3, ERROR, 1581)
(FSE_Mathematical_Integer_Mode_Incorrect_Bit_Calculation_1_NT_Loop0_TestCase2, ERROR, 1656)
(FSE_Mathematical_Integer_Mode_Incorrect_Bit_Calculation_1_NT_Loop0_TestCase6, ERROR, 1589)
(FSE_Mathematical_Integer_Mode_Incorrect_Bit_Calculation_1_NT_Loop0_TestCase7, ERROR, 1609)
(FSE_Mathematical_Integer_Mode_Incorrect_Bit_Calculation_1_NT_Loop0_TestCase5, ERROR, 1583)
(FSE_Mathematical_Integer_Mode_Incorrect_Bit_Calculation_1_NT_Loop0_TestCase10, ERROR, 1621)
(FSE_Mathematical_Integer_Mode_Incorrect_Bit_Calculation_1_NT_Loop0_TestCase4, ERROR, 1597)
(FSE_Mathematical_Integer_Mode_Incorrect_Bit_Calculation_1_NT_Loop0_TestCase9, ERROR, 1608)
(FSE_Mathematical_Integer_Mode_Incorrect_Bit_Calculation_1_NT_Loop0_TestCase8, ERROR, 1602)</t>
  </si>
  <si>
    <t>(FSE_Mathematical_Integer_Mode_Incorrect_Bit_Calculation_1_NT_Loop15_TestCase0, ERROR, 1621)</t>
  </si>
  <si>
    <t>(FSE_Mathematical_Integer_Mode_Incorrect_Bit_Calculation_1_NT_Loop0_TestCase0, ERROR, 1679)</t>
  </si>
  <si>
    <t>(FSE_Mathematical_Integer_Mode_Adding_Subtracting_Zero_5_T_Loop38_TestCase7, MAYBE, 1556)
(FSE_Mathematical_Integer_Mode_Adding_Subtracting_Zero_5_T_Loop38_TestCase6, MAYBE, 1486)
(FSE_Mathematical_Integer_Mode_Adding_Subtracting_Zero_5_T_Loop38_TestCase4, MAYBE, 1499)
(FSE_Mathematical_Integer_Mode_Adding_Subtracting_Zero_5_T_Loop38_TestCase5, MAYBE, 1501)
(FSE_Mathematical_Integer_Mode_Adding_Subtracting_Zero_5_T_Loop38_TestCase1, MAYBE, 1481)
(FSE_Mathematical_Integer_Mode_Adding_Subtracting_Zero_5_T_Loop38_TestCase2, MAYBE, 1487)
(FSE_Mathematical_Integer_Mode_Adding_Subtracting_Zero_5_T_Loop38_TestCase3, MAYBE, 1511)
(FSE_Mathematical_Integer_Mode_Adding_Subtracting_Zero_5_T_Loop21_TestCase2, MAYBE, 1351)
(FSE_Mathematical_Integer_Mode_Adding_Subtracting_Zero_5_T_Loop21_TestCase3, MAYBE, 1327)
(FSE_Mathematical_Integer_Mode_Adding_Subtracting_Zero_5_T_Loop21_TestCase1, MAYBE, 1376)
(FSE_Mathematical_Integer_Mode_Adding_Subtracting_Zero_5_T_Loop21_TestCase4, MAYBE, 1339)
(FSE_Mathematical_Integer_Mode_Adding_Subtracting_Zero_5_T_Loop21_TestCase5, MAYBE, 1344)
(FSE_Mathematical_Integer_Mode_Adding_Subtracting_Zero_5_T_Loop21_TestCase7, MAYBE, 1337)
(FSE_Mathematical_Integer_Mode_Adding_Subtracting_Zero_5_T_Loop21_TestCase6, MAYBE, 1311)
(FSE_Mathematical_Integer_Mode_Adding_Subtracting_Zero_5_T_Loop21_TestCase8, MAYBE, 1338)
(FSE_Mathematical_Integer_Mode_Adding_Subtracting_Zero_5_T_Loop21_TestCase9, MAYBE, 1367)
(FSE_Mathematical_Integer_Mode_Adding_Subtracting_Zero_5_T_Loop38_TestCase10, MAYBE, 1531)
(FSE_Mathematical_Integer_Mode_Adding_Subtracting_Zero_5_T_Loop38_TestCase8, MAYBE, 1491)
(FSE_Mathematical_Integer_Mode_Adding_Subtracting_Zero_5_T_Loop38_TestCase9, MAYBE, 1517)
(FSE_Mathematical_Integer_Mode_Adding_Subtracting_Zero_5_T_Loop21_TestCase10, MAYBE, 1322)</t>
  </si>
  <si>
    <t>(FSE_Mathematical_Integer_Mode_Adding_Subtracting_Zero_5_T_Loop0_TestCase8, TIMEOUT, 302083)
(FSE_Mathematical_Integer_Mode_Adding_Subtracting_Zero_5_T_Loop0_TestCase9, TIMEOUT, 301958)
(FSE_Mathematical_Integer_Mode_Adding_Subtracting_Zero_5_T_Loop0_TestCase10, TIMEOUT, 301970)
(FSE_Mathematical_Integer_Mode_Adding_Subtracting_Zero_5_T_Loop0_TestCase1, YES, 1963)
(FSE_Mathematical_Integer_Mode_Adding_Subtracting_Zero_5_T_Loop0_TestCase2, YES, 1958)
(FSE_Mathematical_Integer_Mode_Adding_Subtracting_Zero_5_T_Loop0_TestCase3, YES, 2000)
(FSE_Mathematical_Integer_Mode_Adding_Subtracting_Zero_5_T_Loop0_TestCase7, TIMEOUT, 301891)
(FSE_Mathematical_Integer_Mode_Adding_Subtracting_Zero_5_T_Loop0_TestCase6, YES, 1954)
(FSE_Mathematical_Integer_Mode_Adding_Subtracting_Zero_5_T_Loop0_TestCase4, YES, 1945)
(FSE_Mathematical_Integer_Mode_Adding_Subtracting_Zero_5_T_Loop0_TestCase5, YES, 1993)</t>
  </si>
  <si>
    <t>(FSE_Mathematical_Integer_Mode_Adding_Subtracting_Zero_5_T_Loop38_TestCase0, MAYBE, 1537)
(FSE_Mathematical_Integer_Mode_Adding_Subtracting_Zero_5_T_Loop21_TestCase0, MAYBE, 1383)</t>
  </si>
  <si>
    <t>(FSE_Mathematical_Integer_Mode_Adding_Subtracting_Zero_5_T_Loop0_TestCase0, TIMEOUT, 302150)</t>
  </si>
  <si>
    <t>(FSE_Mathematical_Integer_Mode_Adding_Subtracting_Zero_5_NT_Loop38_TestCase8, MAYBE, 1482)
(FSE_Mathematical_Integer_Mode_Adding_Subtracting_Zero_5_NT_Loop21_TestCase10, MAYBE, 1376)
(FSE_Mathematical_Integer_Mode_Adding_Subtracting_Zero_5_NT_Loop38_TestCase9, MAYBE, 1555)
(FSE_Mathematical_Integer_Mode_Adding_Subtracting_Zero_5_NT_Loop38_TestCase10, MAYBE, 1487)
(FSE_Mathematical_Integer_Mode_Adding_Subtracting_Zero_5_NT_Loop21_TestCase8, MAYBE, 1367)
(FSE_Mathematical_Integer_Mode_Adding_Subtracting_Zero_5_NT_Loop21_TestCase9, MAYBE, 1332)
(FSE_Mathematical_Integer_Mode_Adding_Subtracting_Zero_5_NT_Loop21_TestCase4, MAYBE, 1360)
(FSE_Mathematical_Integer_Mode_Adding_Subtracting_Zero_5_NT_Loop21_TestCase5, MAYBE, 1351)
(FSE_Mathematical_Integer_Mode_Adding_Subtracting_Zero_5_NT_Loop21_TestCase7, MAYBE, 1329)
(FSE_Mathematical_Integer_Mode_Adding_Subtracting_Zero_5_NT_Loop21_TestCase6, MAYBE, 1382)
(FSE_Mathematical_Integer_Mode_Adding_Subtracting_Zero_5_NT_Loop21_TestCase2, MAYBE, 1331)
(FSE_Mathematical_Integer_Mode_Adding_Subtracting_Zero_5_NT_Loop21_TestCase3, MAYBE, 1328)
(FSE_Mathematical_Integer_Mode_Adding_Subtracting_Zero_5_NT_Loop21_TestCase1, MAYBE, 1358)
(FSE_Mathematical_Integer_Mode_Adding_Subtracting_Zero_5_NT_Loop38_TestCase1, MAYBE, 1488)
(FSE_Mathematical_Integer_Mode_Adding_Subtracting_Zero_5_NT_Loop38_TestCase2, MAYBE, 1550)
(FSE_Mathematical_Integer_Mode_Adding_Subtracting_Zero_5_NT_Loop38_TestCase3, MAYBE, 1492)
(FSE_Mathematical_Integer_Mode_Adding_Subtracting_Zero_5_NT_Loop38_TestCase7, MAYBE, 1536)
(FSE_Mathematical_Integer_Mode_Adding_Subtracting_Zero_5_NT_Loop38_TestCase6, MAYBE, 1500)
(FSE_Mathematical_Integer_Mode_Adding_Subtracting_Zero_5_NT_Loop38_TestCase4, MAYBE, 1488)
(FSE_Mathematical_Integer_Mode_Adding_Subtracting_Zero_5_NT_Loop38_TestCase5, MAYBE, 1521)</t>
  </si>
  <si>
    <t>(FSE_Mathematical_Integer_Mode_Adding_Subtracting_Zero_5_NT_Loop0_TestCase9, TIMEOUT, 302059)
(FSE_Mathematical_Integer_Mode_Adding_Subtracting_Zero_5_NT_Loop0_TestCase8, TIMEOUT, 302069)
(FSE_Mathematical_Integer_Mode_Adding_Subtracting_Zero_5_NT_Loop0_TestCase10, TIMEOUT, 302093)
(FSE_Mathematical_Integer_Mode_Adding_Subtracting_Zero_5_NT_Loop0_TestCase5, YES, 2051)
(FSE_Mathematical_Integer_Mode_Adding_Subtracting_Zero_5_NT_Loop0_TestCase4, YES, 1964)
(FSE_Mathematical_Integer_Mode_Adding_Subtracting_Zero_5_NT_Loop0_TestCase6, NO, 1957)
(FSE_Mathematical_Integer_Mode_Adding_Subtracting_Zero_5_NT_Loop0_TestCase7, TIMEOUT, 301847)
(FSE_Mathematical_Integer_Mode_Adding_Subtracting_Zero_5_NT_Loop0_TestCase3, YES, 1958)
(FSE_Mathematical_Integer_Mode_Adding_Subtracting_Zero_5_NT_Loop0_TestCase2, YES, 1953)
(FSE_Mathematical_Integer_Mode_Adding_Subtracting_Zero_5_NT_Loop0_TestCase1, YES, 1919)</t>
  </si>
  <si>
    <t>(FSE_Mathematical_Integer_Mode_Adding_Subtracting_Zero_5_NT_Loop21_TestCase0, MAYBE, 1361)
(FSE_Mathematical_Integer_Mode_Adding_Subtracting_Zero_5_NT_Loop38_TestCase0, MAYBE, 1523)</t>
  </si>
  <si>
    <t>(FSE_Mathematical_Integer_Mode_Adding_Subtracting_Zero_5_NT_Loop0_TestCase0, NO, 2169)</t>
  </si>
  <si>
    <t>(FSE_Mathematical_Integer_Mode_Adding_Subtracting_Zero_4_T_Loop51_TestCase5, YES, 9157)
(FSE_Mathematical_Integer_Mode_Adding_Subtracting_Zero_4_T_Loop51_TestCase4, YES, 8836)
(FSE_Mathematical_Integer_Mode_Adding_Subtracting_Zero_4_T_Loop51_TestCase6, YES, 2088)
(FSE_Mathematical_Integer_Mode_Adding_Subtracting_Zero_4_T_Loop51_TestCase7, YES, 2493)
(FSE_Mathematical_Integer_Mode_Adding_Subtracting_Zero_4_T_Loop51_TestCase3, YES, 4104)
(FSE_Mathematical_Integer_Mode_Adding_Subtracting_Zero_4_T_Loop51_TestCase2, YES, 1832)
(FSE_Mathematical_Integer_Mode_Adding_Subtracting_Zero_4_T_Loop51_TestCase1, YES, 1753)
(FSE_Mathematical_Integer_Mode_Adding_Subtracting_Zero_4_T_Loop16_TestCase3, YES, 3493)
(FSE_Mathematical_Integer_Mode_Adding_Subtracting_Zero_4_T_Loop16_TestCase2, YES, 1778)
(FSE_Mathematical_Integer_Mode_Adding_Subtracting_Zero_4_T_Loop16_TestCase1, YES, 1838)
(FSE_Mathematical_Integer_Mode_Adding_Subtracting_Zero_4_T_Loop16_TestCase5, YES, 172113)
(FSE_Mathematical_Integer_Mode_Adding_Subtracting_Zero_4_T_Loop16_TestCase4, YES, 9228)
(FSE_Mathematical_Integer_Mode_Adding_Subtracting_Zero_4_T_Loop16_TestCase6, YES, 1904)
(FSE_Mathematical_Integer_Mode_Adding_Subtracting_Zero_4_T_Loop51_TestCase10, YES, 2647)
(FSE_Mathematical_Integer_Mode_Adding_Subtracting_Zero_4_T_Loop16_TestCase7, YES, 2322)
(FSE_Mathematical_Integer_Mode_Adding_Subtracting_Zero_4_T_Loop16_TestCase9, YES, 2234)
(FSE_Mathematical_Integer_Mode_Adding_Subtracting_Zero_4_T_Loop16_TestCase8, YES, 2401)
(FSE_Mathematical_Integer_Mode_Adding_Subtracting_Zero_4_T_Loop51_TestCase9, YES, 2523)
(FSE_Mathematical_Integer_Mode_Adding_Subtracting_Zero_4_T_Loop16_TestCase10, YES, 2226)
(FSE_Mathematical_Integer_Mode_Adding_Subtracting_Zero_4_T_Loop51_TestCase8, YES, 2986)</t>
  </si>
  <si>
    <t>(FSE_Mathematical_Integer_Mode_Adding_Subtracting_Zero_4_T_Loop0_TestCase2, YES, 1769)
(FSE_Mathematical_Integer_Mode_Adding_Subtracting_Zero_4_T_Loop0_TestCase3, YES, 2707)
(FSE_Mathematical_Integer_Mode_Adding_Subtracting_Zero_4_T_Loop0_TestCase1, YES, 1762)
(FSE_Mathematical_Integer_Mode_Adding_Subtracting_Zero_4_T_Loop0_TestCase10, YES, 2639)
(FSE_Mathematical_Integer_Mode_Adding_Subtracting_Zero_4_T_Loop0_TestCase4, YES, 6150)
(FSE_Mathematical_Integer_Mode_Adding_Subtracting_Zero_4_T_Loop0_TestCase5, YES, 10808)
(FSE_Mathematical_Integer_Mode_Adding_Subtracting_Zero_4_T_Loop0_TestCase7, YES, 2612)
(FSE_Mathematical_Integer_Mode_Adding_Subtracting_Zero_4_T_Loop0_TestCase6, YES, 2206)
(FSE_Mathematical_Integer_Mode_Adding_Subtracting_Zero_4_T_Loop0_TestCase8, YES, 2260)
(FSE_Mathematical_Integer_Mode_Adding_Subtracting_Zero_4_T_Loop0_TestCase9, YES, 2409)</t>
  </si>
  <si>
    <t>(FSE_Mathematical_Integer_Mode_Adding_Subtracting_Zero_4_T_Loop51_TestCase0, TIMEOUT, 302206)
(FSE_Mathematical_Integer_Mode_Adding_Subtracting_Zero_4_T_Loop16_TestCase0, TIMEOUT, 302183)</t>
  </si>
  <si>
    <t>(FSE_Mathematical_Integer_Mode_Adding_Subtracting_Zero_4_T_Loop0_TestCase0, TIMEOUT, 302171)</t>
  </si>
  <si>
    <t>(FSE_Mathematical_Integer_Mode_Adding_Subtracting_Zero_4_NT_Loop50_TestCase8, NO, 1854)
(FSE_Mathematical_Integer_Mode_Adding_Subtracting_Zero_4_NT_Loop50_TestCase9, NO, 2127)
(FSE_Mathematical_Integer_Mode_Adding_Subtracting_Zero_4_NT_Loop16_TestCase5, YES, 12830)
(FSE_Mathematical_Integer_Mode_Adding_Subtracting_Zero_4_NT_Loop16_TestCase4, YES, 4092)
(FSE_Mathematical_Integer_Mode_Adding_Subtracting_Zero_4_NT_Loop16_TestCase6, NO, 1774)
(FSE_Mathematical_Integer_Mode_Adding_Subtracting_Zero_4_NT_Loop16_TestCase7, NO, 1942)
(FSE_Mathematical_Integer_Mode_Adding_Subtracting_Zero_4_NT_Loop50_TestCase10, NO, 1817)
(FSE_Mathematical_Integer_Mode_Adding_Subtracting_Zero_4_NT_Loop16_TestCase3, YES, 2611)
(FSE_Mathematical_Integer_Mode_Adding_Subtracting_Zero_4_NT_Loop16_TestCase2, YES, 1801)
(FSE_Mathematical_Integer_Mode_Adding_Subtracting_Zero_4_NT_Loop16_TestCase1, YES, 1793)
(FSE_Mathematical_Integer_Mode_Adding_Subtracting_Zero_4_NT_Loop16_TestCase9, NO, 2141)
(FSE_Mathematical_Integer_Mode_Adding_Subtracting_Zero_4_NT_Loop16_TestCase8, NO, 2000)
(FSE_Mathematical_Integer_Mode_Adding_Subtracting_Zero_4_NT_Loop50_TestCase4, YES, 3591)
(FSE_Mathematical_Integer_Mode_Adding_Subtracting_Zero_4_NT_Loop50_TestCase5, YES, 3314)
(FSE_Mathematical_Integer_Mode_Adding_Subtracting_Zero_4_NT_Loop50_TestCase7, NO, 1771)
(FSE_Mathematical_Integer_Mode_Adding_Subtracting_Zero_4_NT_Loop16_TestCase10, NO, 2974)
(FSE_Mathematical_Integer_Mode_Adding_Subtracting_Zero_4_NT_Loop50_TestCase6, NO, 1860)
(FSE_Mathematical_Integer_Mode_Adding_Subtracting_Zero_4_NT_Loop50_TestCase2, YES, 1753)
(FSE_Mathematical_Integer_Mode_Adding_Subtracting_Zero_4_NT_Loop50_TestCase3, YES, 2433)
(FSE_Mathematical_Integer_Mode_Adding_Subtracting_Zero_4_NT_Loop50_TestCase1, YES, 1767)</t>
  </si>
  <si>
    <t>(FSE_Mathematical_Integer_Mode_Adding_Subtracting_Zero_4_NT_Loop0_TestCase10, NO, 1812)
(FSE_Mathematical_Integer_Mode_Adding_Subtracting_Zero_4_NT_Loop0_TestCase8, NO, 1757)
(FSE_Mathematical_Integer_Mode_Adding_Subtracting_Zero_4_NT_Loop0_TestCase9, NO, 1740)
(FSE_Mathematical_Integer_Mode_Adding_Subtracting_Zero_4_NT_Loop0_TestCase1, YES, 1788)
(FSE_Mathematical_Integer_Mode_Adding_Subtracting_Zero_4_NT_Loop0_TestCase2, YES, 1726)
(FSE_Mathematical_Integer_Mode_Adding_Subtracting_Zero_4_NT_Loop0_TestCase3, YES, 2290)
(FSE_Mathematical_Integer_Mode_Adding_Subtracting_Zero_4_NT_Loop0_TestCase7, NO, 1752)
(FSE_Mathematical_Integer_Mode_Adding_Subtracting_Zero_4_NT_Loop0_TestCase6, NO, 1789)
(FSE_Mathematical_Integer_Mode_Adding_Subtracting_Zero_4_NT_Loop0_TestCase4, YES, 3943)
(FSE_Mathematical_Integer_Mode_Adding_Subtracting_Zero_4_NT_Loop0_TestCase5, YES, 3842)</t>
  </si>
  <si>
    <t>(FSE_Mathematical_Integer_Mode_Adding_Subtracting_Zero_4_NT_Loop16_TestCase0, NO, 7331)
(FSE_Mathematical_Integer_Mode_Adding_Subtracting_Zero_4_NT_Loop50_TestCase0, NO, 21380)</t>
  </si>
  <si>
    <t>(FSE_Mathematical_Integer_Mode_Adding_Subtracting_Zero_4_NT_Loop0_TestCase0, NO, 21629)</t>
  </si>
  <si>
    <t>(FSE_Mathematical_Integer_Mode_Adding_Subtracting_Zero_3_T_Loop37_TestCase8, YES, 1802)
(FSE_Mathematical_Integer_Mode_Adding_Subtracting_Zero_3_T_Loop37_TestCase9, YES, 1847)
(FSE_Mathematical_Integer_Mode_Adding_Subtracting_Zero_3_T_Loop72_TestCase6, YES, 1843)
(FSE_Mathematical_Integer_Mode_Adding_Subtracting_Zero_3_T_Loop72_TestCase7, YES, 1788)
(FSE_Mathematical_Integer_Mode_Adding_Subtracting_Zero_3_T_Loop72_TestCase5, YES, 3299)
(FSE_Mathematical_Integer_Mode_Adding_Subtracting_Zero_3_T_Loop72_TestCase4, YES, 3261)
(FSE_Mathematical_Integer_Mode_Adding_Subtracting_Zero_3_T_Loop37_TestCase10, YES, 1789)
(FSE_Mathematical_Integer_Mode_Adding_Subtracting_Zero_3_T_Loop72_TestCase1, YES, 1810)
(FSE_Mathematical_Integer_Mode_Adding_Subtracting_Zero_3_T_Loop72_TestCase3, YES, 1769)
(FSE_Mathematical_Integer_Mode_Adding_Subtracting_Zero_3_T_Loop72_TestCase2, YES, 1816)
(FSE_Mathematical_Integer_Mode_Adding_Subtracting_Zero_3_T_Loop72_TestCase9, YES, 1815)
(FSE_Mathematical_Integer_Mode_Adding_Subtracting_Zero_3_T_Loop72_TestCase10, YES, 2057)
(FSE_Mathematical_Integer_Mode_Adding_Subtracting_Zero_3_T_Loop72_TestCase8, YES, 1785)
(FSE_Mathematical_Integer_Mode_Adding_Subtracting_Zero_3_T_Loop37_TestCase2, YES, 1796)
(FSE_Mathematical_Integer_Mode_Adding_Subtracting_Zero_3_T_Loop37_TestCase3, YES, 1787)
(FSE_Mathematical_Integer_Mode_Adding_Subtracting_Zero_3_T_Loop37_TestCase1, YES, 1769)
(FSE_Mathematical_Integer_Mode_Adding_Subtracting_Zero_3_T_Loop37_TestCase4, YES, 16300)
(FSE_Mathematical_Integer_Mode_Adding_Subtracting_Zero_3_T_Loop37_TestCase5, YES, 21016)
(FSE_Mathematical_Integer_Mode_Adding_Subtracting_Zero_3_T_Loop37_TestCase7, YES, 1752)
(FSE_Mathematical_Integer_Mode_Adding_Subtracting_Zero_3_T_Loop37_TestCase6, YES, 1808)</t>
  </si>
  <si>
    <t>(FSE_Mathematical_Integer_Mode_Adding_Subtracting_Zero_3_T_Loop0_TestCase10, YES, 1788)
(FSE_Mathematical_Integer_Mode_Adding_Subtracting_Zero_3_T_Loop0_TestCase9, YES, 1772)
(FSE_Mathematical_Integer_Mode_Adding_Subtracting_Zero_3_T_Loop0_TestCase8, YES, 1771)
(FSE_Mathematical_Integer_Mode_Adding_Subtracting_Zero_3_T_Loop0_TestCase5, YES, 3202)
(FSE_Mathematical_Integer_Mode_Adding_Subtracting_Zero_3_T_Loop0_TestCase4, YES, 3212)
(FSE_Mathematical_Integer_Mode_Adding_Subtracting_Zero_3_T_Loop0_TestCase6, YES, 1771)
(FSE_Mathematical_Integer_Mode_Adding_Subtracting_Zero_3_T_Loop0_TestCase7, YES, 1768)
(FSE_Mathematical_Integer_Mode_Adding_Subtracting_Zero_3_T_Loop0_TestCase3, YES, 1782)
(FSE_Mathematical_Integer_Mode_Adding_Subtracting_Zero_3_T_Loop0_TestCase2, YES, 1745)
(FSE_Mathematical_Integer_Mode_Adding_Subtracting_Zero_3_T_Loop0_TestCase1, YES, 1800)</t>
  </si>
  <si>
    <t>(FSE_Mathematical_Integer_Mode_Adding_Subtracting_Zero_3_T_Loop72_TestCase0, TIMEOUT, 302239)
(FSE_Mathematical_Integer_Mode_Adding_Subtracting_Zero_3_T_Loop37_TestCase0, TIMEOUT, 302237)</t>
  </si>
  <si>
    <t>(FSE_Mathematical_Integer_Mode_Adding_Subtracting_Zero_3_T_Loop0_TestCase0, TIMEOUT, 302937)</t>
  </si>
  <si>
    <t>18/20</t>
  </si>
  <si>
    <t>(FSE_Mathematical_Integer_Mode_Adding_Subtracting_Zero_3_NT_Loop75_TestCase5, YES, 5750)
(FSE_Mathematical_Integer_Mode_Adding_Subtracting_Zero_3_NT_Loop75_TestCase4, YES, 3717)
(FSE_Mathematical_Integer_Mode_Adding_Subtracting_Zero_3_NT_Loop75_TestCase6, NO, 1782)
(FSE_Mathematical_Integer_Mode_Adding_Subtracting_Zero_3_NT_Loop75_TestCase7, NO, 1796)
(FSE_Mathematical_Integer_Mode_Adding_Subtracting_Zero_3_NT_Loop75_TestCase3, YES, 1834)
(FSE_Mathematical_Integer_Mode_Adding_Subtracting_Zero_3_NT_Loop75_TestCase2, YES, 1810)
(FSE_Mathematical_Integer_Mode_Adding_Subtracting_Zero_3_NT_Loop75_TestCase1, YES, 1800)
(FSE_Mathematical_Integer_Mode_Adding_Subtracting_Zero_3_NT_Loop40_TestCase8, NO, 1778)
(FSE_Mathematical_Integer_Mode_Adding_Subtracting_Zero_3_NT_Loop40_TestCase9, NO, 2015)
(FSE_Mathematical_Integer_Mode_Adding_Subtracting_Zero_3_NT_Loop75_TestCase10, NO, 1768)
(FSE_Mathematical_Integer_Mode_Adding_Subtracting_Zero_3_NT_Loop40_TestCase2, YES, 1737)
(FSE_Mathematical_Integer_Mode_Adding_Subtracting_Zero_3_NT_Loop40_TestCase3, YES, 1817)
(FSE_Mathematical_Integer_Mode_Adding_Subtracting_Zero_3_NT_Loop40_TestCase1, YES, 1777)
(FSE_Mathematical_Integer_Mode_Adding_Subtracting_Zero_3_NT_Loop40_TestCase4, YES, 38388)
(FSE_Mathematical_Integer_Mode_Adding_Subtracting_Zero_3_NT_Loop40_TestCase5, TIMEOUT, 302127)
(FSE_Mathematical_Integer_Mode_Adding_Subtracting_Zero_3_NT_Loop40_TestCase7, NO, 1787)
(FSE_Mathematical_Integer_Mode_Adding_Subtracting_Zero_3_NT_Loop40_TestCase6, NO, 1792)
(FSE_Mathematical_Integer_Mode_Adding_Subtracting_Zero_3_NT_Loop40_TestCase10, NO, 1800)
(FSE_Mathematical_Integer_Mode_Adding_Subtracting_Zero_3_NT_Loop75_TestCase9, NO, 1793)
(FSE_Mathematical_Integer_Mode_Adding_Subtracting_Zero_3_NT_Loop75_TestCase8, NO, 1836)</t>
  </si>
  <si>
    <t>(FSE_Mathematical_Integer_Mode_Adding_Subtracting_Zero_3_NT_Loop0_TestCase8, NO, 1740)
(FSE_Mathematical_Integer_Mode_Adding_Subtracting_Zero_3_NT_Loop0_TestCase10, NO, 1742)
(FSE_Mathematical_Integer_Mode_Adding_Subtracting_Zero_3_NT_Loop0_TestCase9, NO, 1760)
(FSE_Mathematical_Integer_Mode_Adding_Subtracting_Zero_3_NT_Loop0_TestCase2, YES, 1749)
(FSE_Mathematical_Integer_Mode_Adding_Subtracting_Zero_3_NT_Loop0_TestCase3, YES, 1808)
(FSE_Mathematical_Integer_Mode_Adding_Subtracting_Zero_3_NT_Loop0_TestCase1, YES, 1742)
(FSE_Mathematical_Integer_Mode_Adding_Subtracting_Zero_3_NT_Loop0_TestCase4, YES, 4861)
(FSE_Mathematical_Integer_Mode_Adding_Subtracting_Zero_3_NT_Loop0_TestCase5, YES, 3218)
(FSE_Mathematical_Integer_Mode_Adding_Subtracting_Zero_3_NT_Loop0_TestCase7, NO, 1764)
(FSE_Mathematical_Integer_Mode_Adding_Subtracting_Zero_3_NT_Loop0_TestCase6, NO, 1761)</t>
  </si>
  <si>
    <t>(FSE_Mathematical_Integer_Mode_Adding_Subtracting_Zero_3_NT_Loop75_TestCase0, NO, 248676)
(FSE_Mathematical_Integer_Mode_Adding_Subtracting_Zero_3_NT_Loop40_TestCase0, TIMEOUT, 302238)</t>
  </si>
  <si>
    <t>(FSE_Mathematical_Integer_Mode_Adding_Subtracting_Zero_3_NT_Loop0_TestCase0, NO, 159077)</t>
  </si>
  <si>
    <t>(FSE_Mathematical_Integer_Mode_Adding_Subtracting_Zero_2_T_Loop35_TestCase4, YES, 1792)
(FSE_Mathematical_Integer_Mode_Adding_Subtracting_Zero_2_T_Loop35_TestCase5, YES, 1791)
(FSE_Mathematical_Integer_Mode_Adding_Subtracting_Zero_2_T_Loop35_TestCase7, YES, 1733)
(FSE_Mathematical_Integer_Mode_Adding_Subtracting_Zero_2_T_Loop35_TestCase6, YES, 1765)
(FSE_Mathematical_Integer_Mode_Adding_Subtracting_Zero_2_T_Loop35_TestCase2, YES, 1743)
(FSE_Mathematical_Integer_Mode_Adding_Subtracting_Zero_2_T_Loop35_TestCase3, YES, 1749)
(FSE_Mathematical_Integer_Mode_Adding_Subtracting_Zero_2_T_Loop35_TestCase1, YES, 1756)
(FSE_Mathematical_Integer_Mode_Adding_Subtracting_Zero_2_T_Loop35_TestCase10, YES, 1741)
(FSE_Mathematical_Integer_Mode_Adding_Subtracting_Zero_2_T_Loop35_TestCase8, YES, 1750)
(FSE_Mathematical_Integer_Mode_Adding_Subtracting_Zero_2_T_Loop35_TestCase9, YES, 1740)</t>
  </si>
  <si>
    <t>(FSE_Mathematical_Integer_Mode_Adding_Subtracting_Zero_2_T_Loop0_TestCase6, YES, 1722)
(FSE_Mathematical_Integer_Mode_Adding_Subtracting_Zero_2_T_Loop0_TestCase10, YES, 1738)
(FSE_Mathematical_Integer_Mode_Adding_Subtracting_Zero_2_T_Loop0_TestCase7, YES, 1712)
(FSE_Mathematical_Integer_Mode_Adding_Subtracting_Zero_2_T_Loop0_TestCase5, YES, 1720)
(FSE_Mathematical_Integer_Mode_Adding_Subtracting_Zero_2_T_Loop0_TestCase4, YES, 1719)
(FSE_Mathematical_Integer_Mode_Adding_Subtracting_Zero_2_T_Loop0_TestCase1, YES, 1726)
(FSE_Mathematical_Integer_Mode_Adding_Subtracting_Zero_2_T_Loop0_TestCase3, YES, 1724)
(FSE_Mathematical_Integer_Mode_Adding_Subtracting_Zero_2_T_Loop0_TestCase2, YES, 1747)
(FSE_Mathematical_Integer_Mode_Adding_Subtracting_Zero_2_T_Loop0_TestCase9, YES, 1712)
(FSE_Mathematical_Integer_Mode_Adding_Subtracting_Zero_2_T_Loop0_TestCase8, YES, 1741)</t>
  </si>
  <si>
    <t>(FSE_Mathematical_Integer_Mode_Adding_Subtracting_Zero_2_T_Loop35_TestCase0, YES, 2394)</t>
  </si>
  <si>
    <t>(FSE_Mathematical_Integer_Mode_Adding_Subtracting_Zero_2_T_Loop0_TestCase0, YES, 2453)</t>
  </si>
  <si>
    <t>(FSE_Mathematical_Integer_Mode_Adding_Subtracting_Zero_2_NT_Loop34_TestCase4, YES, 1742)
(FSE_Mathematical_Integer_Mode_Adding_Subtracting_Zero_2_NT_Loop34_TestCase5, YES, 1767)
(FSE_Mathematical_Integer_Mode_Adding_Subtracting_Zero_2_NT_Loop34_TestCase7, NO, 1753)
(FSE_Mathematical_Integer_Mode_Adding_Subtracting_Zero_2_NT_Loop34_TestCase6, NO, 1765)
(FSE_Mathematical_Integer_Mode_Adding_Subtracting_Zero_2_NT_Loop34_TestCase2, YES, 1780)
(FSE_Mathematical_Integer_Mode_Adding_Subtracting_Zero_2_NT_Loop34_TestCase3, YES, 1757)
(FSE_Mathematical_Integer_Mode_Adding_Subtracting_Zero_2_NT_Loop34_TestCase1, YES, 1787)
(FSE_Mathematical_Integer_Mode_Adding_Subtracting_Zero_2_NT_Loop34_TestCase10, NO, 1760)
(FSE_Mathematical_Integer_Mode_Adding_Subtracting_Zero_2_NT_Loop34_TestCase8, NO, 1769)
(FSE_Mathematical_Integer_Mode_Adding_Subtracting_Zero_2_NT_Loop34_TestCase9, NO, 1754)</t>
  </si>
  <si>
    <t>(FSE_Mathematical_Integer_Mode_Adding_Subtracting_Zero_2_NT_Loop0_TestCase9, NO, 1690)
(FSE_Mathematical_Integer_Mode_Adding_Subtracting_Zero_2_NT_Loop0_TestCase8, NO, 1706)
(FSE_Mathematical_Integer_Mode_Adding_Subtracting_Zero_2_NT_Loop0_TestCase6, NO, 1721)
(FSE_Mathematical_Integer_Mode_Adding_Subtracting_Zero_2_NT_Loop0_TestCase7, NO, 1726)
(FSE_Mathematical_Integer_Mode_Adding_Subtracting_Zero_2_NT_Loop0_TestCase5, YES, 1700)
(FSE_Mathematical_Integer_Mode_Adding_Subtracting_Zero_2_NT_Loop0_TestCase4, YES, 1798)
(FSE_Mathematical_Integer_Mode_Adding_Subtracting_Zero_2_NT_Loop0_TestCase10, NO, 1702)
(FSE_Mathematical_Integer_Mode_Adding_Subtracting_Zero_2_NT_Loop0_TestCase1, YES, 1794)
(FSE_Mathematical_Integer_Mode_Adding_Subtracting_Zero_2_NT_Loop0_TestCase3, YES, 1699)
(FSE_Mathematical_Integer_Mode_Adding_Subtracting_Zero_2_NT_Loop0_TestCase2, YES, 1721)</t>
  </si>
  <si>
    <t>(FSE_Mathematical_Integer_Mode_Adding_Subtracting_Zero_2_NT_Loop34_TestCase0, NO, 2998)</t>
  </si>
  <si>
    <t>(FSE_Mathematical_Integer_Mode_Adding_Subtracting_Zero_2_NT_Loop0_TestCase0, NO, 3862)</t>
  </si>
  <si>
    <t>(FSE_Mathematical_Integer_Mode_Adding_Subtracting_Zero_1_T_Loop17_TestCase9, YES, 1738)
(FSE_Mathematical_Integer_Mode_Adding_Subtracting_Zero_1_T_Loop17_TestCase8, YES, 1722)
(FSE_Mathematical_Integer_Mode_Adding_Subtracting_Zero_1_T_Loop17_TestCase10, YES, 1713)
(FSE_Mathematical_Integer_Mode_Adding_Subtracting_Zero_1_T_Loop17_TestCase6, YES, 1734)
(FSE_Mathematical_Integer_Mode_Adding_Subtracting_Zero_1_T_Loop17_TestCase7, YES, 1714)
(FSE_Mathematical_Integer_Mode_Adding_Subtracting_Zero_1_T_Loop17_TestCase5, YES, 1782)
(FSE_Mathematical_Integer_Mode_Adding_Subtracting_Zero_1_T_Loop17_TestCase4, YES, 1739)
(FSE_Mathematical_Integer_Mode_Adding_Subtracting_Zero_1_T_Loop17_TestCase1, YES, 1736)
(FSE_Mathematical_Integer_Mode_Adding_Subtracting_Zero_1_T_Loop17_TestCase3, YES, 1759)
(FSE_Mathematical_Integer_Mode_Adding_Subtracting_Zero_1_T_Loop17_TestCase2, YES, 1707)</t>
  </si>
  <si>
    <t>(FSE_Mathematical_Integer_Mode_Adding_Subtracting_Zero_1_T_Loop0_TestCase8, YES, 1706)
(FSE_Mathematical_Integer_Mode_Adding_Subtracting_Zero_1_T_Loop0_TestCase9, YES, 1673)
(FSE_Mathematical_Integer_Mode_Adding_Subtracting_Zero_1_T_Loop0_TestCase10, YES, 1674)
(FSE_Mathematical_Integer_Mode_Adding_Subtracting_Zero_1_T_Loop0_TestCase2, YES, 1724)
(FSE_Mathematical_Integer_Mode_Adding_Subtracting_Zero_1_T_Loop0_TestCase3, YES, 1674)
(FSE_Mathematical_Integer_Mode_Adding_Subtracting_Zero_1_T_Loop0_TestCase1, YES, 1683)
(FSE_Mathematical_Integer_Mode_Adding_Subtracting_Zero_1_T_Loop0_TestCase4, YES, 1733)
(FSE_Mathematical_Integer_Mode_Adding_Subtracting_Zero_1_T_Loop0_TestCase5, YES, 1693)
(FSE_Mathematical_Integer_Mode_Adding_Subtracting_Zero_1_T_Loop0_TestCase7, YES, 1730)
(FSE_Mathematical_Integer_Mode_Adding_Subtracting_Zero_1_T_Loop0_TestCase6, YES, 1689)</t>
  </si>
  <si>
    <t>(FSE_Mathematical_Integer_Mode_Adding_Subtracting_Zero_1_T_Loop17_TestCase0, YES, 1795)</t>
  </si>
  <si>
    <t>(FSE_Mathematical_Integer_Mode_Adding_Subtracting_Zero_1_T_Loop0_TestCase0, YES, 1745)</t>
  </si>
  <si>
    <t>(FSE_Mathematical_Integer_Mode_Adding_Subtracting_Zero_1_NT_Loop17_TestCase1, YES, 1770)
(FSE_Mathematical_Integer_Mode_Adding_Subtracting_Zero_1_NT_Loop17_TestCase2, YES, 1749)
(FSE_Mathematical_Integer_Mode_Adding_Subtracting_Zero_1_NT_Loop17_TestCase3, YES, 1753)
(FSE_Mathematical_Integer_Mode_Adding_Subtracting_Zero_1_NT_Loop17_TestCase7, NO, 1721)
(FSE_Mathematical_Integer_Mode_Adding_Subtracting_Zero_1_NT_Loop17_TestCase6, NO, 1707)
(FSE_Mathematical_Integer_Mode_Adding_Subtracting_Zero_1_NT_Loop17_TestCase4, YES, 1726)
(FSE_Mathematical_Integer_Mode_Adding_Subtracting_Zero_1_NT_Loop17_TestCase5, YES, 1751)
(FSE_Mathematical_Integer_Mode_Adding_Subtracting_Zero_1_NT_Loop17_TestCase10, NO, 1719)
(FSE_Mathematical_Integer_Mode_Adding_Subtracting_Zero_1_NT_Loop17_TestCase8, NO, 1730)
(FSE_Mathematical_Integer_Mode_Adding_Subtracting_Zero_1_NT_Loop17_TestCase9, NO, 1710)</t>
  </si>
  <si>
    <t>(FSE_Mathematical_Integer_Mode_Adding_Subtracting_Zero_1_NT_Loop0_TestCase9, NO, 1679)
(FSE_Mathematical_Integer_Mode_Adding_Subtracting_Zero_1_NT_Loop0_TestCase8, NO, 1712)
(FSE_Mathematical_Integer_Mode_Adding_Subtracting_Zero_1_NT_Loop0_TestCase10, NO, 1703)
(FSE_Mathematical_Integer_Mode_Adding_Subtracting_Zero_1_NT_Loop0_TestCase3, YES, 1690)
(FSE_Mathematical_Integer_Mode_Adding_Subtracting_Zero_1_NT_Loop0_TestCase2, YES, 1697)
(FSE_Mathematical_Integer_Mode_Adding_Subtracting_Zero_1_NT_Loop0_TestCase1, YES, 1726)
(FSE_Mathematical_Integer_Mode_Adding_Subtracting_Zero_1_NT_Loop0_TestCase5, YES, 1703)
(FSE_Mathematical_Integer_Mode_Adding_Subtracting_Zero_1_NT_Loop0_TestCase4, YES, 1710)
(FSE_Mathematical_Integer_Mode_Adding_Subtracting_Zero_1_NT_Loop0_TestCase6, NO, 1701)
(FSE_Mathematical_Integer_Mode_Adding_Subtracting_Zero_1_NT_Loop0_TestCase7, NO, 1682)</t>
  </si>
  <si>
    <t>(FSE_Mathematical_Integer_Mode_Adding_Subtracting_Zero_1_NT_Loop17_TestCase0, NO, 1850)</t>
  </si>
  <si>
    <t>(FSE_Mathematical_Integer_Mode_Adding_Subtracting_Zero_1_NT_Loop0_TestCase0, NO, 1776)</t>
  </si>
  <si>
    <t>(Using_Erroneous_Condition_3_T_Loop24_TestCase1, TRUE, 8530)
(Using_Erroneous_Condition_3_T_Loop27_TestCase4, TRUE, 8539)
(Using_Erroneous_Condition_3_T_Loop27_TestCase5, TRUE, 8604)
(Using_Erroneous_Condition_3_T_Loop24_TestCase2, TRUE, 8447)
(Using_Erroneous_Condition_3_T_Loop27_TestCase7, TRUE, 8573)
(Using_Erroneous_Condition_3_T_Loop27_TestCase6, TRUE, 10365)
(Using_Erroneous_Condition_3_T_Loop24_TestCase3, TRUE, 8471)
(Using_Erroneous_Condition_3_T_Loop24_TestCase7, TRUE, 8633)
(Using_Erroneous_Condition_3_T_Loop27_TestCase2, TRUE, 8474)
(Using_Erroneous_Condition_3_T_Loop27_TestCase3, TRUE, 8487)
(Using_Erroneous_Condition_3_T_Loop24_TestCase6, TRUE, 10385)
(Using_Erroneous_Condition_3_T_Loop24_TestCase4, TRUE, 8550)
(Using_Erroneous_Condition_3_T_Loop27_TestCase1, TRUE, 8524)
(Using_Erroneous_Condition_3_T_Loop24_TestCase5, TRUE, 8599)
(Using_Erroneous_Condition_3_T_Loop17_TestCase5, TRUE, 8439)
(Using_Erroneous_Condition_3_T_Loop17_TestCase4, TRUE, 8410)
(Using_Erroneous_Condition_3_T_Loop17_TestCase10, TRUE, 8416)
(Using_Erroneous_Condition_3_T_Loop17_TestCase6, TRUE, 8401)
(Using_Erroneous_Condition_3_T_Loop17_TestCase7, TRUE, 8394)
(Using_Erroneous_Condition_3_T_Loop17_TestCase3, TRUE, 8408)
(Using_Erroneous_Condition_3_T_Loop17_TestCase2, TRUE, 8436)
(Using_Erroneous_Condition_3_T_Loop17_TestCase1, TRUE, 8421)
(Using_Erroneous_Condition_3_T_Loop24_TestCase10, TRUE, 8573)
(Using_Erroneous_Condition_3_T_Loop17_TestCase9, TRUE, 8407)
(Using_Erroneous_Condition_3_T_Loop17_TestCase8, TRUE, 8409)
(Using_Erroneous_Condition_3_T_Loop24_TestCase8, TRUE, 8532)
(Using_Erroneous_Condition_3_T_Loop24_TestCase9, TRUE, 8561)
(Using_Erroneous_Condition_3_T_Loop27_TestCase10, TRUE, 8596)
(Using_Erroneous_Condition_3_T_Loop27_TestCase8, TRUE, 8509)
(Using_Erroneous_Condition_3_T_Loop27_TestCase9, TRUE, 8543)</t>
  </si>
  <si>
    <t>(Using_Erroneous_Condition_3_T_Loop0_TestCase1, TRUE, 8544)
(Using_Erroneous_Condition_3_T_Loop0_TestCase3, TRUE, 8504)
(Using_Erroneous_Condition_3_T_Loop0_TestCase2, TRUE, 8547)
(Using_Erroneous_Condition_3_T_Loop0_TestCase6, TRUE, 10420)
(Using_Erroneous_Condition_3_T_Loop0_TestCase7, TRUE, 8568)
(Using_Erroneous_Condition_3_T_Loop0_TestCase5, TRUE, 8658)
(Using_Erroneous_Condition_3_T_Loop0_TestCase4, TRUE, 8554)
(Using_Erroneous_Condition_3_T_Loop0_TestCase9, TRUE, 8527)
(Using_Erroneous_Condition_3_T_Loop0_TestCase8, TRUE, 8607)
(Using_Erroneous_Condition_3_T_Loop0_TestCase10, TRUE, 8618)</t>
  </si>
  <si>
    <t>(Using_Erroneous_Condition_3_T_Loop24_TestCase0, TRUE, 183226)
(Using_Erroneous_Condition_3_T_Loop27_TestCase0, TRUE, 183139)
(Using_Erroneous_Condition_3_T_Loop17_TestCase0, TRUE, 2748)</t>
  </si>
  <si>
    <t>(Using_Erroneous_Condition_3_T_Loop0_TestCase0, TRUE, 183207)</t>
  </si>
  <si>
    <t>16/30</t>
  </si>
  <si>
    <t>(Using_Erroneous_Condition_3_NT_Loop17_TestCase2, TRUE, 8492)
(Using_Erroneous_Condition_3_NT_Loop17_TestCase3, TRUE, 8482)
(Using_Erroneous_Condition_3_NT_Loop17_TestCase1, TRUE, 8717)
(Using_Erroneous_Condition_3_NT_Loop17_TestCase4, TRUE, 8486)
(Using_Erroneous_Condition_3_NT_Loop17_TestCase5, TRUE, 8468)
(Using_Erroneous_Condition_3_NT_Loop17_TestCase7, TRUE, 8449)
(Using_Erroneous_Condition_3_NT_Loop17_TestCase6, TRUE, 8528)
(Using_Erroneous_Condition_3_NT_Loop27_TestCase3, INCONCLUSIVE, 130525)
(Using_Erroneous_Condition_3_NT_Loop24_TestCase6, TRUE, 10169)
(Using_Erroneous_Condition_3_NT_Loop24_TestCase7, TRUE, 8536)
(Using_Erroneous_Condition_3_NT_Loop27_TestCase2, INCONCLUSIVE, 130818)
(Using_Erroneous_Condition_3_NT_Loop24_TestCase5, TRUE, 8549)
(Using_Erroneous_Condition_3_NT_Loop17_TestCase10, TRUE, 8441)
(Using_Erroneous_Condition_3_NT_Loop24_TestCase4, TRUE, 8552)
(Using_Erroneous_Condition_3_NT_Loop27_TestCase1, TRUE, 8612)
(Using_Erroneous_Condition_3_NT_Loop27_TestCase5, TRUE, 8705)
(Using_Erroneous_Condition_3_NT_Loop24_TestCase1, TRUE, 8532)
(Using_Erroneous_Condition_3_NT_Loop27_TestCase4, TRUE, 8629)
(Using_Erroneous_Condition_3_NT_Loop27_TestCase6, TRUE, 10170)
(Using_Erroneous_Condition_3_NT_Loop24_TestCase3, INCONCLUSIVE, 130585)
(Using_Erroneous_Condition_3_NT_Loop24_TestCase2, INCONCLUSIVE, 130804)
(Using_Erroneous_Condition_3_NT_Loop27_TestCase7, TRUE, 8531)
(Using_Erroneous_Condition_3_NT_Loop27_TestCase9, TRUE, 8807)
(Using_Erroneous_Condition_3_NT_Loop27_TestCase8, TRUE, 8499)
(Using_Erroneous_Condition_3_NT_Loop24_TestCase9, TRUE, 8508)
(Using_Erroneous_Condition_3_NT_Loop24_TestCase8, TRUE, 8782)
(Using_Erroneous_Condition_3_NT_Loop24_TestCase10, TRUE, 8557)
(Using_Erroneous_Condition_3_NT_Loop17_TestCase8, TRUE, 8410)
(Using_Erroneous_Condition_3_NT_Loop17_TestCase9, TRUE, 8690)
(Using_Erroneous_Condition_3_NT_Loop27_TestCase10, TRUE, 8588)</t>
  </si>
  <si>
    <t>(Using_Erroneous_Condition_3_NT_Loop0_TestCase1, TRUE, 8566)
(Using_Erroneous_Condition_3_NT_Loop0_TestCase3, INCONCLUSIVE, 130564)
(Using_Erroneous_Condition_3_NT_Loop0_TestCase2, INCONCLUSIVE, 130809)
(Using_Erroneous_Condition_3_NT_Loop0_TestCase6, TRUE, 10363)
(Using_Erroneous_Condition_3_NT_Loop0_TestCase7, TRUE, 8676)
(Using_Erroneous_Condition_3_NT_Loop0_TestCase5, TRUE, 8603)
(Using_Erroneous_Condition_3_NT_Loop0_TestCase4, TRUE, 8581)
(Using_Erroneous_Condition_3_NT_Loop0_TestCase10, TRUE, 8657)
(Using_Erroneous_Condition_3_NT_Loop0_TestCase9, TRUE, 8780)
(Using_Erroneous_Condition_3_NT_Loop0_TestCase8, TRUE, 8530)</t>
  </si>
  <si>
    <t>(Using_Erroneous_Condition_3_NT_Loop17_TestCase0, TRUE, 2904)
(Using_Erroneous_Condition_3_NT_Loop27_TestCase0, Terminated, 300370)
(Using_Erroneous_Condition_3_NT_Loop24_TestCase0, Terminated, 300549)</t>
  </si>
  <si>
    <t>(Using_Erroneous_Condition_3_NT_Loop0_TestCase0, Terminated, 300399)</t>
  </si>
  <si>
    <t>(Using_Erroneous_Condition_2_T_Loop15_TestCase9, TRUE, 17038)
(Using_Erroneous_Condition_2_T_Loop15_TestCase8, TRUE, 7856)
(Using_Erroneous_Condition_2_T_Loop15_TestCase10, TRUE, 9917)
(Using_Erroneous_Condition_2_T_Loop15_TestCase3, TRUE, 6435)
(Using_Erroneous_Condition_2_T_Loop15_TestCase2, TRUE, 6412)
(Using_Erroneous_Condition_2_T_Loop15_TestCase1, TRUE, 6480)
(Using_Erroneous_Condition_2_T_Loop15_TestCase5, TRUE, 6467)
(Using_Erroneous_Condition_2_T_Loop15_TestCase4, TRUE, 6348)
(Using_Erroneous_Condition_2_T_Loop15_TestCase6, TRUE, 6384)
(Using_Erroneous_Condition_2_T_Loop15_TestCase7, TRUE, 6353)</t>
  </si>
  <si>
    <t>(Using_Erroneous_Condition_2_T_Loop0_TestCase9, TRUE, 9161)
(Using_Erroneous_Condition_2_T_Loop0_TestCase8, TRUE, 7206)
(Using_Erroneous_Condition_2_T_Loop0_TestCase10, TRUE, 7525)
(Using_Erroneous_Condition_2_T_Loop0_TestCase3, TRUE, 6311)
(Using_Erroneous_Condition_2_T_Loop0_TestCase2, TRUE, 6307)
(Using_Erroneous_Condition_2_T_Loop0_TestCase1, TRUE, 6320)
(Using_Erroneous_Condition_2_T_Loop0_TestCase5, TRUE, 6336)
(Using_Erroneous_Condition_2_T_Loop0_TestCase4, TRUE, 6318)
(Using_Erroneous_Condition_2_T_Loop0_TestCase6, TRUE, 6351)
(Using_Erroneous_Condition_2_T_Loop0_TestCase7, TRUE, 6307)</t>
  </si>
  <si>
    <t>(Using_Erroneous_Condition_2_T_Loop15_TestCase0, TRUE, 47420)</t>
  </si>
  <si>
    <t>(Using_Erroneous_Condition_2_T_Loop0_TestCase0, TRUE, 33332)</t>
  </si>
  <si>
    <t>(Using_Erroneous_Condition_2_NT_Loop16_TestCase10, FALSE(termination), 2138)
(Using_Erroneous_Condition_2_NT_Loop16_TestCase1, TRUE, 6183)
(Using_Erroneous_Condition_2_NT_Loop16_TestCase2, TRUE, 6566)
(Using_Erroneous_Condition_2_NT_Loop16_TestCase3, TRUE, 6431)
(Using_Erroneous_Condition_2_NT_Loop16_TestCase7, FALSE(termination), 2120)
(Using_Erroneous_Condition_2_NT_Loop16_TestCase6, FALSE(termination), 2106)
(Using_Erroneous_Condition_2_NT_Loop16_TestCase4, TRUE, 6470)
(Using_Erroneous_Condition_2_NT_Loop16_TestCase5, TRUE, 6291)
(Using_Erroneous_Condition_2_NT_Loop16_TestCase8, FALSE(termination), 2074)
(Using_Erroneous_Condition_2_NT_Loop16_TestCase9, FALSE(termination), 2136)</t>
  </si>
  <si>
    <t>(Using_Erroneous_Condition_2_NT_Loop0_TestCase4, TRUE, 6211)
(Using_Erroneous_Condition_2_NT_Loop0_TestCase5, TRUE, 6519)
(Using_Erroneous_Condition_2_NT_Loop0_TestCase7, INCONCLUSIVE, 81928)
(Using_Erroneous_Condition_2_NT_Loop0_TestCase6, INCONCLUSIVE, 80917)
(Using_Erroneous_Condition_2_NT_Loop0_TestCase2, TRUE, 6518)
(Using_Erroneous_Condition_2_NT_Loop0_TestCase3, TRUE, 6536)
(Using_Erroneous_Condition_2_NT_Loop0_TestCase1, TRUE, 6372)
(Using_Erroneous_Condition_2_NT_Loop0_TestCase10, INCONCLUSIVE, 80229)
(Using_Erroneous_Condition_2_NT_Loop0_TestCase8, INCONCLUSIVE, 81324)
(Using_Erroneous_Condition_2_NT_Loop0_TestCase9, INCONCLUSIVE, 81517)</t>
  </si>
  <si>
    <t>(Using_Erroneous_Condition_2_NT_Loop16_TestCase0, FALSE(termination), 2005)</t>
  </si>
  <si>
    <t>(Using_Erroneous_Condition_2_NT_Loop0_TestCase0, INCONCLUSIVE, 156911)</t>
  </si>
  <si>
    <t>(Using_Erroneous_Condition_1_T_Loop39_TestCase4, TRUE, 9162)
(Using_Erroneous_Condition_1_T_Loop39_TestCase5, TRUE, 9906)
(Using_Erroneous_Condition_1_T_Loop39_TestCase7, TRUE, 7325)
(Using_Erroneous_Condition_1_T_Loop39_TestCase6, TRUE, 8999)
(Using_Erroneous_Condition_1_T_Loop39_TestCase2, TRUE, 9150)
(Using_Erroneous_Condition_1_T_Loop39_TestCase3, TRUE, 9839)
(Using_Erroneous_Condition_1_T_Loop39_TestCase1, TRUE, 7501)
(Using_Erroneous_Condition_1_T_Loop39_TestCase10, TRUE, 9034)
(Using_Erroneous_Condition_1_T_Loop39_TestCase8, TRUE, 9039)
(Using_Erroneous_Condition_1_T_Loop39_TestCase9, TRUE, 7400)</t>
  </si>
  <si>
    <t>(Using_Erroneous_Condition_1_T_Loop0_TestCase7, TRUE, 7394)
(Using_Erroneous_Condition_1_T_Loop0_TestCase6, TRUE, 8934)
(Using_Erroneous_Condition_1_T_Loop0_TestCase4, TRUE, 9152)
(Using_Erroneous_Condition_1_T_Loop0_TestCase5, TRUE, 9864)
(Using_Erroneous_Condition_1_T_Loop0_TestCase1, TRUE, 7419)
(Using_Erroneous_Condition_1_T_Loop0_TestCase2, TRUE, 9048)
(Using_Erroneous_Condition_1_T_Loop0_TestCase3, TRUE, 9825)
(Using_Erroneous_Condition_1_T_Loop0_TestCase10, TRUE, 8997)
(Using_Erroneous_Condition_1_T_Loop0_TestCase8, TRUE, 8958)
(Using_Erroneous_Condition_1_T_Loop0_TestCase9, TRUE, 7396)</t>
  </si>
  <si>
    <t>(Using_Erroneous_Condition_1_T_Loop39_TestCase0, FALSE(termination), 7498)</t>
  </si>
  <si>
    <t>(Using_Erroneous_Condition_1_T_Loop0_TestCase0, FALSE(termination), 6078)</t>
  </si>
  <si>
    <t>(Using_Erroneous_Condition_1_NT_Loop39_TestCase9, FALSE(termination), 4452)
(Using_Erroneous_Condition_1_NT_Loop39_TestCase8, FALSE(termination), 4450)
(Using_Erroneous_Condition_1_NT_Loop39_TestCase10, FALSE(termination), 4452)
(Using_Erroneous_Condition_1_NT_Loop39_TestCase3, TRUE, 9136)
(Using_Erroneous_Condition_1_NT_Loop39_TestCase2, TRUE, 9110)
(Using_Erroneous_Condition_1_NT_Loop39_TestCase1, TRUE, 7433)
(Using_Erroneous_Condition_1_NT_Loop39_TestCase5, TRUE, 9881)
(Using_Erroneous_Condition_1_NT_Loop39_TestCase4, TRUE, 9123)
(Using_Erroneous_Condition_1_NT_Loop39_TestCase6, FALSE(termination), 4459)
(Using_Erroneous_Condition_1_NT_Loop39_TestCase7, FALSE(termination), 4438)</t>
  </si>
  <si>
    <t>(Using_Erroneous_Condition_1_NT_Loop0_TestCase1, TRUE, 7451)
(Using_Erroneous_Condition_1_NT_Loop0_TestCase2, TRUE, 9099)
(Using_Erroneous_Condition_1_NT_Loop0_TestCase3, TRUE, 9151)
(Using_Erroneous_Condition_1_NT_Loop0_TestCase7, FALSE(termination), 4435)
(Using_Erroneous_Condition_1_NT_Loop0_TestCase6, FALSE(termination), 4440)
(Using_Erroneous_Condition_1_NT_Loop0_TestCase4, TRUE, 9117)
(Using_Erroneous_Condition_1_NT_Loop0_TestCase5, TRUE, 9879)
(Using_Erroneous_Condition_1_NT_Loop0_TestCase10, FALSE(termination), 4452)
(Using_Erroneous_Condition_1_NT_Loop0_TestCase8, FALSE(termination), 4444)
(Using_Erroneous_Condition_1_NT_Loop0_TestCase9, FALSE(termination), 4431)</t>
  </si>
  <si>
    <t>(Using_Erroneous_Condition_1_NT_Loop39_TestCase0, FALSE(termination), 2245)</t>
  </si>
  <si>
    <t>(Using_Erroneous_Condition_1_NT_Loop0_TestCase0, FALSE(termination), 2323)</t>
  </si>
  <si>
    <t>(Unsigned_Wraparound_Error_4_T_Loop13_TestCase9, TRUE, 9724)
(Unsigned_Wraparound_Error_4_T_Loop13_TestCase8, TRUE, 9150)
(Unsigned_Wraparound_Error_4_T_Loop13_TestCase6, TRUE, 6467)
(Unsigned_Wraparound_Error_4_T_Loop13_TestCase7, TRUE, 6374)
(Unsigned_Wraparound_Error_4_T_Loop13_TestCase5, INCONCLUSIVE, 130500)
(Unsigned_Wraparound_Error_4_T_Loop13_TestCase4, TRUE, 9695)
(Unsigned_Wraparound_Error_4_T_Loop13_TestCase1, TRUE, 6507)
(Unsigned_Wraparound_Error_4_T_Loop13_TestCase3, TRUE, 7834)
(Unsigned_Wraparound_Error_4_T_Loop13_TestCase2, TRUE, 6368)
(Unsigned_Wraparound_Error_4_T_Loop13_TestCase10, TRUE, 13461)</t>
  </si>
  <si>
    <t>(Unsigned_Wraparound_Error_4_T_Loop0_TestCase8, TRUE, 9018)
(Unsigned_Wraparound_Error_4_T_Loop0_TestCase9, TRUE, 9691)
(Unsigned_Wraparound_Error_4_T_Loop0_TestCase10, TRUE, 13688)
(Unsigned_Wraparound_Error_4_T_Loop0_TestCase2, TRUE, 6318)
(Unsigned_Wraparound_Error_4_T_Loop0_TestCase3, TRUE, 7774)
(Unsigned_Wraparound_Error_4_T_Loop0_TestCase1, TRUE, 6467)
(Unsigned_Wraparound_Error_4_T_Loop0_TestCase4, TRUE, 9763)
(Unsigned_Wraparound_Error_4_T_Loop0_TestCase5, INCONCLUSIVE, 130398)
(Unsigned_Wraparound_Error_4_T_Loop0_TestCase7, TRUE, 6351)
(Unsigned_Wraparound_Error_4_T_Loop0_TestCase6, TRUE, 6339)</t>
  </si>
  <si>
    <t>(Unsigned_Wraparound_Error_4_T_Loop13_TestCase0, TRUE, 182362)</t>
  </si>
  <si>
    <t>(Unsigned_Wraparound_Error_4_T_Loop0_TestCase0, TRUE, 182448)</t>
  </si>
  <si>
    <t>(Unsigned_Wraparound_Error_4_NT_Loop15_TestCase2, TRUE, 6606)
(Unsigned_Wraparound_Error_4_NT_Loop15_TestCase10, INCONCLUSIVE, 130400)
(Unsigned_Wraparound_Error_4_NT_Loop15_TestCase3, TRUE, 8070)
(Unsigned_Wraparound_Error_4_NT_Loop15_TestCase1, TRUE, 6550)
(Unsigned_Wraparound_Error_4_NT_Loop15_TestCase4, TRUE, 9818)
(Unsigned_Wraparound_Error_4_NT_Loop15_TestCase5, INCONCLUSIVE, 130586)
(Unsigned_Wraparound_Error_4_NT_Loop15_TestCase7, INCONCLUSIVE, 130337)
(Unsigned_Wraparound_Error_4_NT_Loop15_TestCase6, INCONCLUSIVE, 130263)
(Unsigned_Wraparound_Error_4_NT_Loop15_TestCase8, INCONCLUSIVE, 130550)
(Unsigned_Wraparound_Error_4_NT_Loop15_TestCase9, INCONCLUSIVE, 130460)</t>
  </si>
  <si>
    <t>(Unsigned_Wraparound_Error_4_NT_Loop0_TestCase8, INCONCLUSIVE, 130661)
(Unsigned_Wraparound_Error_4_NT_Loop0_TestCase9, INCONCLUSIVE, 130366)
(Unsigned_Wraparound_Error_4_NT_Loop0_TestCase10, INCONCLUSIVE, 130826)
(Unsigned_Wraparound_Error_4_NT_Loop0_TestCase2, TRUE, 6585)
(Unsigned_Wraparound_Error_4_NT_Loop0_TestCase3, TRUE, 8154)
(Unsigned_Wraparound_Error_4_NT_Loop0_TestCase1, TRUE, 6401)
(Unsigned_Wraparound_Error_4_NT_Loop0_TestCase4, TRUE, 10038)
(Unsigned_Wraparound_Error_4_NT_Loop0_TestCase5, INCONCLUSIVE, 130604)
(Unsigned_Wraparound_Error_4_NT_Loop0_TestCase7, INCONCLUSIVE, 130594)
(Unsigned_Wraparound_Error_4_NT_Loop0_TestCase6, INCONCLUSIVE, 130744)</t>
  </si>
  <si>
    <t>(Unsigned_Wraparound_Error_4_NT_Loop15_TestCase0, Terminated, 300422)</t>
  </si>
  <si>
    <t>(Unsigned_Wraparound_Error_4_NT_Loop0_TestCase0, Terminated, 300459)</t>
  </si>
  <si>
    <t>(Unsigned_Wraparound_Error_3_T_Loop19_TestCase8, TRUE, 9086)
(Unsigned_Wraparound_Error_3_T_Loop19_TestCase9, TRUE, 9094)
(Unsigned_Wraparound_Error_3_T_Loop19_TestCase1, TRUE, 7821)
(Unsigned_Wraparound_Error_3_T_Loop19_TestCase2, TRUE, 7821)
(Unsigned_Wraparound_Error_3_T_Loop19_TestCase3, TRUE, 6281)
(Unsigned_Wraparound_Error_3_T_Loop19_TestCase7, TRUE, 9084)
(Unsigned_Wraparound_Error_3_T_Loop19_TestCase6, TRUE, 9013)
(Unsigned_Wraparound_Error_3_T_Loop19_TestCase10, TRUE, 9089)
(Unsigned_Wraparound_Error_3_T_Loop19_TestCase4, TRUE, 6293)
(Unsigned_Wraparound_Error_3_T_Loop19_TestCase5, TRUE, 6283)</t>
  </si>
  <si>
    <t>(Unsigned_Wraparound_Error_3_T_Loop0_TestCase5, TRUE, 6264)
(Unsigned_Wraparound_Error_3_T_Loop0_TestCase4, TRUE, 6242)
(Unsigned_Wraparound_Error_3_T_Loop0_TestCase6, TRUE, 9039)
(Unsigned_Wraparound_Error_3_T_Loop0_TestCase7, TRUE, 9021)
(Unsigned_Wraparound_Error_3_T_Loop0_TestCase10, TRUE, 9008)
(Unsigned_Wraparound_Error_3_T_Loop0_TestCase3, TRUE, 6248)
(Unsigned_Wraparound_Error_3_T_Loop0_TestCase2, TRUE, 7765)
(Unsigned_Wraparound_Error_3_T_Loop0_TestCase1, TRUE, 7782)
(Unsigned_Wraparound_Error_3_T_Loop0_TestCase9, TRUE, 9052)
(Unsigned_Wraparound_Error_3_T_Loop0_TestCase8, TRUE, 9050)</t>
  </si>
  <si>
    <t>(Unsigned_Wraparound_Error_3_T_Loop19_TestCase0, TRUE, 67621)</t>
  </si>
  <si>
    <t>(Unsigned_Wraparound_Error_3_T_Loop0_TestCase0, TRUE, 66704)</t>
  </si>
  <si>
    <t>(Unsigned_Wraparound_Error_3_NT_Loop20_TestCase8, FALSE(termination), 5957)
(Unsigned_Wraparound_Error_3_NT_Loop20_TestCase9, FALSE(termination), 5921)
(Unsigned_Wraparound_Error_3_NT_Loop20_TestCase10, FALSE(termination), 5911)
(Unsigned_Wraparound_Error_3_NT_Loop20_TestCase7, FALSE(termination), 5916)
(Unsigned_Wraparound_Error_3_NT_Loop20_TestCase6, FALSE(termination), 5911)
(Unsigned_Wraparound_Error_3_NT_Loop20_TestCase4, TRUE, 6296)
(Unsigned_Wraparound_Error_3_NT_Loop20_TestCase5, TRUE, 6288)
(Unsigned_Wraparound_Error_3_NT_Loop20_TestCase1, TRUE, 7821)
(Unsigned_Wraparound_Error_3_NT_Loop20_TestCase2, TRUE, 7735)
(Unsigned_Wraparound_Error_3_NT_Loop20_TestCase3, TRUE, 6289)</t>
  </si>
  <si>
    <t>(Unsigned_Wraparound_Error_3_NT_Loop0_TestCase10, FALSE(termination), 5900)
(Unsigned_Wraparound_Error_3_NT_Loop0_TestCase8, FALSE(termination), 5892)
(Unsigned_Wraparound_Error_3_NT_Loop0_TestCase9, FALSE(termination), 5883)
(Unsigned_Wraparound_Error_3_NT_Loop0_TestCase1, TRUE, 7746)
(Unsigned_Wraparound_Error_3_NT_Loop0_TestCase2, TRUE, 7745)
(Unsigned_Wraparound_Error_3_NT_Loop0_TestCase3, TRUE, 6238)
(Unsigned_Wraparound_Error_3_NT_Loop0_TestCase7, FALSE(termination), 5864)
(Unsigned_Wraparound_Error_3_NT_Loop0_TestCase6, FALSE(termination), 5890)
(Unsigned_Wraparound_Error_3_NT_Loop0_TestCase4, TRUE, 6269)
(Unsigned_Wraparound_Error_3_NT_Loop0_TestCase5, TRUE, 6274)</t>
  </si>
  <si>
    <t>(Unsigned_Wraparound_Error_3_NT_Loop20_TestCase0, FALSE(termination), 2657)</t>
  </si>
  <si>
    <t>(Unsigned_Wraparound_Error_3_NT_Loop0_TestCase0, FALSE(termination), 2670)</t>
  </si>
  <si>
    <t>(Unsigned_Wraparound_Error_2_T_Loop18_TestCase2, TRUE, 7800)
(Unsigned_Wraparound_Error_2_T_Loop18_TestCase3, TRUE, 7841)
(Unsigned_Wraparound_Error_2_T_Loop18_TestCase1, TRUE, 6368)
(Unsigned_Wraparound_Error_2_T_Loop18_TestCase4, TRUE, 8439)
(Unsigned_Wraparound_Error_2_T_Loop18_TestCase5, TRUE, 9095)
(Unsigned_Wraparound_Error_2_T_Loop18_TestCase10, TRUE, 9032)
(Unsigned_Wraparound_Error_2_T_Loop18_TestCase7, TRUE, 9118)
(Unsigned_Wraparound_Error_2_T_Loop18_TestCase6, TRUE, 9091)
(Unsigned_Wraparound_Error_2_T_Loop18_TestCase8, TRUE, 9098)
(Unsigned_Wraparound_Error_2_T_Loop18_TestCase9, TRUE, 9075)</t>
  </si>
  <si>
    <t>(Unsigned_Wraparound_Error_2_T_Loop0_TestCase10, TRUE, 9030)
(Unsigned_Wraparound_Error_2_T_Loop0_TestCase9, TRUE, 9019)
(Unsigned_Wraparound_Error_2_T_Loop0_TestCase8, TRUE, 8967)
(Unsigned_Wraparound_Error_2_T_Loop0_TestCase6, TRUE, 8995)
(Unsigned_Wraparound_Error_2_T_Loop0_TestCase7, TRUE, 9035)
(Unsigned_Wraparound_Error_2_T_Loop0_TestCase5, TRUE, 8991)
(Unsigned_Wraparound_Error_2_T_Loop0_TestCase4, TRUE, 8324)
(Unsigned_Wraparound_Error_2_T_Loop0_TestCase1, TRUE, 6257)
(Unsigned_Wraparound_Error_2_T_Loop0_TestCase3, TRUE, 7769)
(Unsigned_Wraparound_Error_2_T_Loop0_TestCase2, TRUE, 7736)</t>
  </si>
  <si>
    <t>(Unsigned_Wraparound_Error_2_T_Loop18_TestCase0, TRUE, 8257)</t>
  </si>
  <si>
    <t>(Unsigned_Wraparound_Error_2_T_Loop0_TestCase0, TRUE, 8199)</t>
  </si>
  <si>
    <t>(Unsigned_Wraparound_Error_2_NT_Loop18_TestCase8, FALSE(termination), 5890)
(Unsigned_Wraparound_Error_2_NT_Loop18_TestCase9, FALSE(termination), 5895)
(Unsigned_Wraparound_Error_2_NT_Loop18_TestCase4, TRUE, 8421)
(Unsigned_Wraparound_Error_2_NT_Loop18_TestCase5, TRUE, 9034)
(Unsigned_Wraparound_Error_2_NT_Loop18_TestCase7, FALSE(termination), 5851)
(Unsigned_Wraparound_Error_2_NT_Loop18_TestCase6, FALSE(termination), 5895)
(Unsigned_Wraparound_Error_2_NT_Loop18_TestCase2, TRUE, 7764)
(Unsigned_Wraparound_Error_2_NT_Loop18_TestCase3, TRUE, 7833)
(Unsigned_Wraparound_Error_2_NT_Loop18_TestCase1, TRUE, 6311)
(Unsigned_Wraparound_Error_2_NT_Loop18_TestCase10, FALSE(termination), 5882)</t>
  </si>
  <si>
    <t>(Unsigned_Wraparound_Error_2_NT_Loop0_TestCase9, FALSE(termination), 5828)
(Unsigned_Wraparound_Error_2_NT_Loop0_TestCase8, FALSE(termination), 5878)
(Unsigned_Wraparound_Error_2_NT_Loop0_TestCase10, FALSE(termination), 5858)
(Unsigned_Wraparound_Error_2_NT_Loop0_TestCase5, TRUE, 9079)
(Unsigned_Wraparound_Error_2_NT_Loop0_TestCase4, TRUE, 8341)
(Unsigned_Wraparound_Error_2_NT_Loop0_TestCase6, FALSE(termination), 5852)
(Unsigned_Wraparound_Error_2_NT_Loop0_TestCase7, FALSE(termination), 5851)
(Unsigned_Wraparound_Error_2_NT_Loop0_TestCase3, TRUE, 7786)
(Unsigned_Wraparound_Error_2_NT_Loop0_TestCase2, TRUE, 7765)
(Unsigned_Wraparound_Error_2_NT_Loop0_TestCase1, TRUE, 6249)</t>
  </si>
  <si>
    <t>(Unsigned_Wraparound_Error_2_NT_Loop18_TestCase0, FALSE(termination), 5927)</t>
  </si>
  <si>
    <t>(Unsigned_Wraparound_Error_2_NT_Loop0_TestCase0, FALSE(termination), 5937)</t>
  </si>
  <si>
    <t>(Unsigned_Wraparound_Error_1_T_Loop22_TestCase2, TRUE, 6463)
(Unsigned_Wraparound_Error_1_T_Loop22_TestCase3, TRUE, 10050)
(Unsigned_Wraparound_Error_1_T_Loop22_TestCase1, TRUE, 6330)
(Unsigned_Wraparound_Error_1_T_Loop22_TestCase4, TRUE, 8544)
(Unsigned_Wraparound_Error_1_T_Loop22_TestCase5, TRUE, 8487)
(Unsigned_Wraparound_Error_1_T_Loop22_TestCase7, INCONCLUSIVE, 142181)
(Unsigned_Wraparound_Error_1_T_Loop22_TestCase6, INCONCLUSIVE, 140907)
(Unsigned_Wraparound_Error_1_T_Loop22_TestCase8, INCONCLUSIVE, 140676)
(Unsigned_Wraparound_Error_1_T_Loop22_TestCase9, TRUE, 29317)
(Unsigned_Wraparound_Error_1_T_Loop22_TestCase10, TRUE, 6513)</t>
  </si>
  <si>
    <t>(Unsigned_Wraparound_Error_1_T_Loop0_TestCase2, TRUE, 6538)
(Unsigned_Wraparound_Error_1_T_Loop0_TestCase3, TRUE, 10101)
(Unsigned_Wraparound_Error_1_T_Loop0_TestCase1, TRUE, 6285)
(Unsigned_Wraparound_Error_1_T_Loop0_TestCase4, TRUE, 8558)
(Unsigned_Wraparound_Error_1_T_Loop0_TestCase5, TRUE, 8673)
(Unsigned_Wraparound_Error_1_T_Loop0_TestCase7, INCONCLUSIVE, 142960)
(Unsigned_Wraparound_Error_1_T_Loop0_TestCase6, INCONCLUSIVE, 140702)
(Unsigned_Wraparound_Error_1_T_Loop0_TestCase10, TRUE, 6511)
(Unsigned_Wraparound_Error_1_T_Loop0_TestCase8, INCONCLUSIVE, 140819)
(Unsigned_Wraparound_Error_1_T_Loop0_TestCase9, TRUE, 29204)</t>
  </si>
  <si>
    <t>(Unsigned_Wraparound_Error_1_T_Loop22_TestCase0, TRUE, 182262)</t>
  </si>
  <si>
    <t>(Unsigned_Wraparound_Error_1_T_Loop0_TestCase0, TRUE, 182283)</t>
  </si>
  <si>
    <t>(Unsigned_Wraparound_Error_1_NT_Loop22_TestCase8, INCONCLUSIVE, 104005)
(Unsigned_Wraparound_Error_1_NT_Loop22_TestCase9, INCONCLUSIVE, 103565)
(Unsigned_Wraparound_Error_1_NT_Loop22_TestCase4, TRUE, 8604)
(Unsigned_Wraparound_Error_1_NT_Loop22_TestCase5, TRUE, 8558)
(Unsigned_Wraparound_Error_1_NT_Loop22_TestCase10, FALSE(termination), 2931)
(Unsigned_Wraparound_Error_1_NT_Loop22_TestCase7, INCONCLUSIVE, 102097)
(Unsigned_Wraparound_Error_1_NT_Loop22_TestCase6, INCONCLUSIVE, 99751)
(Unsigned_Wraparound_Error_1_NT_Loop22_TestCase2, TRUE, 6595)
(Unsigned_Wraparound_Error_1_NT_Loop22_TestCase3, TRUE, 9869)
(Unsigned_Wraparound_Error_1_NT_Loop22_TestCase1, TRUE, 6388)</t>
  </si>
  <si>
    <t>(Unsigned_Wraparound_Error_1_NT_Loop0_TestCase9, INCONCLUSIVE, 108304)
(Unsigned_Wraparound_Error_1_NT_Loop0_TestCase8, INCONCLUSIVE, 108382)
(Unsigned_Wraparound_Error_1_NT_Loop0_TestCase1, TRUE, 6377)
(Unsigned_Wraparound_Error_1_NT_Loop0_TestCase10, FALSE(termination), 2716)
(Unsigned_Wraparound_Error_1_NT_Loop0_TestCase3, TRUE, 10206)
(Unsigned_Wraparound_Error_1_NT_Loop0_TestCase2, TRUE, 6309)
(Unsigned_Wraparound_Error_1_NT_Loop0_TestCase6, INCONCLUSIVE, 103931)
(Unsigned_Wraparound_Error_1_NT_Loop0_TestCase7, INCONCLUSIVE, 107049)
(Unsigned_Wraparound_Error_1_NT_Loop0_TestCase5, TRUE, 8524)
(Unsigned_Wraparound_Error_1_NT_Loop0_TestCase4, TRUE, 8708)</t>
  </si>
  <si>
    <t>(Unsigned_Wraparound_Error_1_NT_Loop22_TestCase0, FALSE(termination), 2680)</t>
  </si>
  <si>
    <t>(Unsigned_Wraparound_Error_1_NT_Loop0_TestCase0, FALSE(termination), 2700)</t>
  </si>
  <si>
    <t>(Undefined_Behavior_3_T_Loop15_TestCase9, TRUE, 7829)
(Undefined_Behavior_3_T_Loop15_TestCase8, TRUE, 7838)
(Undefined_Behavior_3_T_Loop15_TestCase10, TRUE, 7832)
(Undefined_Behavior_3_T_Loop15_TestCase5, TRUE, 7847)
(Undefined_Behavior_3_T_Loop15_TestCase4, TRUE, 7829)
(Undefined_Behavior_3_T_Loop15_TestCase6, TRUE, 7830)
(Undefined_Behavior_3_T_Loop15_TestCase7, TRUE, 7826)
(Undefined_Behavior_3_T_Loop15_TestCase3, TRUE, 7176)
(Undefined_Behavior_3_T_Loop15_TestCase2, TRUE, 7260)
(Undefined_Behavior_3_T_Loop15_TestCase1, TRUE, 6360)</t>
  </si>
  <si>
    <t>(Undefined_Behavior_3_T_Loop0_TestCase8, TRUE, 7748)
(Undefined_Behavior_3_T_Loop0_TestCase9, TRUE, 7734)
(Undefined_Behavior_3_T_Loop0_TestCase10, TRUE, 7804)
(Undefined_Behavior_3_T_Loop0_TestCase7, TRUE, 7753)
(Undefined_Behavior_3_T_Loop0_TestCase6, TRUE, 7762)
(Undefined_Behavior_3_T_Loop0_TestCase4, TRUE, 7751)
(Undefined_Behavior_3_T_Loop0_TestCase5, TRUE, 7752)
(Undefined_Behavior_3_T_Loop0_TestCase1, TRUE, 6241)
(Undefined_Behavior_3_T_Loop0_TestCase2, TRUE, 6313)
(Undefined_Behavior_3_T_Loop0_TestCase3, TRUE, 6321)</t>
  </si>
  <si>
    <t>(Undefined_Behavior_3_T_Loop15_TestCase0, TRUE, 7853)</t>
  </si>
  <si>
    <t>(Undefined_Behavior_3_T_Loop0_TestCase0, TRUE, 7931)</t>
  </si>
  <si>
    <t>(Undefined_Behavior_3_Loop15_TestCase3, TRUE, 6352)
(Undefined_Behavior_3_Loop15_TestCase2, TRUE, 6350)
(Undefined_Behavior_3_Loop15_TestCase1, TRUE, 6289)
(Undefined_Behavior_3_Loop15_TestCase5, TRUE, 7790)
(Undefined_Behavior_3_Loop15_TestCase4, TRUE, 7745)
(Undefined_Behavior_3_Loop15_TestCase6, TRUE, 7814)
(Undefined_Behavior_3_Loop15_TestCase7, TRUE, 7810)
(Undefined_Behavior_3_Loop15_TestCase10, TRUE, 7790)
(Undefined_Behavior_3_Loop15_TestCase9, TRUE, 7815)
(Undefined_Behavior_3_Loop15_TestCase8, TRUE, 7800)</t>
  </si>
  <si>
    <t>(Undefined_Behavior_3_Loop0_TestCase6, TRUE, 7743)
(Undefined_Behavior_3_Loop0_TestCase7, TRUE, 7735)
(Undefined_Behavior_3_Loop0_TestCase5, TRUE, 7731)
(Undefined_Behavior_3_Loop0_TestCase4, TRUE, 7750)
(Undefined_Behavior_3_Loop0_TestCase1, TRUE, 6186)
(Undefined_Behavior_3_Loop0_TestCase3, TRUE, 6320)
(Undefined_Behavior_3_Loop0_TestCase2, TRUE, 6301)
(Undefined_Behavior_3_Loop0_TestCase10, TRUE, 7726)
(Undefined_Behavior_3_Loop0_TestCase9, TRUE, 7754)
(Undefined_Behavior_3_Loop0_TestCase8, TRUE, 7740)</t>
  </si>
  <si>
    <t>(Undefined_Behavior_3_Loop15_TestCase0, TRUE, 44824)</t>
  </si>
  <si>
    <t>(Undefined_Behavior_3_Loop0_TestCase0, TRUE, 44100)</t>
  </si>
  <si>
    <t>(Undefined_Behavior_2_T_Loop25_TestCase9, TRUE, 9156)
(Undefined_Behavior_2_T_Loop25_TestCase8, TRUE, 9162)
(Undefined_Behavior_2_T_Loop14_TestCase6, TRUE, 9167)
(Undefined_Behavior_2_T_Loop14_TestCase7, TRUE, 9171)
(Undefined_Behavior_2_T_Loop14_TestCase5, TRUE, 9176)
(Undefined_Behavior_2_T_Loop25_TestCase10, TRUE, 9153)
(Undefined_Behavior_2_T_Loop14_TestCase4, TRUE, 8516)
(Undefined_Behavior_2_T_Loop14_TestCase1, TRUE, 6434)
(Undefined_Behavior_2_T_Loop14_TestCase3, TRUE, 7940)
(Undefined_Behavior_2_T_Loop14_TestCase2, TRUE, 7882)
(Undefined_Behavior_2_T_Loop14_TestCase9, TRUE, 9175)
(Undefined_Behavior_2_T_Loop14_TestCase8, TRUE, 9140)
(Undefined_Behavior_2_T_Loop14_TestCase10, TRUE, 9162)
(Undefined_Behavior_2_T_Loop25_TestCase1, TRUE, 6385)
(Undefined_Behavior_2_T_Loop25_TestCase3, TRUE, 7945)
(Undefined_Behavior_2_T_Loop25_TestCase2, TRUE, 7899)
(Undefined_Behavior_2_T_Loop25_TestCase6, TRUE, 9148)
(Undefined_Behavior_2_T_Loop25_TestCase7, TRUE, 9182)
(Undefined_Behavior_2_T_Loop25_TestCase5, TRUE, 9157)
(Undefined_Behavior_2_T_Loop25_TestCase4, TRUE, 8516)</t>
  </si>
  <si>
    <t>(Undefined_Behavior_2_T_Loop0_TestCase4, TRUE, 8393)
(Undefined_Behavior_2_T_Loop0_TestCase5, TRUE, 9128)
(Undefined_Behavior_2_T_Loop0_TestCase7, TRUE, 9061)
(Undefined_Behavior_2_T_Loop0_TestCase6, TRUE, 9061)
(Undefined_Behavior_2_T_Loop0_TestCase2, TRUE, 7821)
(Undefined_Behavior_2_T_Loop0_TestCase3, TRUE, 7841)
(Undefined_Behavior_2_T_Loop0_TestCase1, TRUE, 6329)
(Undefined_Behavior_2_T_Loop0_TestCase8, TRUE, 9064)
(Undefined_Behavior_2_T_Loop0_TestCase9, TRUE, 9097)
(Undefined_Behavior_2_T_Loop0_TestCase10, TRUE, 9030)</t>
  </si>
  <si>
    <t>(Undefined_Behavior_2_T_Loop14_TestCase0, TRUE, 182442)
(Undefined_Behavior_2_T_Loop25_TestCase0, TRUE, 182548)</t>
  </si>
  <si>
    <t>(Undefined_Behavior_2_T_Loop0_TestCase0, TRUE, 182468)</t>
  </si>
  <si>
    <t>(Undefined_Behavior_2_Loop13_TestCase10, TRUE, 9148)
(Undefined_Behavior_2_Loop24_TestCase9, TRUE, 9153)
(Undefined_Behavior_2_Loop24_TestCase8, TRUE, 9177)
(Undefined_Behavior_2_Loop13_TestCase9, TRUE, 9160)
(Undefined_Behavior_2_Loop13_TestCase8, TRUE, 9074)
(Undefined_Behavior_2_Loop13_TestCase3, TRUE, 7917)
(Undefined_Behavior_2_Loop13_TestCase2, TRUE, 7889)
(Undefined_Behavior_2_Loop24_TestCase10, TRUE, 9149)
(Undefined_Behavior_2_Loop13_TestCase1, TRUE, 6378)
(Undefined_Behavior_2_Loop13_TestCase5, TRUE, 9167)
(Undefined_Behavior_2_Loop13_TestCase4, TRUE, 8479)
(Undefined_Behavior_2_Loop13_TestCase6, TRUE, 9126)
(Undefined_Behavior_2_Loop13_TestCase7, TRUE, 9161)
(Undefined_Behavior_2_Loop24_TestCase6, TRUE, 9123)
(Undefined_Behavior_2_Loop24_TestCase7, TRUE, 9157)
(Undefined_Behavior_2_Loop24_TestCase5, TRUE, 9154)
(Undefined_Behavior_2_Loop24_TestCase4, TRUE, 8518)
(Undefined_Behavior_2_Loop24_TestCase1, TRUE, 6443)
(Undefined_Behavior_2_Loop24_TestCase3, TRUE, 7921)
(Undefined_Behavior_2_Loop24_TestCase2, TRUE, 7880)</t>
  </si>
  <si>
    <t>(Undefined_Behavior_2_Loop0_TestCase7, TRUE, 9090)
(Undefined_Behavior_2_Loop0_TestCase10, TRUE, 9088)
(Undefined_Behavior_2_Loop0_TestCase6, TRUE, 9067)
(Undefined_Behavior_2_Loop0_TestCase4, TRUE, 8440)
(Undefined_Behavior_2_Loop0_TestCase5, TRUE, 9100)
(Undefined_Behavior_2_Loop0_TestCase1, TRUE, 6298)
(Undefined_Behavior_2_Loop0_TestCase2, TRUE, 7779)
(Undefined_Behavior_2_Loop0_TestCase3, TRUE, 7852)
(Undefined_Behavior_2_Loop0_TestCase8, TRUE, 9071)
(Undefined_Behavior_2_Loop0_TestCase9, TRUE, 9099)</t>
  </si>
  <si>
    <t>(Undefined_Behavior_2_Loop13_TestCase0, TRUE, 182398)
(Undefined_Behavior_2_Loop24_TestCase0, TRUE, 182507)</t>
  </si>
  <si>
    <t>(Undefined_Behavior_2_Loop0_TestCase0, TRUE, 182472)</t>
  </si>
  <si>
    <t>(Undefined_Behavior_1_T_Loop15_TestCase8, TRUE, 7833)
(Undefined_Behavior_1_T_Loop15_TestCase9, TRUE, 7839)
(Undefined_Behavior_1_T_Loop15_TestCase4, TRUE, 7816)
(Undefined_Behavior_1_T_Loop15_TestCase10, TRUE, 7757)
(Undefined_Behavior_1_T_Loop15_TestCase5, TRUE, 7817)
(Undefined_Behavior_1_T_Loop15_TestCase7, TRUE, 7868)
(Undefined_Behavior_1_T_Loop15_TestCase6, TRUE, 7822)
(Undefined_Behavior_1_T_Loop15_TestCase2, TRUE, 7242)
(Undefined_Behavior_1_T_Loop15_TestCase3, TRUE, 7236)
(Undefined_Behavior_1_T_Loop15_TestCase1, TRUE, 6339)</t>
  </si>
  <si>
    <t>(Undefined_Behavior_1_T_Loop0_TestCase9, TRUE, 7723)
(Undefined_Behavior_1_T_Loop0_TestCase8, TRUE, 7698)
(Undefined_Behavior_1_T_Loop0_TestCase1, TRUE, 6302)
(Undefined_Behavior_1_T_Loop0_TestCase3, TRUE, 6358)
(Undefined_Behavior_1_T_Loop0_TestCase2, TRUE, 6338)
(Undefined_Behavior_1_T_Loop0_TestCase6, TRUE, 7664)
(Undefined_Behavior_1_T_Loop0_TestCase7, TRUE, 7688)
(Undefined_Behavior_1_T_Loop0_TestCase5, TRUE, 7670)
(Undefined_Behavior_1_T_Loop0_TestCase10, TRUE, 7705)
(Undefined_Behavior_1_T_Loop0_TestCase4, TRUE, 7657)</t>
  </si>
  <si>
    <t>(Undefined_Behavior_1_T_Loop15_TestCase0, TRUE, 54586)</t>
  </si>
  <si>
    <t>(Undefined_Behavior_1_T_Loop0_TestCase0, TRUE, 48538)</t>
  </si>
  <si>
    <t>(Undefined_Behavior_1_Loop14_TestCase3, TRUE, 6274)
(Undefined_Behavior_1_Loop14_TestCase2, TRUE, 6356)
(Undefined_Behavior_1_Loop14_TestCase1, TRUE, 6314)
(Undefined_Behavior_1_Loop14_TestCase5, TRUE, 7849)
(Undefined_Behavior_1_Loop14_TestCase4, TRUE, 7794)
(Undefined_Behavior_1_Loop14_TestCase6, TRUE, 7835)
(Undefined_Behavior_1_Loop14_TestCase7, TRUE, 7826)
(Undefined_Behavior_1_Loop14_TestCase10, TRUE, 7816)
(Undefined_Behavior_1_Loop14_TestCase9, TRUE, 7818)
(Undefined_Behavior_1_Loop14_TestCase8, TRUE, 7834)</t>
  </si>
  <si>
    <t>(Undefined_Behavior_1_Loop0_TestCase5, TRUE, 7773)
(Undefined_Behavior_1_Loop0_TestCase4, TRUE, 7759)
(Undefined_Behavior_1_Loop0_TestCase6, TRUE, 7812)
(Undefined_Behavior_1_Loop0_TestCase7, TRUE, 7776)
(Undefined_Behavior_1_Loop0_TestCase3, TRUE, 6343)
(Undefined_Behavior_1_Loop0_TestCase2, TRUE, 6359)
(Undefined_Behavior_1_Loop0_TestCase1, TRUE, 6233)
(Undefined_Behavior_1_Loop0_TestCase9, TRUE, 7809)
(Undefined_Behavior_1_Loop0_TestCase8, TRUE, 7737)
(Undefined_Behavior_1_Loop0_TestCase10, TRUE, 7766)</t>
  </si>
  <si>
    <t>(Undefined_Behavior_1_Loop14_TestCase0, TRUE, 45481)</t>
  </si>
  <si>
    <t>(Undefined_Behavior_1_Loop0_TestCase0, TRUE, 44188)</t>
  </si>
  <si>
    <t>(Type_Conversion_in_Comparison_2_T_Loop16_TestCase8, TRUE, 10689)
(Type_Conversion_in_Comparison_2_T_Loop16_TestCase9, TRUE, 9977)
(Type_Conversion_in_Comparison_2_T_Loop16_TestCase10, TRUE, 10630)
(Type_Conversion_in_Comparison_2_T_Loop16_TestCase7, TRUE, 10588)
(Type_Conversion_in_Comparison_2_T_Loop16_TestCase6, TRUE, 6330)
(Type_Conversion_in_Comparison_2_T_Loop16_TestCase4, TRUE, 9027)
(Type_Conversion_in_Comparison_2_T_Loop16_TestCase5, TRUE, 10687)
(Type_Conversion_in_Comparison_2_T_Loop16_TestCase1, TRUE, 6339)
(Type_Conversion_in_Comparison_2_T_Loop16_TestCase2, TRUE, 7893)
(Type_Conversion_in_Comparison_2_T_Loop16_TestCase3, TRUE, 6409)</t>
  </si>
  <si>
    <t>(Type_Conversion_in_Comparison_2_T_Loop0_TestCase9, TRUE, 9877)
(Type_Conversion_in_Comparison_2_T_Loop0_TestCase8, TRUE, 10577)
(Type_Conversion_in_Comparison_2_T_Loop0_TestCase10, TRUE, 10516)
(Type_Conversion_in_Comparison_2_T_Loop0_TestCase1, TRUE, 6309)
(Type_Conversion_in_Comparison_2_T_Loop0_TestCase3, TRUE, 6329)
(Type_Conversion_in_Comparison_2_T_Loop0_TestCase2, TRUE, 7803)
(Type_Conversion_in_Comparison_2_T_Loop0_TestCase6, TRUE, 6235)
(Type_Conversion_in_Comparison_2_T_Loop0_TestCase7, TRUE, 10521)
(Type_Conversion_in_Comparison_2_T_Loop0_TestCase5, TRUE, 10582)
(Type_Conversion_in_Comparison_2_T_Loop0_TestCase4, TRUE, 9054)</t>
  </si>
  <si>
    <t>(Type_Conversion_in_Comparison_2_T_Loop16_TestCase0, TRUE, 82427)</t>
  </si>
  <si>
    <t>(Type_Conversion_in_Comparison_2_T_Loop0_TestCase0, TRUE, 76712)</t>
  </si>
  <si>
    <t>(Type_Conversion_in_Comparison_2_NT_Loop17_TestCase8, FALSE(termination), 12960)
(Type_Conversion_in_Comparison_2_NT_Loop17_TestCase9, FALSE(termination), 12819)
(Type_Conversion_in_Comparison_2_NT_Loop17_TestCase10, FALSE(termination), 12758)
(Type_Conversion_in_Comparison_2_NT_Loop17_TestCase1, TRUE, 6351)
(Type_Conversion_in_Comparison_2_NT_Loop17_TestCase2, TRUE, 7877)
(Type_Conversion_in_Comparison_2_NT_Loop17_TestCase3, TRUE, 6440)
(Type_Conversion_in_Comparison_2_NT_Loop17_TestCase7, FALSE(termination), 12881)
(Type_Conversion_in_Comparison_2_NT_Loop17_TestCase6, FALSE(termination), 12730)
(Type_Conversion_in_Comparison_2_NT_Loop17_TestCase4, TRUE, 9104)
(Type_Conversion_in_Comparison_2_NT_Loop17_TestCase5, TRUE, 10702)</t>
  </si>
  <si>
    <t>(Type_Conversion_in_Comparison_2_NT_Loop0_TestCase5, TRUE, 10611)
(Type_Conversion_in_Comparison_2_NT_Loop0_TestCase4, TRUE, 8943)
(Type_Conversion_in_Comparison_2_NT_Loop0_TestCase6, FALSE(termination), 12660)
(Type_Conversion_in_Comparison_2_NT_Loop0_TestCase7, FALSE(termination), 12861)
(Type_Conversion_in_Comparison_2_NT_Loop0_TestCase3, TRUE, 6342)
(Type_Conversion_in_Comparison_2_NT_Loop0_TestCase2, TRUE, 7822)
(Type_Conversion_in_Comparison_2_NT_Loop0_TestCase1, TRUE, 6305)
(Type_Conversion_in_Comparison_2_NT_Loop0_TestCase10, FALSE(termination), 12565)
(Type_Conversion_in_Comparison_2_NT_Loop0_TestCase9, FALSE(termination), 12717)
(Type_Conversion_in_Comparison_2_NT_Loop0_TestCase8, FALSE(termination), 12812)</t>
  </si>
  <si>
    <t>(Type_Conversion_in_Comparison_2_NT_Loop17_TestCase0, FALSE(termination), 53289)</t>
  </si>
  <si>
    <t>(Type_Conversion_in_Comparison_2_NT_Loop0_TestCase0, FALSE(termination), 46937)</t>
  </si>
  <si>
    <t>(Type_Conversion_in_Comparison_1_T_Loop18_TestCase8, TRUE, 15177)
(Type_Conversion_in_Comparison_1_T_Loop18_TestCase9, TRUE, 16348)
(Type_Conversion_in_Comparison_1_T_Loop18_TestCase7, TRUE, 11178)
(Type_Conversion_in_Comparison_1_T_Loop18_TestCase6, TRUE, 8363)
(Type_Conversion_in_Comparison_1_T_Loop18_TestCase4, TRUE, 9656)
(Type_Conversion_in_Comparison_1_T_Loop18_TestCase5, TRUE, 9742)
(Type_Conversion_in_Comparison_1_T_Loop18_TestCase1, TRUE, 6323)
(Type_Conversion_in_Comparison_1_T_Loop18_TestCase2, TRUE, 7805)
(Type_Conversion_in_Comparison_1_T_Loop18_TestCase3, TRUE, 8437)
(Type_Conversion_in_Comparison_1_T_Loop18_TestCase10, TRUE, 6385)</t>
  </si>
  <si>
    <t>(Type_Conversion_in_Comparison_1_T_Loop0_TestCase4, TRUE, 7360)
(Type_Conversion_in_Comparison_1_T_Loop0_TestCase5, TRUE, 7507)
(Type_Conversion_in_Comparison_1_T_Loop0_TestCase7, TRUE, 8541)
(Type_Conversion_in_Comparison_1_T_Loop0_TestCase6, TRUE, 7208)
(Type_Conversion_in_Comparison_1_T_Loop0_TestCase2, TRUE, 7090)
(Type_Conversion_in_Comparison_1_T_Loop0_TestCase3, TRUE, 7177)
(Type_Conversion_in_Comparison_1_T_Loop0_TestCase1, TRUE, 6247)
(Type_Conversion_in_Comparison_1_T_Loop0_TestCase10, TRUE, 6315)
(Type_Conversion_in_Comparison_1_T_Loop0_TestCase8, TRUE, 9603)
(Type_Conversion_in_Comparison_1_T_Loop0_TestCase9, TRUE, 9630)</t>
  </si>
  <si>
    <t>(Type_Conversion_in_Comparison_1_T_Loop18_TestCase0, TRUE, 45847)</t>
  </si>
  <si>
    <t>(Type_Conversion_in_Comparison_1_T_Loop0_TestCase0, TRUE, 37755)</t>
  </si>
  <si>
    <t>(Type_Conversion_in_Comparison_1_NT_Loop16_TestCase3, TRUE, 8641)
(Type_Conversion_in_Comparison_1_NT_Loop16_TestCase2, TRUE, 8005)
(Type_Conversion_in_Comparison_1_NT_Loop16_TestCase1, TRUE, 6410)
(Type_Conversion_in_Comparison_1_NT_Loop16_TestCase5, TRUE, 9945)
(Type_Conversion_in_Comparison_1_NT_Loop16_TestCase4, TRUE, 10089)
(Type_Conversion_in_Comparison_1_NT_Loop16_TestCase6, INCONCLUSIVE, 93242)
(Type_Conversion_in_Comparison_1_NT_Loop16_TestCase7, INCONCLUSIVE, 94368)
(Type_Conversion_in_Comparison_1_NT_Loop16_TestCase9, INCONCLUSIVE, 93761)
(Type_Conversion_in_Comparison_1_NT_Loop16_TestCase8, INCONCLUSIVE, 91750)
(Type_Conversion_in_Comparison_1_NT_Loop16_TestCase10, INCONCLUSIVE, 95455)</t>
  </si>
  <si>
    <t>(Type_Conversion_in_Comparison_1_NT_Loop0_TestCase1, TRUE, 6227)
(Type_Conversion_in_Comparison_1_NT_Loop0_TestCase3, TRUE, 7289)
(Type_Conversion_in_Comparison_1_NT_Loop0_TestCase2, TRUE, 7147)
(Type_Conversion_in_Comparison_1_NT_Loop0_TestCase6, TRUE, 9457)
(Type_Conversion_in_Comparison_1_NT_Loop0_TestCase10, TRUE, 9249)
(Type_Conversion_in_Comparison_1_NT_Loop0_TestCase7, TRUE, 9457)
(Type_Conversion_in_Comparison_1_NT_Loop0_TestCase5, TRUE, 7565)
(Type_Conversion_in_Comparison_1_NT_Loop0_TestCase4, TRUE, 7446)
(Type_Conversion_in_Comparison_1_NT_Loop0_TestCase9, TRUE, 9291)
(Type_Conversion_in_Comparison_1_NT_Loop0_TestCase8, TRUE, 9345)</t>
  </si>
  <si>
    <t>(Type_Conversion_in_Comparison_1_NT_Loop16_TestCase0, TRUE, 182412)</t>
  </si>
  <si>
    <t>(Type_Conversion_in_Comparison_1_NT_Loop0_TestCase0, TRUE, 181602)</t>
  </si>
  <si>
    <t>(Type_Conversion_in_Assignment_1_T_Loop26_TestCase6, INTERNAL-ERROR, 2660)
(Type_Conversion_in_Assignment_1_T_Loop26_TestCase7, INTERNAL-ERROR, 2632)
(Type_Conversion_in_Assignment_1_T_Loop26_TestCase5, INTERNAL-ERROR, 2686)
(Type_Conversion_in_Assignment_1_T_Loop26_TestCase4, INTERNAL-ERROR, 2655)
(Type_Conversion_in_Assignment_1_T_Loop26_TestCase1, INTERNAL-ERROR, 2631)
(Type_Conversion_in_Assignment_1_T_Loop26_TestCase3, INTERNAL-ERROR, 2626)
(Type_Conversion_in_Assignment_1_T_Loop26_TestCase2, INTERNAL-ERROR, 2662)
(Type_Conversion_in_Assignment_1_T_Loop26_TestCase9, INTERNAL-ERROR, 2631)
(Type_Conversion_in_Assignment_1_T_Loop26_TestCase8, INTERNAL-ERROR, 2656)
(Type_Conversion_in_Assignment_1_T_Loop26_TestCase10, INTERNAL-ERROR, 2676)</t>
  </si>
  <si>
    <t>(Type_Conversion_in_Assignment_1_T_Loop0_TestCase9, FALSE(termination), 2077)
(Type_Conversion_in_Assignment_1_T_Loop0_TestCase8, FALSE(termination), 2066)
(Type_Conversion_in_Assignment_1_T_Loop0_TestCase10, FALSE(termination), 2047)
(Type_Conversion_in_Assignment_1_T_Loop0_TestCase1, TRUE, 6344)
(Type_Conversion_in_Assignment_1_T_Loop0_TestCase3, TRUE, 6367)
(Type_Conversion_in_Assignment_1_T_Loop0_TestCase2, TRUE, 6350)
(Type_Conversion_in_Assignment_1_T_Loop0_TestCase6, FALSE(termination), 2095)
(Type_Conversion_in_Assignment_1_T_Loop0_TestCase7, FALSE(termination), 2022)
(Type_Conversion_in_Assignment_1_T_Loop0_TestCase5, TRUE, 6359)
(Type_Conversion_in_Assignment_1_T_Loop0_TestCase4, TRUE, 6391)</t>
  </si>
  <si>
    <t>(Type_Conversion_in_Assignment_1_T_Loop26_TestCase0, INTERNAL-ERROR, 2607)</t>
  </si>
  <si>
    <t>(Type_Conversion_in_Assignment_1_T_Loop0_TestCase0, FALSE(termination), 2075)</t>
  </si>
  <si>
    <t>(Type_Conversion_in_Assignment_1_NT_Loop27_TestCase10, INTERNAL-ERROR, 2679)
(Type_Conversion_in_Assignment_1_NT_Loop27_TestCase7, INTERNAL-ERROR, 2669)
(Type_Conversion_in_Assignment_1_NT_Loop27_TestCase6, INTERNAL-ERROR, 2653)
(Type_Conversion_in_Assignment_1_NT_Loop27_TestCase4, INTERNAL-ERROR, 2666)
(Type_Conversion_in_Assignment_1_NT_Loop27_TestCase5, INTERNAL-ERROR, 2655)
(Type_Conversion_in_Assignment_1_NT_Loop27_TestCase1, INTERNAL-ERROR, 2592)
(Type_Conversion_in_Assignment_1_NT_Loop27_TestCase2, INTERNAL-ERROR, 2647)
(Type_Conversion_in_Assignment_1_NT_Loop27_TestCase3, INTERNAL-ERROR, 2664)
(Type_Conversion_in_Assignment_1_NT_Loop27_TestCase8, INTERNAL-ERROR, 2616)
(Type_Conversion_in_Assignment_1_NT_Loop27_TestCase9, INTERNAL-ERROR, 2648)</t>
  </si>
  <si>
    <t>(Type_Conversion_in_Assignment_1_NT_Loop0_TestCase9, FALSE(termination), 2097)
(Type_Conversion_in_Assignment_1_NT_Loop0_TestCase8, FALSE(termination), 2100)
(Type_Conversion_in_Assignment_1_NT_Loop0_TestCase10, FALSE(termination), 2076)
(Type_Conversion_in_Assignment_1_NT_Loop0_TestCase5, TRUE, 6395)
(Type_Conversion_in_Assignment_1_NT_Loop0_TestCase4, TRUE, 6368)
(Type_Conversion_in_Assignment_1_NT_Loop0_TestCase6, FALSE(termination), 2080)
(Type_Conversion_in_Assignment_1_NT_Loop0_TestCase7, FALSE(termination), 2074)
(Type_Conversion_in_Assignment_1_NT_Loop0_TestCase3, TRUE, 6396)
(Type_Conversion_in_Assignment_1_NT_Loop0_TestCase2, TRUE, 6382)
(Type_Conversion_in_Assignment_1_NT_Loop0_TestCase1, TRUE, 6357)</t>
  </si>
  <si>
    <t>(Type_Conversion_in_Assignment_1_NT_Loop27_TestCase0, INTERNAL-ERROR, 2715)</t>
  </si>
  <si>
    <t>(Type_Conversion_in_Assignment_1_NT_Loop0_TestCase0, FALSE(termination), 2092)</t>
  </si>
  <si>
    <t>(Signed_Overflow_Error_3_T_Loop14_TestCase9, TRUE, 8362)
(Signed_Overflow_Error_3_T_Loop14_TestCase8, TRUE, 8370)
(Signed_Overflow_Error_3_T_Loop14_TestCase10, TRUE, 8364)
(Signed_Overflow_Error_3_T_Loop14_TestCase1, INTERNAL-ERROR, 2641)
(Signed_Overflow_Error_3_T_Loop14_TestCase3, TRUE, 6190)
(Signed_Overflow_Error_3_T_Loop14_TestCase2, TRUE, 6276)
(Signed_Overflow_Error_3_T_Loop14_TestCase6, TRUE, 8363)
(Signed_Overflow_Error_3_T_Loop14_TestCase7, TRUE, 8356)
(Signed_Overflow_Error_3_T_Loop14_TestCase5, TRUE, 7802)
(Signed_Overflow_Error_3_T_Loop14_TestCase4, TRUE, 7817)</t>
  </si>
  <si>
    <t>(Signed_Overflow_Error_3_T_Loop0_TestCase10, TRUE, 8384)
(Signed_Overflow_Error_3_T_Loop0_TestCase8, TRUE, 8402)
(Signed_Overflow_Error_3_T_Loop0_TestCase9, TRUE, 8384)
(Signed_Overflow_Error_3_T_Loop0_TestCase4, TRUE, 7783)
(Signed_Overflow_Error_3_T_Loop0_TestCase5, TRUE, 7809)
(Signed_Overflow_Error_3_T_Loop0_TestCase7, TRUE, 8347)
(Signed_Overflow_Error_3_T_Loop0_TestCase6, TRUE, 8392)
(Signed_Overflow_Error_3_T_Loop0_TestCase2, TRUE, 6268)
(Signed_Overflow_Error_3_T_Loop0_TestCase3, TRUE, 6319)
(Signed_Overflow_Error_3_T_Loop0_TestCase1, INTERNAL-ERROR, 2653)</t>
  </si>
  <si>
    <t>(Signed_Overflow_Error_3_T_Loop14_TestCase0, TRUE, 45071)</t>
  </si>
  <si>
    <t>(Signed_Overflow_Error_3_T_Loop0_TestCase0, TRUE, 35908)</t>
  </si>
  <si>
    <t>(Signed_Overflow_Error_3_NT_Loop15_TestCase8, FALSE(termination), 5857)
(Signed_Overflow_Error_3_NT_Loop15_TestCase9, FALSE(termination), 5889)
(Signed_Overflow_Error_3_NT_Loop15_TestCase7, FALSE(termination), 5875)
(Signed_Overflow_Error_3_NT_Loop15_TestCase6, FALSE(termination), 5884)
(Signed_Overflow_Error_3_NT_Loop15_TestCase4, TRUE, 7784)
(Signed_Overflow_Error_3_NT_Loop15_TestCase5, TRUE, 7726)
(Signed_Overflow_Error_3_NT_Loop15_TestCase1, INTERNAL-ERROR, 2616)
(Signed_Overflow_Error_3_NT_Loop15_TestCase2, TRUE, 6257)
(Signed_Overflow_Error_3_NT_Loop15_TestCase3, TRUE, 6271)
(Signed_Overflow_Error_3_NT_Loop15_TestCase10, FALSE(termination), 5867)</t>
  </si>
  <si>
    <t>(Signed_Overflow_Error_3_NT_Loop0_TestCase9, TRUE, 9501)
(Signed_Overflow_Error_3_NT_Loop0_TestCase8, TRUE, 9582)
(Signed_Overflow_Error_3_NT_Loop0_TestCase1, INTERNAL-ERROR, 2625)
(Signed_Overflow_Error_3_NT_Loop0_TestCase3, TRUE, 6402)
(Signed_Overflow_Error_3_NT_Loop0_TestCase2, TRUE, 6265)
(Signed_Overflow_Error_3_NT_Loop0_TestCase6, TRUE, 9500)
(Signed_Overflow_Error_3_NT_Loop0_TestCase7, TRUE, 9565)
(Signed_Overflow_Error_3_NT_Loop0_TestCase5, TRUE, 7263)
(Signed_Overflow_Error_3_NT_Loop0_TestCase4, TRUE, 7249)
(Signed_Overflow_Error_3_NT_Loop0_TestCase10, TRUE, 9544)</t>
  </si>
  <si>
    <t>(Signed_Overflow_Error_3_NT_Loop15_TestCase0, FALSE(termination), 5922)</t>
  </si>
  <si>
    <t>(Signed_Overflow_Error_3_NT_Loop0_TestCase0, TRUE, 38006)</t>
  </si>
  <si>
    <t>(Signed_Overflow_Error_2_T_Loop14_TestCase8, TRUE, 9089)
(Signed_Overflow_Error_2_T_Loop14_TestCase9, TRUE, 9097)
(Signed_Overflow_Error_2_T_Loop14_TestCase4, TRUE, 7764)
(Signed_Overflow_Error_2_T_Loop14_TestCase5, TRUE, 7836)
(Signed_Overflow_Error_2_T_Loop14_TestCase7, TRUE, 9082)
(Signed_Overflow_Error_2_T_Loop14_TestCase10, TRUE, 9097)
(Signed_Overflow_Error_2_T_Loop14_TestCase6, TRUE, 9092)
(Signed_Overflow_Error_2_T_Loop14_TestCase2, TRUE, 6273)
(Signed_Overflow_Error_2_T_Loop14_TestCase3, TRUE, 7836)
(Signed_Overflow_Error_2_T_Loop14_TestCase1, TRUE, 6299)</t>
  </si>
  <si>
    <t>(Signed_Overflow_Error_2_T_Loop0_TestCase7, TRUE, 9038)
(Signed_Overflow_Error_2_T_Loop0_TestCase6, TRUE, 9047)
(Signed_Overflow_Error_2_T_Loop0_TestCase4, TRUE, 7794)
(Signed_Overflow_Error_2_T_Loop0_TestCase5, TRUE, 7900)
(Signed_Overflow_Error_2_T_Loop0_TestCase1, TRUE, 6251)
(Signed_Overflow_Error_2_T_Loop0_TestCase2, TRUE, 6301)
(Signed_Overflow_Error_2_T_Loop0_TestCase3, TRUE, 7768)
(Signed_Overflow_Error_2_T_Loop0_TestCase10, TRUE, 9075)
(Signed_Overflow_Error_2_T_Loop0_TestCase8, TRUE, 9044)
(Signed_Overflow_Error_2_T_Loop0_TestCase9, TRUE, 9060)</t>
  </si>
  <si>
    <t>(Signed_Overflow_Error_2_T_Loop14_TestCase0, TRUE, 8301)</t>
  </si>
  <si>
    <t>(Signed_Overflow_Error_2_T_Loop0_TestCase0, TRUE, 8177)</t>
  </si>
  <si>
    <t>(Signed_Overflow_Error_2_NT_Loop15_TestCase3, TRUE, 7792)
(Signed_Overflow_Error_2_NT_Loop15_TestCase2, TRUE, 6286)
(Signed_Overflow_Error_2_NT_Loop15_TestCase1, TRUE, 6261)
(Signed_Overflow_Error_2_NT_Loop15_TestCase5, TRUE, 7829)
(Signed_Overflow_Error_2_NT_Loop15_TestCase4, TRUE, 7808)
(Signed_Overflow_Error_2_NT_Loop15_TestCase6, FALSE(termination), 5875)
(Signed_Overflow_Error_2_NT_Loop15_TestCase7, FALSE(termination), 5899)
(Signed_Overflow_Error_2_NT_Loop15_TestCase10, FALSE(termination), 5908)
(Signed_Overflow_Error_2_NT_Loop15_TestCase9, FALSE(termination), 5811)
(Signed_Overflow_Error_2_NT_Loop15_TestCase8, FALSE(termination), 5861)</t>
  </si>
  <si>
    <t>(Signed_Overflow_Error_2_NT_Loop0_TestCase8, FALSE(termination), 5871)
(Signed_Overflow_Error_2_NT_Loop0_TestCase9, FALSE(termination), 5893)
(Signed_Overflow_Error_2_NT_Loop0_TestCase10, FALSE(termination), 5864)
(Signed_Overflow_Error_2_NT_Loop0_TestCase4, TRUE, 7797)
(Signed_Overflow_Error_2_NT_Loop0_TestCase5, TRUE, 7791)
(Signed_Overflow_Error_2_NT_Loop0_TestCase7, FALSE(termination), 5854)
(Signed_Overflow_Error_2_NT_Loop0_TestCase6, FALSE(termination), 5899)
(Signed_Overflow_Error_2_NT_Loop0_TestCase2, TRUE, 6281)
(Signed_Overflow_Error_2_NT_Loop0_TestCase3, TRUE, 7784)
(Signed_Overflow_Error_2_NT_Loop0_TestCase1, TRUE, 6276)</t>
  </si>
  <si>
    <t>(Signed_Overflow_Error_2_NT_Loop15_TestCase0, FALSE(termination), 5914)</t>
  </si>
  <si>
    <t>(Signed_Overflow_Error_2_NT_Loop0_TestCase0, FALSE(termination), 5900)</t>
  </si>
  <si>
    <t>(Signed_Overflow_Error_1_T_Loop14_TestCase0, TRUE, 9018)</t>
  </si>
  <si>
    <t>(Signed_Overflow_Error_1_T_Loop0_TestCase0, TRUE, 7385)</t>
  </si>
  <si>
    <t>(Signed_Overflow_Error_1_T_Loop14_TestCase0, TRUE, 9034)</t>
  </si>
  <si>
    <t>(Signed_Overflow_Error_1_T_Loop0_TestCase0, TRUE, 7330)</t>
  </si>
  <si>
    <t>(Signed_Overflow_Error_1_NT_Loop13_TestCase0, TRUE, 9011)</t>
  </si>
  <si>
    <t>(Signed_Overflow_Error_1_NT_Loop0_TestCase0, TRUE, 7371)</t>
  </si>
  <si>
    <t>(Signed_Overflow_Error_1_NT_Loop13_TestCase0, TRUE, 8983)</t>
  </si>
  <si>
    <t>(Signed_Overflow_Error_1_NT_Loop0_TestCase0, TRUE, 7344)</t>
  </si>
  <si>
    <t>(Reusing_Same_Loop_Iterator_2_T_Loop20_TestCase10, TRUE, 10456)
(Reusing_Same_Loop_Iterator_2_T_Loop20_TestCase1, TRUE, 6281)
(Reusing_Same_Loop_Iterator_2_T_Loop20_TestCase3, TRUE, 6622)
(Reusing_Same_Loop_Iterator_2_T_Loop20_TestCase2, TRUE, 6321)
(Reusing_Same_Loop_Iterator_2_T_Loop20_TestCase6, TRUE, 7954)
(Reusing_Same_Loop_Iterator_2_T_Loop20_TestCase7, TRUE, 8780)
(Reusing_Same_Loop_Iterator_2_T_Loop20_TestCase5, TRUE, 6285)
(Reusing_Same_Loop_Iterator_2_T_Loop20_TestCase4, TRUE, 6343)
(Reusing_Same_Loop_Iterator_2_T_Loop17_TestCase5, TRUE, 6210)
(Reusing_Same_Loop_Iterator_2_T_Loop17_TestCase4, TRUE, 6369)
(Reusing_Same_Loop_Iterator_2_T_Loop17_TestCase6, TRUE, 7720)
(Reusing_Same_Loop_Iterator_2_T_Loop17_TestCase7, TRUE, 8293)
(Reusing_Same_Loop_Iterator_2_T_Loop17_TestCase3, TRUE, 6274)
(Reusing_Same_Loop_Iterator_2_T_Loop17_TestCase2, TRUE, 6286)
(Reusing_Same_Loop_Iterator_2_T_Loop17_TestCase1, TRUE, 6282)
(Reusing_Same_Loop_Iterator_2_T_Loop17_TestCase9, TRUE, 16538)
(Reusing_Same_Loop_Iterator_2_T_Loop17_TestCase8, TRUE, 9677)
(Reusing_Same_Loop_Iterator_2_T_Loop17_TestCase10, TRUE, 9545)
(Reusing_Same_Loop_Iterator_2_T_Loop20_TestCase9, TRUE, 56995)
(Reusing_Same_Loop_Iterator_2_T_Loop20_TestCase8, TRUE, 11169)</t>
  </si>
  <si>
    <t>(Reusing_Same_Loop_Iterator_2_T_Loop0_TestCase3, TRUE, 6323)
(Reusing_Same_Loop_Iterator_2_T_Loop0_TestCase2, TRUE, 6366)
(Reusing_Same_Loop_Iterator_2_T_Loop0_TestCase1, TRUE, 6352)
(Reusing_Same_Loop_Iterator_2_T_Loop0_TestCase5, TRUE, 6343)
(Reusing_Same_Loop_Iterator_2_T_Loop0_TestCase4, TRUE, 6325)
(Reusing_Same_Loop_Iterator_2_T_Loop0_TestCase6, TRUE, 8104)
(Reusing_Same_Loop_Iterator_2_T_Loop0_TestCase7, TRUE, 8700)
(Reusing_Same_Loop_Iterator_2_T_Loop0_TestCase9, TRUE, 57149)
(Reusing_Same_Loop_Iterator_2_T_Loop0_TestCase8, TRUE, 11289)
(Reusing_Same_Loop_Iterator_2_T_Loop0_TestCase10, TRUE, 10514)</t>
  </si>
  <si>
    <t>(Reusing_Same_Loop_Iterator_2_T_Loop20_TestCase0, TRUE, 182382)
(Reusing_Same_Loop_Iterator_2_T_Loop17_TestCase0, TRUE, 47614)</t>
  </si>
  <si>
    <t>(Reusing_Same_Loop_Iterator_2_T_Loop0_TestCase0, TRUE, 182269)</t>
  </si>
  <si>
    <t>(Reusing_Same_Loop_Iterator_2_NT_Loop16_TestCase1, TRUE, 6284)
(Reusing_Same_Loop_Iterator_2_NT_Loop16_TestCase3, TRUE, 6290)
(Reusing_Same_Loop_Iterator_2_NT_Loop16_TestCase2, TRUE, 6292)
(Reusing_Same_Loop_Iterator_2_NT_Loop16_TestCase6, FALSE(termination), 3235)
(Reusing_Same_Loop_Iterator_2_NT_Loop16_TestCase7, FALSE(termination), 3246)
(Reusing_Same_Loop_Iterator_2_NT_Loop16_TestCase5, TRUE, 6269)
(Reusing_Same_Loop_Iterator_2_NT_Loop16_TestCase4, TRUE, 6255)
(Reusing_Same_Loop_Iterator_2_NT_Loop18_TestCase5, TRUE, 6278)
(Reusing_Same_Loop_Iterator_2_NT_Loop18_TestCase4, TRUE, 6277)
(Reusing_Same_Loop_Iterator_2_NT_Loop18_TestCase6, FALSE(termination), 3230)
(Reusing_Same_Loop_Iterator_2_NT_Loop18_TestCase7, FALSE(termination), 3219)
(Reusing_Same_Loop_Iterator_2_NT_Loop16_TestCase10, FALSE(termination), 3243)
(Reusing_Same_Loop_Iterator_2_NT_Loop18_TestCase3, TRUE, 6292)
(Reusing_Same_Loop_Iterator_2_NT_Loop18_TestCase2, TRUE, 6269)
(Reusing_Same_Loop_Iterator_2_NT_Loop18_TestCase10, FALSE(termination), 3241)
(Reusing_Same_Loop_Iterator_2_NT_Loop18_TestCase1, TRUE, 6303)
(Reusing_Same_Loop_Iterator_2_NT_Loop18_TestCase9, FALSE(termination), 3253)
(Reusing_Same_Loop_Iterator_2_NT_Loop18_TestCase8, FALSE(termination), 3200)
(Reusing_Same_Loop_Iterator_2_NT_Loop16_TestCase9, FALSE(termination), 3247)
(Reusing_Same_Loop_Iterator_2_NT_Loop16_TestCase8, FALSE(termination), 3226)</t>
  </si>
  <si>
    <t>(Reusing_Same_Loop_Iterator_2_NT_Loop0_TestCase1, TRUE, 6341)
(Reusing_Same_Loop_Iterator_2_NT_Loop0_TestCase3, TRUE, 6535)
(Reusing_Same_Loop_Iterator_2_NT_Loop0_TestCase2, TRUE, 6321)
(Reusing_Same_Loop_Iterator_2_NT_Loop0_TestCase6, FALSE(termination), 3263)
(Reusing_Same_Loop_Iterator_2_NT_Loop0_TestCase7, FALSE(termination), 3322)
(Reusing_Same_Loop_Iterator_2_NT_Loop0_TestCase5, TRUE, 6326)
(Reusing_Same_Loop_Iterator_2_NT_Loop0_TestCase10, FALSE(termination), 3268)
(Reusing_Same_Loop_Iterator_2_NT_Loop0_TestCase4, TRUE, 6358)
(Reusing_Same_Loop_Iterator_2_NT_Loop0_TestCase9, FALSE(termination), 3385)
(Reusing_Same_Loop_Iterator_2_NT_Loop0_TestCase8, FALSE(termination), 3275)</t>
  </si>
  <si>
    <t>(Reusing_Same_Loop_Iterator_2_NT_Loop16_TestCase0, FALSE(termination), 3274)
(Reusing_Same_Loop_Iterator_2_NT_Loop18_TestCase0, FALSE(termination), 3277)</t>
  </si>
  <si>
    <t>(Reusing_Same_Loop_Iterator_2_NT_Loop0_TestCase0, FALSE(termination), 3313)</t>
  </si>
  <si>
    <t>(Reusing_Same_Loop_Iterator_1_T_Loop19_TestCase5, INCONCLUSIVE, 130867)
(Reusing_Same_Loop_Iterator_1_T_Loop19_TestCase4, TRUE, 6329)
(Reusing_Same_Loop_Iterator_1_T_Loop19_TestCase6, TRUE, 9103)
(Reusing_Same_Loop_Iterator_1_T_Loop19_TestCase7, TRUE, 184109)
(Reusing_Same_Loop_Iterator_1_T_Loop19_TestCase3, TRUE, 6366)
(Reusing_Same_Loop_Iterator_1_T_Loop19_TestCase2, TRUE, 10203)
(Reusing_Same_Loop_Iterator_1_T_Loop19_TestCase1, TRUE, 6275)
(Reusing_Same_Loop_Iterator_1_T_Loop17_TestCase1, TRUE, 6324)
(Reusing_Same_Loop_Iterator_1_T_Loop17_TestCase3, TRUE, 6370)
(Reusing_Same_Loop_Iterator_1_T_Loop17_TestCase2, TRUE, 8442)
(Reusing_Same_Loop_Iterator_1_T_Loop17_TestCase6, TRUE, 8409)
(Reusing_Same_Loop_Iterator_1_T_Loop17_TestCase7, TRUE, 9856)
(Reusing_Same_Loop_Iterator_1_T_Loop17_TestCase5, TRUE, 16700)
(Reusing_Same_Loop_Iterator_1_T_Loop17_TestCase4, TRUE, 6443)
(Reusing_Same_Loop_Iterator_1_T_Loop17_TestCase9, TRUE, 9770)
(Reusing_Same_Loop_Iterator_1_T_Loop17_TestCase8, TRUE, 11344)
(Reusing_Same_Loop_Iterator_1_T_Loop17_TestCase10, TRUE, 9085)
(Reusing_Same_Loop_Iterator_1_T_Loop19_TestCase10, TRUE, 11012)
(Reusing_Same_Loop_Iterator_1_T_Loop19_TestCase9, TRUE, 9767)
(Reusing_Same_Loop_Iterator_1_T_Loop19_TestCase8, TRUE, 12707)</t>
  </si>
  <si>
    <t>(Reusing_Same_Loop_Iterator_1_T_Loop0_TestCase8, TRUE, 12415)
(Reusing_Same_Loop_Iterator_1_T_Loop0_TestCase9, TRUE, 9694)
(Reusing_Same_Loop_Iterator_1_T_Loop0_TestCase7, TRUE, 116750)
(Reusing_Same_Loop_Iterator_1_T_Loop0_TestCase6, TRUE, 8940)
(Reusing_Same_Loop_Iterator_1_T_Loop0_TestCase4, TRUE, 6280)
(Reusing_Same_Loop_Iterator_1_T_Loop0_TestCase5, INCONCLUSIVE, 130727)
(Reusing_Same_Loop_Iterator_1_T_Loop0_TestCase1, TRUE, 6337)
(Reusing_Same_Loop_Iterator_1_T_Loop0_TestCase2, TRUE, 10023)
(Reusing_Same_Loop_Iterator_1_T_Loop0_TestCase3, TRUE, 6301)
(Reusing_Same_Loop_Iterator_1_T_Loop0_TestCase10, TRUE, 10589)</t>
  </si>
  <si>
    <t>(Reusing_Same_Loop_Iterator_1_T_Loop19_TestCase0, TRUE, 182981)
(Reusing_Same_Loop_Iterator_1_T_Loop17_TestCase0, TRUE, 49960)</t>
  </si>
  <si>
    <t>(Reusing_Same_Loop_Iterator_1_T_Loop0_TestCase0, TRUE, 182385)</t>
  </si>
  <si>
    <t>(Reusing_Same_Loop_Iterator_1_NT_Loop19_TestCase8, FALSE(termination), 2593)
(Reusing_Same_Loop_Iterator_1_NT_Loop19_TestCase9, FALSE(termination), 2588)
(Reusing_Same_Loop_Iterator_1_NT_Loop17_TestCase8, FALSE(termination), 2605)
(Reusing_Same_Loop_Iterator_1_NT_Loop17_TestCase9, FALSE(termination), 2595)
(Reusing_Same_Loop_Iterator_1_NT_Loop17_TestCase2, TRUE, 8998)
(Reusing_Same_Loop_Iterator_1_NT_Loop17_TestCase3, TRUE, 6288)
(Reusing_Same_Loop_Iterator_1_NT_Loop17_TestCase1, TRUE, 6408)
(Reusing_Same_Loop_Iterator_1_NT_Loop17_TestCase4, TRUE, 6208)
(Reusing_Same_Loop_Iterator_1_NT_Loop17_TestCase5, TRUE, 16814)
(Reusing_Same_Loop_Iterator_1_NT_Loop17_TestCase7, FALSE(termination), 63142)
(Reusing_Same_Loop_Iterator_1_NT_Loop17_TestCase6, FALSE(termination), 3937)
(Reusing_Same_Loop_Iterator_1_NT_Loop19_TestCase7, FALSE(termination), 63145)
(Reusing_Same_Loop_Iterator_1_NT_Loop19_TestCase6, FALSE(termination), 3961)
(Reusing_Same_Loop_Iterator_1_NT_Loop19_TestCase4, TRUE, 6340)
(Reusing_Same_Loop_Iterator_1_NT_Loop17_TestCase10, FALSE(termination), 4741)
(Reusing_Same_Loop_Iterator_1_NT_Loop19_TestCase5, TRUE, 16588)
(Reusing_Same_Loop_Iterator_1_NT_Loop19_TestCase1, TRUE, 6277)
(Reusing_Same_Loop_Iterator_1_NT_Loop19_TestCase2, TRUE, 9010)
(Reusing_Same_Loop_Iterator_1_NT_Loop19_TestCase10, FALSE(termination), 4719)
(Reusing_Same_Loop_Iterator_1_NT_Loop19_TestCase3, TRUE, 6302)</t>
  </si>
  <si>
    <t>(Reusing_Same_Loop_Iterator_1_NT_Loop0_TestCase10, FALSE(termination), 4669)
(Reusing_Same_Loop_Iterator_1_NT_Loop0_TestCase5, TRUE, 16750)
(Reusing_Same_Loop_Iterator_1_NT_Loop0_TestCase4, TRUE, 6289)
(Reusing_Same_Loop_Iterator_1_NT_Loop0_TestCase6, FALSE(termination), 3899)
(Reusing_Same_Loop_Iterator_1_NT_Loop0_TestCase7, FALSE(termination), 65354)
(Reusing_Same_Loop_Iterator_1_NT_Loop0_TestCase3, TRUE, 6359)
(Reusing_Same_Loop_Iterator_1_NT_Loop0_TestCase2, TRUE, 8929)
(Reusing_Same_Loop_Iterator_1_NT_Loop0_TestCase1, TRUE, 6294)
(Reusing_Same_Loop_Iterator_1_NT_Loop0_TestCase9, FALSE(termination), 2612)
(Reusing_Same_Loop_Iterator_1_NT_Loop0_TestCase8, FALSE(termination), 2566)</t>
  </si>
  <si>
    <t>(Reusing_Same_Loop_Iterator_1_NT_Loop17_TestCase0, FALSE(termination), 2661)
(Reusing_Same_Loop_Iterator_1_NT_Loop19_TestCase0, FALSE(termination), 2713)</t>
  </si>
  <si>
    <t>(Reusing_Same_Loop_Iterator_1_NT_Loop0_TestCase0, FALSE(termination), 2688)</t>
  </si>
  <si>
    <t>(Misusing_Variable_Type_2_T_Loop23_TestCase10, TRUE, 16777)
(Misusing_Variable_Type_2_T_Loop23_TestCase8, TRUE, 17710)
(Misusing_Variable_Type_2_T_Loop23_TestCase9, TRUE, 17887)
(Misusing_Variable_Type_2_T_Loop23_TestCase4, TRUE, 15940)
(Misusing_Variable_Type_2_T_Loop23_TestCase5, TRUE, 16681)
(Misusing_Variable_Type_2_T_Loop23_TestCase7, TRUE, 17128)
(Misusing_Variable_Type_2_T_Loop23_TestCase6, TRUE, 16900)
(Misusing_Variable_Type_2_T_Loop23_TestCase2, TRUE, 6370)
(Misusing_Variable_Type_2_T_Loop23_TestCase3, TRUE, 9780)
(Misusing_Variable_Type_2_T_Loop23_TestCase1, TRUE, 6308)</t>
  </si>
  <si>
    <t>(Misusing_Variable_Type_2_T_Loop0_TestCase6, TRUE, 9190)
(Misusing_Variable_Type_2_T_Loop0_TestCase7, TRUE, 9233)
(Misusing_Variable_Type_2_T_Loop0_TestCase5, TRUE, 9141)
(Misusing_Variable_Type_2_T_Loop0_TestCase4, TRUE, 9198)
(Misusing_Variable_Type_2_T_Loop0_TestCase10, TRUE, 9171)
(Misusing_Variable_Type_2_T_Loop0_TestCase1, TRUE, 6310)
(Misusing_Variable_Type_2_T_Loop0_TestCase3, TRUE, 7537)
(Misusing_Variable_Type_2_T_Loop0_TestCase2, TRUE, 6408)
(Misusing_Variable_Type_2_T_Loop0_TestCase9, TRUE, 9197)
(Misusing_Variable_Type_2_T_Loop0_TestCase8, TRUE, 9277)</t>
  </si>
  <si>
    <t>(Misusing_Variable_Type_2_T_Loop23_TestCase0, TRUE, 47239)</t>
  </si>
  <si>
    <t>(Misusing_Variable_Type_2_T_Loop0_TestCase0, TRUE, 32185)</t>
  </si>
  <si>
    <t>(Misusing_Variable_Type_2_NT_Loop24_TestCase9, INCONCLUSIVE, 83244)
(Misusing_Variable_Type_2_NT_Loop24_TestCase8, INCONCLUSIVE, 82516)
(Misusing_Variable_Type_2_NT_Loop24_TestCase10, INCONCLUSIVE, 82693)
(Misusing_Variable_Type_2_NT_Loop24_TestCase5, TRUE, 17102)
(Misusing_Variable_Type_2_NT_Loop24_TestCase4, TRUE, 16386)
(Misusing_Variable_Type_2_NT_Loop24_TestCase6, INCONCLUSIVE, 82958)
(Misusing_Variable_Type_2_NT_Loop24_TestCase7, INCONCLUSIVE, 82842)
(Misusing_Variable_Type_2_NT_Loop24_TestCase3, TRUE, 10001)
(Misusing_Variable_Type_2_NT_Loop24_TestCase2, TRUE, 6541)
(Misusing_Variable_Type_2_NT_Loop24_TestCase1, TRUE, 6398)</t>
  </si>
  <si>
    <t>(Misusing_Variable_Type_2_NT_Loop0_TestCase8, TRUE, 9159)
(Misusing_Variable_Type_2_NT_Loop0_TestCase9, TRUE, 9175)
(Misusing_Variable_Type_2_NT_Loop0_TestCase10, TRUE, 9205)
(Misusing_Variable_Type_2_NT_Loop0_TestCase1, TRUE, 6364)
(Misusing_Variable_Type_2_NT_Loop0_TestCase2, TRUE, 6394)
(Misusing_Variable_Type_2_NT_Loop0_TestCase3, TRUE, 7576)
(Misusing_Variable_Type_2_NT_Loop0_TestCase7, TRUE, 9185)
(Misusing_Variable_Type_2_NT_Loop0_TestCase6, TRUE, 9176)
(Misusing_Variable_Type_2_NT_Loop0_TestCase4, TRUE, 9150)
(Misusing_Variable_Type_2_NT_Loop0_TestCase5, TRUE, 9184)</t>
  </si>
  <si>
    <t>(Misusing_Variable_Type_2_NT_Loop24_TestCase0, TRUE, 47112)</t>
  </si>
  <si>
    <t>(Misusing_Variable_Type_2_NT_Loop0_TestCase0, TRUE, 33058)</t>
  </si>
  <si>
    <t>(Misusing_Variable_Type_1_T_Loop16_TestCase0, TRUE, 8020)
(Misusing_Variable_Type_1_T_Loop18_TestCase0, TRUE, 69158)
(Misusing_Variable_Type_1_T_Loop14_TestCase0, TRUE, 7878)</t>
  </si>
  <si>
    <t>(Misusing_Variable_Type_1_T_Loop0_TestCase0, TRUE, 66135)</t>
  </si>
  <si>
    <t>(Misusing_Variable_Type_1_T_Loop16_TestCase0, TRUE, 7992)
(Misusing_Variable_Type_1_T_Loop18_TestCase0, TRUE, 69230)
(Misusing_Variable_Type_1_T_Loop14_TestCase0, TRUE, 7837)</t>
  </si>
  <si>
    <t>(Misusing_Variable_Type_1_T_Loop0_TestCase0, TRUE, 66465)</t>
  </si>
  <si>
    <t>(Misusing_Variable_Type_1_NT_Loop16_TestCase0, INCONCLUSIVE, 84196)
(Misusing_Variable_Type_1_NT_Loop18_TestCase0, Terminated, 300915)
(Misusing_Variable_Type_1_NT_Loop14_TestCase0, TRUE, 1518)</t>
  </si>
  <si>
    <t>(Misusing_Variable_Type_1_NT_Loop0_TestCase0, TRUE, 181649)</t>
  </si>
  <si>
    <t>(Misusing_Variable_Type_1_NT_Loop16_TestCase0, INCONCLUSIVE, 81411)
(Misusing_Variable_Type_1_NT_Loop18_TestCase0, Terminated, 300879)
(Misusing_Variable_Type_1_NT_Loop14_TestCase0, TRUE, 1557)</t>
  </si>
  <si>
    <t>(Misusing_Variable_Type_1_NT_Loop0_TestCase0, TRUE, 181771)</t>
  </si>
  <si>
    <t>(Missing_Iterator_Update_5_T_Loop22_TestCase3, TRUE, 7856)
(Missing_Iterator_Update_5_T_Loop22_TestCase2, TRUE, 7917)
(Missing_Iterator_Update_5_T_Loop22_TestCase1, TRUE, 6334)
(Missing_Iterator_Update_5_T_Loop22_TestCase5, TRUE, 6301)
(Missing_Iterator_Update_5_T_Loop22_TestCase4, TRUE, 7958)
(Missing_Iterator_Update_5_T_Loop22_TestCase6, TRUE, 8006)
(Missing_Iterator_Update_5_T_Loop22_TestCase10, TRUE, 10789)
(Missing_Iterator_Update_5_T_Loop22_TestCase7, TRUE, 7947)
(Missing_Iterator_Update_5_T_Loop17_TestCase8, TRUE, 7927)
(Missing_Iterator_Update_5_T_Loop17_TestCase9, TRUE, 7947)
(Missing_Iterator_Update_5_T_Loop17_TestCase4, TRUE, 7974)
(Missing_Iterator_Update_5_T_Loop17_TestCase5, TRUE, 6295)
(Missing_Iterator_Update_5_T_Loop17_TestCase7, TRUE, 8045)
(Missing_Iterator_Update_5_T_Loop17_TestCase6, TRUE, 7919)
(Missing_Iterator_Update_5_T_Loop17_TestCase2, TRUE, 7894)
(Missing_Iterator_Update_5_T_Loop17_TestCase3, TRUE, 7922)
(Missing_Iterator_Update_5_T_Loop17_TestCase1, TRUE, 6314)
(Missing_Iterator_Update_5_T_Loop22_TestCase9, TRUE, 7918)
(Missing_Iterator_Update_5_T_Loop22_TestCase8, TRUE, 7952)
(Missing_Iterator_Update_5_T_Loop17_TestCase10, TRUE, 10769)</t>
  </si>
  <si>
    <t>(Missing_Iterator_Update_5_T_Loop0_TestCase10, TRUE, 7479)
(Missing_Iterator_Update_5_T_Loop0_TestCase1, TRUE, 6278)
(Missing_Iterator_Update_5_T_Loop0_TestCase2, TRUE, 7176)
(Missing_Iterator_Update_5_T_Loop0_TestCase3, TRUE, 7204)
(Missing_Iterator_Update_5_T_Loop0_TestCase7, TRUE, 7183)
(Missing_Iterator_Update_5_T_Loop0_TestCase6, TRUE, 7173)
(Missing_Iterator_Update_5_T_Loop0_TestCase4, TRUE, 7231)
(Missing_Iterator_Update_5_T_Loop0_TestCase5, TRUE, 6286)
(Missing_Iterator_Update_5_T_Loop0_TestCase8, TRUE, 7147)
(Missing_Iterator_Update_5_T_Loop0_TestCase9, TRUE, 7186)</t>
  </si>
  <si>
    <t>(Missing_Iterator_Update_5_T_Loop22_TestCase0, TRUE, 182901)
(Missing_Iterator_Update_5_T_Loop17_TestCase0, TRUE, 182764)</t>
  </si>
  <si>
    <t>(Missing_Iterator_Update_5_T_Loop0_TestCase0, TRUE, 182070)</t>
  </si>
  <si>
    <t>(Missing_Iterator_Update_5_NT_Loop18_TestCase4, FALSE(termination), 4012)
(Missing_Iterator_Update_5_NT_Loop18_TestCase5, TRUE, 6443)
(Missing_Iterator_Update_5_NT_Loop18_TestCase7, FALSE(termination), 3993)
(Missing_Iterator_Update_5_NT_Loop18_TestCase6, FALSE(termination), 4007)
(Missing_Iterator_Update_5_NT_Loop18_TestCase2, FALSE(termination), 3326)
(Missing_Iterator_Update_5_NT_Loop23_TestCase9, FALSE(termination), 4085)
(Missing_Iterator_Update_5_NT_Loop23_TestCase8, FALSE(termination), 4033)
(Missing_Iterator_Update_5_NT_Loop18_TestCase3, TRUE, 7871)
(Missing_Iterator_Update_5_NT_Loop18_TestCase1, TRUE, 6456)
(Missing_Iterator_Update_5_NT_Loop18_TestCase10, Terminated, 300715)
(Missing_Iterator_Update_5_NT_Loop23_TestCase10, Terminated, 300928)
(Missing_Iterator_Update_5_NT_Loop23_TestCase6, FALSE(termination), 3982)
(Missing_Iterator_Update_5_NT_Loop23_TestCase7, FALSE(termination), 3982)
(Missing_Iterator_Update_5_NT_Loop23_TestCase5, TRUE, 6359)
(Missing_Iterator_Update_5_NT_Loop23_TestCase4, FALSE(termination), 4003)
(Missing_Iterator_Update_5_NT_Loop23_TestCase1, TRUE, 6727)
(Missing_Iterator_Update_5_NT_Loop18_TestCase8, FALSE(termination), 4022)
(Missing_Iterator_Update_5_NT_Loop23_TestCase3, TRUE, 7887)
(Missing_Iterator_Update_5_NT_Loop23_TestCase2, FALSE(termination), 3284)
(Missing_Iterator_Update_5_NT_Loop18_TestCase9, FALSE(termination), 3985)</t>
  </si>
  <si>
    <t>(Missing_Iterator_Update_5_NT_Loop0_TestCase10, FALSE(termination), 10058)
(Missing_Iterator_Update_5_NT_Loop0_TestCase8, FALSE(termination), 3859)
(Missing_Iterator_Update_5_NT_Loop0_TestCase9, FALSE(termination), 3839)
(Missing_Iterator_Update_5_NT_Loop0_TestCase1, TRUE, 6277)
(Missing_Iterator_Update_5_NT_Loop0_TestCase2, TRUE, 7166)
(Missing_Iterator_Update_5_NT_Loop0_TestCase3, TRUE, 7200)
(Missing_Iterator_Update_5_NT_Loop0_TestCase7, FALSE(termination), 3842)
(Missing_Iterator_Update_5_NT_Loop0_TestCase6, FALSE(termination), 3856)
(Missing_Iterator_Update_5_NT_Loop0_TestCase4, TRUE, 7192)
(Missing_Iterator_Update_5_NT_Loop0_TestCase5, TRUE, 6277)</t>
  </si>
  <si>
    <t>(Missing_Iterator_Update_5_NT_Loop18_TestCase0, FALSE(termination), 2131)
(Missing_Iterator_Update_5_NT_Loop23_TestCase0, FALSE(termination), 2116)</t>
  </si>
  <si>
    <t>(Missing_Iterator_Update_5_NT_Loop0_TestCase0, FALSE(termination), 2167)</t>
  </si>
  <si>
    <t>(Missing_Iterator_Update_4_T_Loop21_TestCase2, TRUE, 6288)
(Missing_Iterator_Update_4_T_Loop21_TestCase3, TRUE, 6282)
(Missing_Iterator_Update_4_T_Loop21_TestCase1, TRUE, 6313)
(Missing_Iterator_Update_4_T_Loop21_TestCase4, TRUE, 6348)
(Missing_Iterator_Update_4_T_Loop19_TestCase10, TRUE, 16878)
(Missing_Iterator_Update_4_T_Loop21_TestCase5, TRUE, 6287)
(Missing_Iterator_Update_4_T_Loop21_TestCase7, TRUE, 8012)
(Missing_Iterator_Update_4_T_Loop19_TestCase9, TRUE, 9781)
(Missing_Iterator_Update_4_T_Loop19_TestCase8, TRUE, 8310)
(Missing_Iterator_Update_4_T_Loop21_TestCase6, TRUE, 6405)
(Missing_Iterator_Update_4_T_Loop19_TestCase5, TRUE, 6509)
(Missing_Iterator_Update_4_T_Loop19_TestCase4, TRUE, 6348)
(Missing_Iterator_Update_4_T_Loop21_TestCase8, TRUE, 9215)
(Missing_Iterator_Update_4_T_Loop19_TestCase6, TRUE, 6353)
(Missing_Iterator_Update_4_T_Loop19_TestCase7, TRUE, 6921)
(Missing_Iterator_Update_4_T_Loop21_TestCase9, TRUE, 184030)
(Missing_Iterator_Update_4_T_Loop19_TestCase3, TRUE, 6324)
(Missing_Iterator_Update_4_T_Loop19_TestCase2, TRUE, 6286)
(Missing_Iterator_Update_4_T_Loop19_TestCase1, TRUE, 6301)
(Missing_Iterator_Update_4_T_Loop21_TestCase10, INCONCLUSIVE, 130892)</t>
  </si>
  <si>
    <t>(Missing_Iterator_Update_4_T_Loop0_TestCase8, TRUE, 9510)
(Missing_Iterator_Update_4_T_Loop0_TestCase9, TRUE, 119149)
(Missing_Iterator_Update_4_T_Loop0_TestCase10, INCONCLUSIVE, 131119)
(Missing_Iterator_Update_4_T_Loop0_TestCase2, TRUE, 6368)
(Missing_Iterator_Update_4_T_Loop0_TestCase3, TRUE, 6252)
(Missing_Iterator_Update_4_T_Loop0_TestCase1, TRUE, 6271)
(Missing_Iterator_Update_4_T_Loop0_TestCase4, TRUE, 6322)
(Missing_Iterator_Update_4_T_Loop0_TestCase5, TRUE, 6309)
(Missing_Iterator_Update_4_T_Loop0_TestCase7, TRUE, 7891)
(Missing_Iterator_Update_4_T_Loop0_TestCase6, TRUE, 6397)</t>
  </si>
  <si>
    <t>(Missing_Iterator_Update_4_T_Loop21_TestCase0, TRUE, 183035)
(Missing_Iterator_Update_4_T_Loop19_TestCase0, TRUE, 50872)</t>
  </si>
  <si>
    <t>(Missing_Iterator_Update_4_T_Loop0_TestCase0, TRUE, 182965)</t>
  </si>
  <si>
    <t>(Missing_Iterator_Update_4_NT_Loop19_TestCase10, FALSE(termination), 2051)
(Missing_Iterator_Update_4_NT_Loop19_TestCase7, FALSE(termination), 2281)
(Missing_Iterator_Update_4_NT_Loop21_TestCase9, FALSE(termination), 73549)
(Missing_Iterator_Update_4_NT_Loop21_TestCase8, FALSE(termination), 4709)
(Missing_Iterator_Update_4_NT_Loop19_TestCase6, FALSE(termination), 1970)
(Missing_Iterator_Update_4_NT_Loop19_TestCase4, TRUE, 6272)
(Missing_Iterator_Update_4_NT_Loop19_TestCase5, TRUE, 6278)
(Missing_Iterator_Update_4_NT_Loop19_TestCase1, TRUE, 6278)
(Missing_Iterator_Update_4_NT_Loop19_TestCase2, TRUE, 6261)
(Missing_Iterator_Update_4_NT_Loop19_TestCase3, TRUE, 6598)
(Missing_Iterator_Update_4_NT_Loop21_TestCase1, TRUE, 6281)
(Missing_Iterator_Update_4_NT_Loop21_TestCase3, TRUE, 6375)
(Missing_Iterator_Update_4_NT_Loop21_TestCase2, TRUE, 6265)
(Missing_Iterator_Update_4_NT_Loop19_TestCase8, FALSE(termination), 2060)
(Missing_Iterator_Update_4_NT_Loop21_TestCase6, FALSE(termination), 2086)
(Missing_Iterator_Update_4_NT_Loop21_TestCase7, FALSE(termination), 3952)
(Missing_Iterator_Update_4_NT_Loop19_TestCase9, FALSE(termination), 2100)
(Missing_Iterator_Update_4_NT_Loop21_TestCase10, INCONCLUSIVE, 130994)
(Missing_Iterator_Update_4_NT_Loop21_TestCase5, TRUE, 6253)
(Missing_Iterator_Update_4_NT_Loop21_TestCase4, TRUE, 6381)</t>
  </si>
  <si>
    <t>(Missing_Iterator_Update_4_NT_Loop0_TestCase9, Terminated, 300724)
(Missing_Iterator_Update_4_NT_Loop0_TestCase8, Terminated, 300943)
(Missing_Iterator_Update_4_NT_Loop0_TestCase10, INCONCLUSIVE, 131009)
(Missing_Iterator_Update_4_NT_Loop0_TestCase5, TRUE, 6352)
(Missing_Iterator_Update_4_NT_Loop0_TestCase4, TRUE, 6402)
(Missing_Iterator_Update_4_NT_Loop0_TestCase6, INCONCLUSIVE, 133953)
(Missing_Iterator_Update_4_NT_Loop0_TestCase7, INCONCLUSIVE, 181443)
(Missing_Iterator_Update_4_NT_Loop0_TestCase3, TRUE, 6637)
(Missing_Iterator_Update_4_NT_Loop0_TestCase2, TRUE, 6547)
(Missing_Iterator_Update_4_NT_Loop0_TestCase1, TRUE, 6337)</t>
  </si>
  <si>
    <t>(Missing_Iterator_Update_4_NT_Loop19_TestCase0, FALSE(termination), 2206)
(Missing_Iterator_Update_4_NT_Loop21_TestCase0, FALSE(termination), 2133)</t>
  </si>
  <si>
    <t>(Missing_Iterator_Update_4_NT_Loop0_TestCase0, Terminated, 300554)</t>
  </si>
  <si>
    <t>(Missing_Iterator_Update_3_T_Loop36_TestCase1, FALSE(termination), 2673)
(Missing_Iterator_Update_3_T_Loop36_TestCase2, FALSE(termination), 2657)
(Missing_Iterator_Update_3_T_Loop30_TestCase8, TRUE, 7801)
(Missing_Iterator_Update_3_T_Loop30_TestCase9, TRUE, 7812)
(Missing_Iterator_Update_3_T_Loop36_TestCase3, FALSE(termination), 2684)
(Missing_Iterator_Update_3_T_Loop36_TestCase7, FALSE(termination), 2664)
(Missing_Iterator_Update_3_T_Loop36_TestCase6, FALSE(termination), 2682)
(Missing_Iterator_Update_3_T_Loop36_TestCase4, FALSE(termination), 2611)
(Missing_Iterator_Update_3_T_Loop36_TestCase5, FALSE(termination), 3328)
(Missing_Iterator_Update_3_T_Loop36_TestCase8, FALSE(termination), 3316)
(Missing_Iterator_Update_3_T_Loop30_TestCase2, TRUE, 6435)
(Missing_Iterator_Update_3_T_Loop30_TestCase3, TRUE, 7015)
(Missing_Iterator_Update_3_T_Loop36_TestCase9, FALSE(termination), 3996)
(Missing_Iterator_Update_3_T_Loop30_TestCase1, TRUE, 6435)
(Missing_Iterator_Update_3_T_Loop30_TestCase4, TRUE, 7004)
(Missing_Iterator_Update_3_T_Loop30_TestCase5, TRUE, 7794)
(Missing_Iterator_Update_3_T_Loop30_TestCase7, TRUE, 7003)
(Missing_Iterator_Update_3_T_Loop30_TestCase6, TRUE, 6417)
(Missing_Iterator_Update_3_T_Loop30_TestCase10, TRUE, 7839)
(Missing_Iterator_Update_3_T_Loop36_TestCase10, FALSE(termination), 3990)</t>
  </si>
  <si>
    <t>(Missing_Iterator_Update_3_T_Loop0_TestCase5, TRUE, 7819)
(Missing_Iterator_Update_3_T_Loop0_TestCase4, TRUE, 7036)
(Missing_Iterator_Update_3_T_Loop0_TestCase6, TRUE, 6418)
(Missing_Iterator_Update_3_T_Loop0_TestCase7, TRUE, 7011)
(Missing_Iterator_Update_3_T_Loop0_TestCase3, TRUE, 7873)
(Missing_Iterator_Update_3_T_Loop0_TestCase2, TRUE, 6461)
(Missing_Iterator_Update_3_T_Loop0_TestCase1, TRUE, 6450)
(Missing_Iterator_Update_3_T_Loop0_TestCase10, TRUE, 7846)
(Missing_Iterator_Update_3_T_Loop0_TestCase9, TRUE, 7842)
(Missing_Iterator_Update_3_T_Loop0_TestCase8, TRUE, 7857)</t>
  </si>
  <si>
    <t>(Missing_Iterator_Update_3_T_Loop36_TestCase0, FALSE(termination), 2794)
(Missing_Iterator_Update_3_T_Loop30_TestCase0, TRUE, 60435)</t>
  </si>
  <si>
    <t>(Missing_Iterator_Update_3_T_Loop0_TestCase0, FALSE(termination), 3350)</t>
  </si>
  <si>
    <t>(Missing_Iterator_Update_3_NT_Loop29_TestCase10, TRUE, 7800)
(Missing_Iterator_Update_3_NT_Loop35_TestCase8, FALSE(termination), 3309)
(Missing_Iterator_Update_3_NT_Loop35_TestCase9, FALSE(termination), 4069)
(Missing_Iterator_Update_3_NT_Loop35_TestCase10, FALSE(termination), 4042)
(Missing_Iterator_Update_3_NT_Loop29_TestCase4, TRUE, 7002)
(Missing_Iterator_Update_3_NT_Loop29_TestCase5, TRUE, 7814)
(Missing_Iterator_Update_3_NT_Loop29_TestCase7, TRUE, 7025)
(Missing_Iterator_Update_3_NT_Loop29_TestCase6, TRUE, 6454)
(Missing_Iterator_Update_3_NT_Loop29_TestCase2, TRUE, 6419)
(Missing_Iterator_Update_3_NT_Loop29_TestCase3, TRUE, 7017)
(Missing_Iterator_Update_3_NT_Loop29_TestCase1, TRUE, 6417)
(Missing_Iterator_Update_3_NT_Loop29_TestCase8, TRUE, 7810)
(Missing_Iterator_Update_3_NT_Loop29_TestCase9, TRUE, 7837)
(Missing_Iterator_Update_3_NT_Loop35_TestCase7, FALSE(termination), 2679)
(Missing_Iterator_Update_3_NT_Loop35_TestCase6, FALSE(termination), 2601)
(Missing_Iterator_Update_3_NT_Loop35_TestCase4, FALSE(termination), 2667)
(Missing_Iterator_Update_3_NT_Loop35_TestCase5, FALSE(termination), 3312)
(Missing_Iterator_Update_3_NT_Loop35_TestCase1, FALSE(termination), 2692)
(Missing_Iterator_Update_3_NT_Loop35_TestCase2, FALSE(termination), 2655)
(Missing_Iterator_Update_3_NT_Loop35_TestCase3, FALSE(termination), 2664)</t>
  </si>
  <si>
    <t>(Missing_Iterator_Update_3_NT_Loop0_TestCase9, FALSE(termination), 3920)
(Missing_Iterator_Update_3_NT_Loop0_TestCase8, FALSE(termination), 3272)
(Missing_Iterator_Update_3_NT_Loop0_TestCase6, FALSE(termination), 3230)
(Missing_Iterator_Update_3_NT_Loop0_TestCase7, FALSE(termination), 3277)
(Missing_Iterator_Update_3_NT_Loop0_TestCase5, TRUE, 7774)
(Missing_Iterator_Update_3_NT_Loop0_TestCase4, TRUE, 7024)
(Missing_Iterator_Update_3_NT_Loop0_TestCase10, FALSE(termination), 3901)
(Missing_Iterator_Update_3_NT_Loop0_TestCase1, TRUE, 6386)
(Missing_Iterator_Update_3_NT_Loop0_TestCase3, TRUE, 7823)
(Missing_Iterator_Update_3_NT_Loop0_TestCase2, TRUE, 6521)</t>
  </si>
  <si>
    <t>(Missing_Iterator_Update_3_NT_Loop29_TestCase0, TRUE, 61742)
(Missing_Iterator_Update_3_NT_Loop35_TestCase0, FALSE(termination), 2753)</t>
  </si>
  <si>
    <t>(Missing_Iterator_Update_3_NT_Loop0_TestCase0, FALSE(termination), 3355)</t>
  </si>
  <si>
    <t>(Missing_Iterator_Update_2_T_Loop28_TestCase10, FALSE(termination), 2009)
(Missing_Iterator_Update_2_T_Loop28_TestCase4, TRUE, 6279)
(Missing_Iterator_Update_2_T_Loop28_TestCase5, FALSE(termination), 2063)
(Missing_Iterator_Update_2_T_Loop28_TestCase7, FALSE(termination), 2060)
(Missing_Iterator_Update_2_T_Loop28_TestCase6, FALSE(termination), 2063)
(Missing_Iterator_Update_2_T_Loop28_TestCase2, FALSE(termination), 2095)
(Missing_Iterator_Update_2_T_Loop28_TestCase3, FALSE(termination), 2060)
(Missing_Iterator_Update_2_T_Loop28_TestCase1, TRUE, 6284)
(Missing_Iterator_Update_2_T_Loop28_TestCase8, FALSE(termination), 2078)
(Missing_Iterator_Update_2_T_Loop28_TestCase9, FALSE(termination), 2056)</t>
  </si>
  <si>
    <t>(Missing_Iterator_Update_2_T_Loop0_TestCase10, FALSE(termination), 2065)
(Missing_Iterator_Update_2_T_Loop0_TestCase9, FALSE(termination), 2073)
(Missing_Iterator_Update_2_T_Loop0_TestCase8, FALSE(termination), 2055)
(Missing_Iterator_Update_2_T_Loop0_TestCase6, FALSE(termination), 2022)
(Missing_Iterator_Update_2_T_Loop0_TestCase7, FALSE(termination), 2077)
(Missing_Iterator_Update_2_T_Loop0_TestCase5, FALSE(termination), 2051)
(Missing_Iterator_Update_2_T_Loop0_TestCase4, TRUE, 6293)
(Missing_Iterator_Update_2_T_Loop0_TestCase1, TRUE, 6317)
(Missing_Iterator_Update_2_T_Loop0_TestCase3, FALSE(termination), 2050)
(Missing_Iterator_Update_2_T_Loop0_TestCase2, FALSE(termination), 2047)</t>
  </si>
  <si>
    <t>(Missing_Iterator_Update_2_T_Loop28_TestCase0, FALSE(termination), 2014)</t>
  </si>
  <si>
    <t>(Missing_Iterator_Update_2_T_Loop0_TestCase0, FALSE(termination), 2033)</t>
  </si>
  <si>
    <t>(Missing_Iterator_Update_2_NT_Loop28_TestCase7, FALSE(termination), 2073)
(Missing_Iterator_Update_2_NT_Loop28_TestCase6, FALSE(termination), 2003)
(Missing_Iterator_Update_2_NT_Loop28_TestCase4, TRUE, 6304)
(Missing_Iterator_Update_2_NT_Loop28_TestCase5, FALSE(termination), 2064)
(Missing_Iterator_Update_2_NT_Loop28_TestCase1, TRUE, 6286)
(Missing_Iterator_Update_2_NT_Loop28_TestCase2, FALSE(termination), 2086)
(Missing_Iterator_Update_2_NT_Loop28_TestCase3, FALSE(termination), 2070)
(Missing_Iterator_Update_2_NT_Loop28_TestCase10, FALSE(termination), 2058)
(Missing_Iterator_Update_2_NT_Loop28_TestCase8, FALSE(termination), 2094)
(Missing_Iterator_Update_2_NT_Loop28_TestCase9, FALSE(termination), 2074)</t>
  </si>
  <si>
    <t>(Missing_Iterator_Update_2_NT_Loop0_TestCase8, FALSE(termination), 2093)
(Missing_Iterator_Update_2_NT_Loop0_TestCase9, FALSE(termination), 2075)
(Missing_Iterator_Update_2_NT_Loop0_TestCase10, FALSE(termination), 2085)
(Missing_Iterator_Update_2_NT_Loop0_TestCase2, FALSE(termination), 2078)
(Missing_Iterator_Update_2_NT_Loop0_TestCase3, FALSE(termination), 2067)
(Missing_Iterator_Update_2_NT_Loop0_TestCase1, TRUE, 6381)
(Missing_Iterator_Update_2_NT_Loop0_TestCase4, TRUE, 6367)
(Missing_Iterator_Update_2_NT_Loop0_TestCase5, FALSE(termination), 2081)
(Missing_Iterator_Update_2_NT_Loop0_TestCase7, FALSE(termination), 2063)
(Missing_Iterator_Update_2_NT_Loop0_TestCase6, FALSE(termination), 2101)</t>
  </si>
  <si>
    <t>(Missing_Iterator_Update_2_NT_Loop28_TestCase0, FALSE(termination), 2023)</t>
  </si>
  <si>
    <t>(Missing_Iterator_Update_2_NT_Loop0_TestCase0, FALSE(termination), 2051)</t>
  </si>
  <si>
    <t>(Missing_Iterator_Update_1_T_Loop35_TestCase5, TRUE, 179638)
(Missing_Iterator_Update_1_T_Loop35_TestCase4, TRUE, 178569)
(Missing_Iterator_Update_1_T_Loop35_TestCase6, TRUE, 176220)
(Missing_Iterator_Update_1_T_Loop35_TestCase7, TRUE, 177000)
(Missing_Iterator_Update_1_T_Loop35_TestCase3, TRUE, 178130)
(Missing_Iterator_Update_1_T_Loop35_TestCase2, TRUE, 176018)
(Missing_Iterator_Update_1_T_Loop35_TestCase1, TRUE, 181263)
(Missing_Iterator_Update_1_T_Loop17_TestCase8, TRUE, 6348)
(Missing_Iterator_Update_1_T_Loop17_TestCase9, TRUE, 6394)
(Missing_Iterator_Update_1_T_Loop35_TestCase10, TRUE, 179564)
(Missing_Iterator_Update_1_T_Loop17_TestCase2, TRUE, 6355)
(Missing_Iterator_Update_1_T_Loop17_TestCase3, TRUE, 6401)
(Missing_Iterator_Update_1_T_Loop17_TestCase1, TRUE, 6325)
(Missing_Iterator_Update_1_T_Loop17_TestCase4, TRUE, 6385)
(Missing_Iterator_Update_1_T_Loop17_TestCase5, TRUE, 6578)
(Missing_Iterator_Update_1_T_Loop17_TestCase7, TRUE, 6353)
(Missing_Iterator_Update_1_T_Loop17_TestCase6, TRUE, 6381)
(Missing_Iterator_Update_1_T_Loop17_TestCase10, TRUE, 6420)
(Missing_Iterator_Update_1_T_Loop35_TestCase9, TRUE, 177015)
(Missing_Iterator_Update_1_T_Loop35_TestCase8, TRUE, 177242)</t>
  </si>
  <si>
    <t>(Missing_Iterator_Update_1_T_Loop0_TestCase10, TRUE, 176219)
(Missing_Iterator_Update_1_T_Loop0_TestCase2, TRUE, 177445)
(Missing_Iterator_Update_1_T_Loop0_TestCase3, TRUE, 176388)
(Missing_Iterator_Update_1_T_Loop0_TestCase1, TRUE, 176240)
(Missing_Iterator_Update_1_T_Loop0_TestCase4, TRUE, 176418)
(Missing_Iterator_Update_1_T_Loop0_TestCase5, TRUE, 176968)
(Missing_Iterator_Update_1_T_Loop0_TestCase7, TRUE, 176466)
(Missing_Iterator_Update_1_T_Loop0_TestCase6, TRUE, 176963)
(Missing_Iterator_Update_1_T_Loop0_TestCase8, TRUE, 176257)
(Missing_Iterator_Update_1_T_Loop0_TestCase9, TRUE, 176495)</t>
  </si>
  <si>
    <t>(Missing_Iterator_Update_1_T_Loop35_TestCase0, TRUE, 178541)
(Missing_Iterator_Update_1_T_Loop17_TestCase0, TRUE, 6365)</t>
  </si>
  <si>
    <t>(Missing_Iterator_Update_1_T_Loop0_TestCase0, TRUE, 179433)</t>
  </si>
  <si>
    <t>(Missing_Iterator_Update_1_NT_Loop18_TestCase3, TRUE, 1535)
(Missing_Iterator_Update_1_NT_Loop18_TestCase2, TRUE, 1588)
(Missing_Iterator_Update_1_NT_Loop18_TestCase1, TRUE, 1611)
(Missing_Iterator_Update_1_NT_Loop18_TestCase5, TRUE, 1579)
(Missing_Iterator_Update_1_NT_Loop18_TestCase4, TRUE, 1577)
(Missing_Iterator_Update_1_NT_Loop18_TestCase6, TRUE, 1674)
(Missing_Iterator_Update_1_NT_Loop18_TestCase7, TRUE, 1598)
(Missing_Iterator_Update_1_NT_Loop18_TestCase10, TRUE, 1509)
(Missing_Iterator_Update_1_NT_Loop18_TestCase9, TRUE, 1597)
(Missing_Iterator_Update_1_NT_Loop18_TestCase8, TRUE, 1617)</t>
  </si>
  <si>
    <t>(Missing_Iterator_Update_1_NT_Loop0_TestCase10, INCONCLUSIVE, 226964)
(Missing_Iterator_Update_1_NT_Loop0_TestCase8, INCONCLUSIVE, 228151)
(Missing_Iterator_Update_1_NT_Loop0_TestCase9, INCONCLUSIVE, 228882)
(Missing_Iterator_Update_1_NT_Loop0_TestCase7, INCONCLUSIVE, 228528)
(Missing_Iterator_Update_1_NT_Loop0_TestCase6, INCONCLUSIVE, 229263)
(Missing_Iterator_Update_1_NT_Loop0_TestCase4, TRUE, 176924)
(Missing_Iterator_Update_1_NT_Loop0_TestCase5, TRUE, 177038)
(Missing_Iterator_Update_1_NT_Loop0_TestCase1, TRUE, 177055)
(Missing_Iterator_Update_1_NT_Loop0_TestCase2, TRUE, 177044)
(Missing_Iterator_Update_1_NT_Loop0_TestCase3, TRUE, 176527)</t>
  </si>
  <si>
    <t>(Missing_Iterator_Update_1_NT_Loop18_TestCase0, TRUE, 1588)</t>
  </si>
  <si>
    <t>(Missing_Iterator_Update_1_NT_Loop0_TestCase0, INCONCLUSIVE, 298859)</t>
  </si>
  <si>
    <t>(Missing_Initialization_1_T_Loop14_TestCase10, TRUE, 8153)
(Missing_Initialization_1_T_Loop14_TestCase9, TRUE, 8226)
(Missing_Initialization_1_T_Loop14_TestCase8, TRUE, 8731)
(Missing_Initialization_1_T_Loop17_TestCase10, TRUE, 8419)
(Missing_Initialization_1_T_Loop17_TestCase9, TRUE, 8064)
(Missing_Initialization_1_T_Loop17_TestCase8, TRUE, 8846)
(Missing_Initialization_1_T_Loop17_TestCase5, TRUE, 6544)
(Missing_Initialization_1_T_Loop14_TestCase1, TRUE, 6455)
(Missing_Initialization_1_T_Loop17_TestCase4, TRUE, 6386)
(Missing_Initialization_1_T_Loop17_TestCase6, TRUE, 8484)
(Missing_Initialization_1_T_Loop14_TestCase3, TRUE, 6750)
(Missing_Initialization_1_T_Loop14_TestCase2, TRUE, 6587)
(Missing_Initialization_1_T_Loop17_TestCase7, TRUE, 8023)
(Missing_Initialization_1_T_Loop17_TestCase3, TRUE, 6654)
(Missing_Initialization_1_T_Loop14_TestCase6, TRUE, 8757)
(Missing_Initialization_1_T_Loop14_TestCase7, TRUE, 7966)
(Missing_Initialization_1_T_Loop17_TestCase2, TRUE, 6412)
(Missing_Initialization_1_T_Loop14_TestCase5, TRUE, 6609)
(Missing_Initialization_1_T_Loop14_TestCase4, TRUE, 6416)
(Missing_Initialization_1_T_Loop17_TestCase1, TRUE, 6454)</t>
  </si>
  <si>
    <t>(Missing_Initialization_1_T_Loop0_TestCase9, TRUE, 8010)
(Missing_Initialization_1_T_Loop0_TestCase8, TRUE, 8432)
(Missing_Initialization_1_T_Loop0_TestCase10, TRUE, 7950)
(Missing_Initialization_1_T_Loop0_TestCase1, TRUE, 6323)
(Missing_Initialization_1_T_Loop0_TestCase3, TRUE, 6390)
(Missing_Initialization_1_T_Loop0_TestCase2, TRUE, 6316)
(Missing_Initialization_1_T_Loop0_TestCase6, TRUE, 8429)
(Missing_Initialization_1_T_Loop0_TestCase7, TRUE, 7938)
(Missing_Initialization_1_T_Loop0_TestCase5, TRUE, 6423)
(Missing_Initialization_1_T_Loop0_TestCase4, TRUE, 6341)</t>
  </si>
  <si>
    <t>(Missing_Initialization_1_T_Loop14_TestCase0, TRUE, 187890)
(Missing_Initialization_1_T_Loop17_TestCase0, TRUE, 187986)</t>
  </si>
  <si>
    <t>(Missing_Initialization_1_T_Loop0_TestCase0, TRUE, 187886)</t>
  </si>
  <si>
    <t>(Missing_Initialization_1_NT_Loop14_TestCase7, FALSE(termination), 2606)
(Missing_Initialization_1_NT_Loop14_TestCase6, FALSE(termination), 2585)
(Missing_Initialization_1_NT_Loop14_TestCase4, TRUE, 6197)
(Missing_Initialization_1_NT_Loop14_TestCase5, TRUE, 6674)
(Missing_Initialization_1_NT_Loop14_TestCase1, TRUE, 6662)
(Missing_Initialization_1_NT_Loop16_TestCase9, INCONCLUSIVE, 130634)
(Missing_Initialization_1_NT_Loop14_TestCase2, TRUE, 6270)
(Missing_Initialization_1_NT_Loop14_TestCase3, TRUE, 6493)
(Missing_Initialization_1_NT_Loop16_TestCase10, FALSE(termination), 2658)
(Missing_Initialization_1_NT_Loop16_TestCase8, INCONCLUSIVE, 129959)
(Missing_Initialization_1_NT_Loop14_TestCase10, FALSE(termination), 2595)
(Missing_Initialization_1_NT_Loop16_TestCase5, TRUE, 6323)
(Missing_Initialization_1_NT_Loop16_TestCase4, TRUE, 6576)
(Missing_Initialization_1_NT_Loop16_TestCase6, FALSE(termination), 2702)
(Missing_Initialization_1_NT_Loop16_TestCase7, FALSE(termination), 2567)
(Missing_Initialization_1_NT_Loop16_TestCase3, TRUE, 6300)
(Missing_Initialization_1_NT_Loop14_TestCase8, INCONCLUSIVE, 130316)
(Missing_Initialization_1_NT_Loop14_TestCase9, INCONCLUSIVE, 130715)
(Missing_Initialization_1_NT_Loop16_TestCase2, TRUE, 6303)
(Missing_Initialization_1_NT_Loop16_TestCase1, TRUE, 6278)</t>
  </si>
  <si>
    <t>(Missing_Initialization_1_NT_Loop0_TestCase9, INCONCLUSIVE, 130090)
(Missing_Initialization_1_NT_Loop0_TestCase8, INCONCLUSIVE, 130393)
(Missing_Initialization_1_NT_Loop0_TestCase10, FALSE(termination), 2558)
(Missing_Initialization_1_NT_Loop0_TestCase1, TRUE, 6297)
(Missing_Initialization_1_NT_Loop0_TestCase3, TRUE, 6493)
(Missing_Initialization_1_NT_Loop0_TestCase2, TRUE, 6304)
(Missing_Initialization_1_NT_Loop0_TestCase6, FALSE(termination), 2739)
(Missing_Initialization_1_NT_Loop0_TestCase7, FALSE(termination), 2644)
(Missing_Initialization_1_NT_Loop0_TestCase5, TRUE, 6378)
(Missing_Initialization_1_NT_Loop0_TestCase4, TRUE, 6329)</t>
  </si>
  <si>
    <t>(Missing_Initialization_1_NT_Loop14_TestCase0, FALSE(termination), 2745)
(Missing_Initialization_1_NT_Loop16_TestCase0, FALSE(termination), 2773)</t>
  </si>
  <si>
    <t>(Missing_Initialization_1_NT_Loop0_TestCase0, FALSE(termination), 2742)</t>
  </si>
  <si>
    <t>27/30</t>
  </si>
  <si>
    <t>(Missing_Corner-case_Handling_4_T_Loop36_TestCase3, TRUE, 7396)
(Missing_Corner-case_Handling_4_T_Loop23_TestCase8, TRUE, 9077)
(Missing_Corner-case_Handling_4_T_Loop23_TestCase9, TRUE, 9864)
(Missing_Corner-case_Handling_4_T_Loop36_TestCase2, TRUE, 7352)
(Missing_Corner-case_Handling_4_T_Loop36_TestCase1, TRUE, 7391)
(Missing_Corner-case_Handling_4_T_Loop36_TestCase5, TRUE, 7342)
(Missing_Corner-case_Handling_4_T_Loop50_TestCase8, TRUE, 9102)
(Missing_Corner-case_Handling_4_T_Loop50_TestCase10, INCONCLUSIVE, 132948)
(Missing_Corner-case_Handling_4_T_Loop50_TestCase9, TRUE, 10146)
(Missing_Corner-case_Handling_4_T_Loop36_TestCase4, TRUE, 7574)
(Missing_Corner-case_Handling_4_T_Loop36_TestCase6, TRUE, 7461)
(Missing_Corner-case_Handling_4_T_Loop36_TestCase7, TRUE, 7458)
(Missing_Corner-case_Handling_4_T_Loop23_TestCase10, INCONCLUSIVE, 132761)
(Missing_Corner-case_Handling_4_T_Loop36_TestCase10, INCONCLUSIVE, 132934)
(Missing_Corner-case_Handling_4_T_Loop50_TestCase7, TRUE, 7542)
(Missing_Corner-case_Handling_4_T_Loop23_TestCase1, TRUE, 7341)
(Missing_Corner-case_Handling_4_T_Loop50_TestCase6, TRUE, 7693)
(Missing_Corner-case_Handling_4_T_Loop36_TestCase9, TRUE, 9935)
(Missing_Corner-case_Handling_4_T_Loop50_TestCase4, TRUE, 7392)
(Missing_Corner-case_Handling_4_T_Loop23_TestCase2, TRUE, 7350)
(Missing_Corner-case_Handling_4_T_Loop23_TestCase3, TRUE, 7401)
(Missing_Corner-case_Handling_4_T_Loop50_TestCase5, TRUE, 7391)
(Missing_Corner-case_Handling_4_T_Loop36_TestCase8, TRUE, 9051)
(Missing_Corner-case_Handling_4_T_Loop23_TestCase7, TRUE, 7500)
(Missing_Corner-case_Handling_4_T_Loop50_TestCase1, TRUE, 7422)
(Missing_Corner-case_Handling_4_T_Loop23_TestCase6, TRUE, 7382)
(Missing_Corner-case_Handling_4_T_Loop23_TestCase4, TRUE, 7501)
(Missing_Corner-case_Handling_4_T_Loop50_TestCase2, TRUE, 7367)
(Missing_Corner-case_Handling_4_T_Loop50_TestCase3, TRUE, 7613)
(Missing_Corner-case_Handling_4_T_Loop23_TestCase5, TRUE, 7328)</t>
  </si>
  <si>
    <t>(Missing_Corner-case_Handling_4_T_Loop0_TestCase10, INCONCLUSIVE, 132911)
(Missing_Corner-case_Handling_4_T_Loop0_TestCase1, TRUE, 7477)
(Missing_Corner-case_Handling_4_T_Loop0_TestCase2, TRUE, 7518)
(Missing_Corner-case_Handling_4_T_Loop0_TestCase3, TRUE, 7460)
(Missing_Corner-case_Handling_4_T_Loop0_TestCase7, TRUE, 7598)
(Missing_Corner-case_Handling_4_T_Loop0_TestCase6, TRUE, 7604)
(Missing_Corner-case_Handling_4_T_Loop0_TestCase4, TRUE, 7464)
(Missing_Corner-case_Handling_4_T_Loop0_TestCase5, TRUE, 7502)
(Missing_Corner-case_Handling_4_T_Loop0_TestCase8, TRUE, 9512)
(Missing_Corner-case_Handling_4_T_Loop0_TestCase9, TRUE, 10142)</t>
  </si>
  <si>
    <t>(Missing_Corner-case_Handling_4_T_Loop36_TestCase0, TRUE, 182842)
(Missing_Corner-case_Handling_4_T_Loop23_TestCase0, TRUE, 122320)
(Missing_Corner-case_Handling_4_T_Loop50_TestCase0, TRUE, 183247)</t>
  </si>
  <si>
    <t>(Missing_Corner-case_Handling_4_T_Loop0_TestCase0, TRUE, 182937)</t>
  </si>
  <si>
    <t>23/25</t>
  </si>
  <si>
    <t>(Missing_Corner-case_Handling_4_NT_Loop51_TestCase5, TRUE, 7403)
(Missing_Corner-case_Handling_4_NT_Loop37_TestCase8, TRUE, 9105)
(Missing_Corner-case_Handling_4_NT_Loop24_TestCase9, TRUE, 9895)
(Missing_Corner-case_Handling_4_NT_Loop24_TestCase8, TRUE, 9057)
(Missing_Corner-case_Handling_4_NT_Loop37_TestCase9, TRUE, 9871)
(Missing_Corner-case_Handling_4_NT_Loop51_TestCase4, TRUE, 7489)
(Missing_Corner-case_Handling_4_NT_Loop51_TestCase6, FALSE(termination), 2889)
(Missing_Corner-case_Handling_4_NT_Loop51_TestCase7, FALSE(termination), 3614)
(Missing_Corner-case_Handling_4_NT_Loop51_TestCase3, TRUE, 7380)
(Missing_Corner-case_Handling_4_NT_Loop51_TestCase2, TRUE, 7373)
(Missing_Corner-case_Handling_4_NT_Loop51_TestCase1, TRUE, 7357)
(Missing_Corner-case_Handling_4_NT_Loop37_TestCase1, TRUE, 7346)
(Missing_Corner-case_Handling_4_NT_Loop51_TestCase10, INCONCLUSIVE, 132820)
(Missing_Corner-case_Handling_4_NT_Loop24_TestCase1, TRUE, 7358)
(Missing_Corner-case_Handling_4_NT_Loop37_TestCase2, TRUE, 7388)
(Missing_Corner-case_Handling_4_NT_Loop24_TestCase3, TRUE, 7373)
(Missing_Corner-case_Handling_4_NT_Loop24_TestCase2, TRUE, 7357)
(Missing_Corner-case_Handling_4_NT_Loop37_TestCase3, TRUE, 7399)
(Missing_Corner-case_Handling_4_NT_Loop37_TestCase7, TRUE, 7559)
(Missing_Corner-case_Handling_4_NT_Loop24_TestCase6, TRUE, 7378)
(Missing_Corner-case_Handling_4_NT_Loop24_TestCase7, TRUE, 7459)
(Missing_Corner-case_Handling_4_NT_Loop37_TestCase6, TRUE, 7446)
(Missing_Corner-case_Handling_4_NT_Loop51_TestCase9, FALSE(termination), 5273)
(Missing_Corner-case_Handling_4_NT_Loop37_TestCase4, TRUE, 7376)
(Missing_Corner-case_Handling_4_NT_Loop24_TestCase5, TRUE, 7344)
(Missing_Corner-case_Handling_4_NT_Loop24_TestCase4, TRUE, 7355)
(Missing_Corner-case_Handling_4_NT_Loop37_TestCase5, TRUE, 7414)
(Missing_Corner-case_Handling_4_NT_Loop51_TestCase8, FALSE(termination), 4483)
(Missing_Corner-case_Handling_4_NT_Loop24_TestCase10, INCONCLUSIVE, 132691)
(Missing_Corner-case_Handling_4_NT_Loop37_TestCase10, INCONCLUSIVE, 132760)</t>
  </si>
  <si>
    <t>(Missing_Corner-case_Handling_4_NT_Loop0_TestCase10, INCONCLUSIVE, 133013)
(Missing_Corner-case_Handling_4_NT_Loop0_TestCase8, FALSE(termination), 4566)
(Missing_Corner-case_Handling_4_NT_Loop0_TestCase9, FALSE(termination), 5337)
(Missing_Corner-case_Handling_4_NT_Loop0_TestCase4, TRUE, 7796)
(Missing_Corner-case_Handling_4_NT_Loop0_TestCase5, TRUE, 7487)
(Missing_Corner-case_Handling_4_NT_Loop0_TestCase7, FALSE(termination), 3647)
(Missing_Corner-case_Handling_4_NT_Loop0_TestCase6, FALSE(termination), 2918)
(Missing_Corner-case_Handling_4_NT_Loop0_TestCase2, TRUE, 7491)
(Missing_Corner-case_Handling_4_NT_Loop0_TestCase3, TRUE, 7452)
(Missing_Corner-case_Handling_4_NT_Loop0_TestCase1, TRUE, 7500)</t>
  </si>
  <si>
    <t>(Missing_Corner-case_Handling_4_NT_Loop51_TestCase0, FALSE(termination), 3372)
(Missing_Corner-case_Handling_4_NT_Loop24_TestCase0, TRUE, 121125)
(Missing_Corner-case_Handling_4_NT_Loop37_TestCase0, TRUE, 183038)</t>
  </si>
  <si>
    <t>(Missing_Corner-case_Handling_4_NT_Loop0_TestCase0, FALSE(termination), 3086)</t>
  </si>
  <si>
    <t>(Missing_Corner-case_Handling_3_T_Loop31_TestCase4, TRUE, 8339)
(Missing_Corner-case_Handling_3_T_Loop31_TestCase5, TRUE, 10067)
(Missing_Corner-case_Handling_3_T_Loop21_TestCase1, TRUE, 6440)
(Missing_Corner-case_Handling_3_T_Loop31_TestCase10, TRUE, 20884)
(Missing_Corner-case_Handling_3_T_Loop21_TestCase3, TRUE, 8090)
(Missing_Corner-case_Handling_3_T_Loop31_TestCase7, TRUE, 26813)
(Missing_Corner-case_Handling_3_T_Loop31_TestCase6, TRUE, 10125)
(Missing_Corner-case_Handling_3_T_Loop21_TestCase2, TRUE, 7850)
(Missing_Corner-case_Handling_3_T_Loop21_TestCase6, TRUE, 10114)
(Missing_Corner-case_Handling_3_T_Loop33_TestCase9, TRUE, 11197)
(Missing_Corner-case_Handling_3_T_Loop19_TestCase8, TRUE, 9963)
(Missing_Corner-case_Handling_3_T_Loop31_TestCase2, TRUE, 7924)
(Missing_Corner-case_Handling_3_T_Loop31_TestCase3, TRUE, 8760)
(Missing_Corner-case_Handling_3_T_Loop19_TestCase9, TRUE, 11185)
(Missing_Corner-case_Handling_3_T_Loop33_TestCase8, TRUE, 9893)
(Missing_Corner-case_Handling_3_T_Loop21_TestCase7, TRUE, 27133)
(Missing_Corner-case_Handling_3_T_Loop21_TestCase5, TRUE, 9770)
(Missing_Corner-case_Handling_3_T_Loop31_TestCase1, TRUE, 6448)
(Missing_Corner-case_Handling_3_T_Loop21_TestCase4, TRUE, 8250)
(Missing_Corner-case_Handling_3_T_Loop33_TestCase10, TRUE, 21859)
(Missing_Corner-case_Handling_3_T_Loop21_TestCase10, TRUE, 20676)
(Missing_Corner-case_Handling_3_T_Loop21_TestCase9, TRUE, 11249)
(Missing_Corner-case_Handling_3_T_Loop33_TestCase6, TRUE, 10083)
(Missing_Corner-case_Handling_3_T_Loop19_TestCase7, TRUE, 26918)
(Missing_Corner-case_Handling_3_T_Loop19_TestCase6, TRUE, 10145)
(Missing_Corner-case_Handling_3_T_Loop33_TestCase7, TRUE, 26788)
(Missing_Corner-case_Handling_3_T_Loop21_TestCase8, TRUE, 9951)
(Missing_Corner-case_Handling_3_T_Loop33_TestCase5, TRUE, 9748)
(Missing_Corner-case_Handling_3_T_Loop19_TestCase4, TRUE, 8264)
(Missing_Corner-case_Handling_3_T_Loop19_TestCase10, TRUE, 20976)
(Missing_Corner-case_Handling_3_T_Loop19_TestCase5, TRUE, 9771)
(Missing_Corner-case_Handling_3_T_Loop33_TestCase4, TRUE, 8354)
(Missing_Corner-case_Handling_3_T_Loop19_TestCase1, TRUE, 6425)
(Missing_Corner-case_Handling_3_T_Loop33_TestCase1, TRUE, 6462)
(Missing_Corner-case_Handling_3_T_Loop33_TestCase3, TRUE, 8000)
(Missing_Corner-case_Handling_3_T_Loop19_TestCase2, TRUE, 7907)
(Missing_Corner-case_Handling_3_T_Loop31_TestCase8, TRUE, 9933)
(Missing_Corner-case_Handling_3_T_Loop31_TestCase9, TRUE, 11235)
(Missing_Corner-case_Handling_3_T_Loop19_TestCase3, TRUE, 7974)
(Missing_Corner-case_Handling_3_T_Loop33_TestCase2, TRUE, 8324)</t>
  </si>
  <si>
    <t>(Missing_Corner-case_Handling_3_T_Loop0_TestCase10, TRUE, 21234)
(Missing_Corner-case_Handling_3_T_Loop0_TestCase9, TRUE, 11384)
(Missing_Corner-case_Handling_3_T_Loop0_TestCase8, TRUE, 10015)
(Missing_Corner-case_Handling_3_T_Loop0_TestCase6, TRUE, 10089)
(Missing_Corner-case_Handling_3_T_Loop0_TestCase7, TRUE, 27027)
(Missing_Corner-case_Handling_3_T_Loop0_TestCase5, TRUE, 9746)
(Missing_Corner-case_Handling_3_T_Loop0_TestCase4, TRUE, 8283)
(Missing_Corner-case_Handling_3_T_Loop0_TestCase1, TRUE, 6448)
(Missing_Corner-case_Handling_3_T_Loop0_TestCase3, TRUE, 8020)
(Missing_Corner-case_Handling_3_T_Loop0_TestCase2, TRUE, 8237)</t>
  </si>
  <si>
    <t>(Missing_Corner-case_Handling_3_T_Loop21_TestCase0, TRUE, 182940)
(Missing_Corner-case_Handling_3_T_Loop31_TestCase0, TRUE, 182725)
(Missing_Corner-case_Handling_3_T_Loop33_TestCase0, TRUE, 182603)
(Missing_Corner-case_Handling_3_T_Loop19_TestCase0, TRUE, 182670)</t>
  </si>
  <si>
    <t>(Missing_Corner-case_Handling_3_T_Loop0_TestCase0, TRUE, 182653)</t>
  </si>
  <si>
    <t>(Missing_Corner-case_Handling_3_NT_Loop21_TestCase10, Terminated, 300661)
(Missing_Corner-case_Handling_3_NT_Loop21_TestCase4, Terminated, 300590)
(Missing_Corner-case_Handling_3_NT_Loop21_TestCase5, Terminated, 300604)
(Missing_Corner-case_Handling_3_NT_Loop31_TestCase1, INCONCLUSIVE, 205178)
(Missing_Corner-case_Handling_3_NT_Loop33_TestCase10, Terminated, 300496)
(Missing_Corner-case_Handling_3_NT_Loop33_TestCase8, INCONCLUSIVE, 281026)
(Missing_Corner-case_Handling_3_NT_Loop31_TestCase3, Terminated, 301091)
(Missing_Corner-case_Handling_3_NT_Loop19_TestCase9, Terminated, 301039)
(Missing_Corner-case_Handling_3_NT_Loop21_TestCase7, Terminated, 300710)
(Missing_Corner-case_Handling_3_NT_Loop21_TestCase6, Terminated, 300771)
(Missing_Corner-case_Handling_3_NT_Loop19_TestCase8, INCONCLUSIVE, 282219)
(Missing_Corner-case_Handling_3_NT_Loop31_TestCase2, INCONCLUSIVE, 275150)
(Missing_Corner-case_Handling_3_NT_Loop33_TestCase9, Terminated, 300945)
(Missing_Corner-case_Handling_3_NT_Loop31_TestCase6, Terminated, 300828)
(Missing_Corner-case_Handling_3_NT_Loop21_TestCase2, INCONCLUSIVE, 278108)
(Missing_Corner-case_Handling_3_NT_Loop21_TestCase3, Terminated, 301196)
(Missing_Corner-case_Handling_3_NT_Loop31_TestCase7, Terminated, 300615)
(Missing_Corner-case_Handling_3_NT_Loop31_TestCase5, Terminated, 300651)
(Missing_Corner-case_Handling_3_NT_Loop21_TestCase1, INCONCLUSIVE, 205830)
(Missing_Corner-case_Handling_3_NT_Loop31_TestCase4, Terminated, 300562)
(Missing_Corner-case_Handling_3_NT_Loop31_TestCase10, Terminated, 300540)
(Missing_Corner-case_Handling_3_NT_Loop19_TestCase10, Terminated, 300782)
(Missing_Corner-case_Handling_3_NT_Loop33_TestCase2, INCONCLUSIVE, 280665)
(Missing_Corner-case_Handling_3_NT_Loop31_TestCase9, Terminated, 301063)
(Missing_Corner-case_Handling_3_NT_Loop19_TestCase3, Terminated, 301353)
(Missing_Corner-case_Handling_3_NT_Loop19_TestCase2, INCONCLUSIVE, 281077)
(Missing_Corner-case_Handling_3_NT_Loop31_TestCase8, INCONCLUSIVE, 281054)
(Missing_Corner-case_Handling_3_NT_Loop33_TestCase3, Terminated, 301055)
(Missing_Corner-case_Handling_3_NT_Loop33_TestCase1, INCONCLUSIVE, 207315)
(Missing_Corner-case_Handling_3_NT_Loop19_TestCase1, INCONCLUSIVE, 205220)
(Missing_Corner-case_Handling_3_NT_Loop33_TestCase4, Terminated, 300551)
(Missing_Corner-case_Handling_3_NT_Loop19_TestCase5, Terminated, 300789)
(Missing_Corner-case_Handling_3_NT_Loop19_TestCase4, Terminated, 300574)
(Missing_Corner-case_Handling_3_NT_Loop33_TestCase5, Terminated, 300537)
(Missing_Corner-case_Handling_3_NT_Loop33_TestCase7, Terminated, 300524)
(Missing_Corner-case_Handling_3_NT_Loop19_TestCase6, Terminated, 301069)
(Missing_Corner-case_Handling_3_NT_Loop21_TestCase8, INCONCLUSIVE, 293256)
(Missing_Corner-case_Handling_3_NT_Loop21_TestCase9, Terminated, 301087)
(Missing_Corner-case_Handling_3_NT_Loop19_TestCase7, Terminated, 300707)
(Missing_Corner-case_Handling_3_NT_Loop33_TestCase6, Terminated, 300710)</t>
  </si>
  <si>
    <t>(Missing_Corner-case_Handling_3_NT_Loop0_TestCase10, Terminated, 300553)
(Missing_Corner-case_Handling_3_NT_Loop0_TestCase8, INCONCLUSIVE, 283929)
(Missing_Corner-case_Handling_3_NT_Loop0_TestCase9, Terminated, 301146)
(Missing_Corner-case_Handling_3_NT_Loop0_TestCase7, Terminated, 300731)
(Missing_Corner-case_Handling_3_NT_Loop0_TestCase6, Terminated, 300734)
(Missing_Corner-case_Handling_3_NT_Loop0_TestCase4, Terminated, 300550)
(Missing_Corner-case_Handling_3_NT_Loop0_TestCase5, Terminated, 300456)
(Missing_Corner-case_Handling_3_NT_Loop0_TestCase1, INCONCLUSIVE, 207321)
(Missing_Corner-case_Handling_3_NT_Loop0_TestCase2, INCONCLUSIVE, 278695)
(Missing_Corner-case_Handling_3_NT_Loop0_TestCase3, Terminated, 300938)</t>
  </si>
  <si>
    <t>(Missing_Corner-case_Handling_3_NT_Loop31_TestCase0, Terminated, 300421)
(Missing_Corner-case_Handling_3_NT_Loop21_TestCase0, Terminated, 300447)
(Missing_Corner-case_Handling_3_NT_Loop19_TestCase0, Terminated, 300486)
(Missing_Corner-case_Handling_3_NT_Loop33_TestCase0, Terminated, 300397)</t>
  </si>
  <si>
    <t>(Missing_Corner-case_Handling_3_NT_Loop0_TestCase0, Terminated, 300393)</t>
  </si>
  <si>
    <t>(Missing_Corner-case_Handling_2_T_Loop16_TestCase1, TRUE, 6238)
(Missing_Corner-case_Handling_2_T_Loop16_TestCase2, TRUE, 6347)
(Missing_Corner-case_Handling_2_T_Loop16_TestCase3, TRUE, 7938)
(Missing_Corner-case_Handling_2_T_Loop16_TestCase7, TRUE, 6249)
(Missing_Corner-case_Handling_2_T_Loop16_TestCase6, TRUE, 6332)
(Missing_Corner-case_Handling_2_T_Loop16_TestCase4, TRUE, 7790)
(Missing_Corner-case_Handling_2_T_Loop16_TestCase5, TRUE, 8403)
(Missing_Corner-case_Handling_2_T_Loop16_TestCase10, TRUE, 6293)
(Missing_Corner-case_Handling_2_T_Loop16_TestCase8, TRUE, 6272)
(Missing_Corner-case_Handling_2_T_Loop16_TestCase9, TRUE, 6419)</t>
  </si>
  <si>
    <t>(Missing_Corner-case_Handling_2_T_Loop0_TestCase5, TRUE, 8275)
(Missing_Corner-case_Handling_2_T_Loop0_TestCase4, TRUE, 7666)
(Missing_Corner-case_Handling_2_T_Loop0_TestCase6, TRUE, 6296)
(Missing_Corner-case_Handling_2_T_Loop0_TestCase7, TRUE, 6250)
(Missing_Corner-case_Handling_2_T_Loop0_TestCase3, TRUE, 6861)
(Missing_Corner-case_Handling_2_T_Loop0_TestCase2, TRUE, 6388)
(Missing_Corner-case_Handling_2_T_Loop0_TestCase1, TRUE, 6261)
(Missing_Corner-case_Handling_2_T_Loop0_TestCase10, TRUE, 6241)
(Missing_Corner-case_Handling_2_T_Loop0_TestCase9, TRUE, 6261)
(Missing_Corner-case_Handling_2_T_Loop0_TestCase8, TRUE, 6268)</t>
  </si>
  <si>
    <t>(Missing_Corner-case_Handling_2_T_Loop16_TestCase0, TRUE, 48207)</t>
  </si>
  <si>
    <t>(Missing_Corner-case_Handling_2_T_Loop0_TestCase0, TRUE, 35221)</t>
  </si>
  <si>
    <t>(Missing_Corner-case_Handling_2_NT_Loop17_TestCase2, TRUE, 6321)
(Missing_Corner-case_Handling_2_NT_Loop17_TestCase3, TRUE, 7717)
(Missing_Corner-case_Handling_2_NT_Loop17_TestCase1, TRUE, 6274)
(Missing_Corner-case_Handling_2_NT_Loop17_TestCase4, TRUE, 7786)
(Missing_Corner-case_Handling_2_NT_Loop17_TestCase5, TRUE, 8380)
(Missing_Corner-case_Handling_2_NT_Loop17_TestCase7, FALSE(termination), 2662)
(Missing_Corner-case_Handling_2_NT_Loop17_TestCase6, FALSE(termination), 2002)
(Missing_Corner-case_Handling_2_NT_Loop17_TestCase8, FALSE(termination), 3925)
(Missing_Corner-case_Handling_2_NT_Loop17_TestCase9, FALSE(termination), 3937)
(Missing_Corner-case_Handling_2_NT_Loop17_TestCase10, FALSE(termination), 4521)</t>
  </si>
  <si>
    <t>(Missing_Corner-case_Handling_2_NT_Loop0_TestCase9, INCONCLUSIVE, 130669)
(Missing_Corner-case_Handling_2_NT_Loop0_TestCase8, INCONCLUSIVE, 130449)
(Missing_Corner-case_Handling_2_NT_Loop0_TestCase10, INCONCLUSIVE, 130764)
(Missing_Corner-case_Handling_2_NT_Loop0_TestCase3, TRUE, 7100)
(Missing_Corner-case_Handling_2_NT_Loop0_TestCase2, TRUE, 6576)
(Missing_Corner-case_Handling_2_NT_Loop0_TestCase1, TRUE, 6372)
(Missing_Corner-case_Handling_2_NT_Loop0_TestCase5, TRUE, 8555)
(Missing_Corner-case_Handling_2_NT_Loop0_TestCase4, TRUE, 7740)
(Missing_Corner-case_Handling_2_NT_Loop0_TestCase6, INCONCLUSIVE, 129983)
(Missing_Corner-case_Handling_2_NT_Loop0_TestCase7, INCONCLUSIVE, 130484)</t>
  </si>
  <si>
    <t>(Missing_Corner-case_Handling_2_NT_Loop17_TestCase0, FALSE(termination), 2077)</t>
  </si>
  <si>
    <t>(Missing_Corner-case_Handling_2_NT_Loop0_TestCase0, INCONCLUSIVE, 157090)</t>
  </si>
  <si>
    <t>(Missing_Corner-case_Handling_1_T_Loop40_TestCase8, TRUE, 9974)
(Missing_Corner-case_Handling_1_T_Loop40_TestCase9, TRUE, 6344)
(Missing_Corner-case_Handling_1_T_Loop40_TestCase1, TRUE, 6315)
(Missing_Corner-case_Handling_1_T_Loop40_TestCase2, TRUE, 6398)
(Missing_Corner-case_Handling_1_T_Loop40_TestCase3, TRUE, 6382)
(Missing_Corner-case_Handling_1_T_Loop40_TestCase7, TRUE, 9931)
(Missing_Corner-case_Handling_1_T_Loop40_TestCase6, TRUE, 9922)
(Missing_Corner-case_Handling_1_T_Loop40_TestCase4, TRUE, 6342)
(Missing_Corner-case_Handling_1_T_Loop40_TestCase5, TRUE, 6373)
(Missing_Corner-case_Handling_1_T_Loop40_TestCase10, TRUE, 6369)</t>
  </si>
  <si>
    <t>(Missing_Corner-case_Handling_1_T_Loop0_TestCase8, TRUE, 10018)
(Missing_Corner-case_Handling_1_T_Loop0_TestCase9, TRUE, 6403)
(Missing_Corner-case_Handling_1_T_Loop0_TestCase10, TRUE, 6434)
(Missing_Corner-case_Handling_1_T_Loop0_TestCase1, TRUE, 6448)
(Missing_Corner-case_Handling_1_T_Loop0_TestCase2, TRUE, 6434)
(Missing_Corner-case_Handling_1_T_Loop0_TestCase3, TRUE, 6415)
(Missing_Corner-case_Handling_1_T_Loop0_TestCase7, TRUE, 9989)
(Missing_Corner-case_Handling_1_T_Loop0_TestCase6, TRUE, 10051)
(Missing_Corner-case_Handling_1_T_Loop0_TestCase4, TRUE, 6442)
(Missing_Corner-case_Handling_1_T_Loop0_TestCase5, TRUE, 6440)</t>
  </si>
  <si>
    <t>(Missing_Corner-case_Handling_1_T_Loop40_TestCase0, TRUE, 190960)</t>
  </si>
  <si>
    <t>(Missing_Corner-case_Handling_1_T_Loop0_TestCase0, TRUE, 192208)</t>
  </si>
  <si>
    <t>(Missing_Corner-case_Handling_1_NT_Loop40_TestCase5, TRUE, 6378)
(Missing_Corner-case_Handling_1_NT_Loop40_TestCase4, TRUE, 6324)
(Missing_Corner-case_Handling_1_NT_Loop40_TestCase6, FALSE(termination), 177963)
(Missing_Corner-case_Handling_1_NT_Loop40_TestCase7, FALSE(termination), 178590)
(Missing_Corner-case_Handling_1_NT_Loop40_TestCase3, TRUE, 6504)
(Missing_Corner-case_Handling_1_NT_Loop40_TestCase2, TRUE, 6452)
(Missing_Corner-case_Handling_1_NT_Loop40_TestCase1, TRUE, 6384)
(Missing_Corner-case_Handling_1_NT_Loop40_TestCase10, FALSE(termination), 177387)
(Missing_Corner-case_Handling_1_NT_Loop40_TestCase9, FALSE(termination), 2111)
(Missing_Corner-case_Handling_1_NT_Loop40_TestCase8, FALSE(termination), 177832)</t>
  </si>
  <si>
    <t>(Missing_Corner-case_Handling_1_NT_Loop0_TestCase9, FALSE(termination), 2036)
(Missing_Corner-case_Handling_1_NT_Loop0_TestCase8, FALSE(termination), 101478)
(Missing_Corner-case_Handling_1_NT_Loop0_TestCase6, FALSE(termination), 101753)
(Missing_Corner-case_Handling_1_NT_Loop0_TestCase7, FALSE(termination), 101254)
(Missing_Corner-case_Handling_1_NT_Loop0_TestCase5, TRUE, 6450)
(Missing_Corner-case_Handling_1_NT_Loop0_TestCase4, TRUE, 6473)
(Missing_Corner-case_Handling_1_NT_Loop0_TestCase1, TRUE, 6444)
(Missing_Corner-case_Handling_1_NT_Loop0_TestCase10, FALSE(termination), 101753)
(Missing_Corner-case_Handling_1_NT_Loop0_TestCase3, TRUE, 6354)
(Missing_Corner-case_Handling_1_NT_Loop0_TestCase2, TRUE, 6427)</t>
  </si>
  <si>
    <t>(Missing_Corner-case_Handling_1_NT_Loop40_TestCase0, FALSE(termination), 2086)</t>
  </si>
  <si>
    <t>(Missing_Corner-case_Handling_1_NT_Loop0_TestCase0, FALSE(termination), 2055)</t>
  </si>
  <si>
    <t>(Incorrect_Update_for_Loop_Iterator_3_NT_Loop18_TestCase4, TRUE, 7803)
(Incorrect_Update_for_Loop_Iterator_3_NT_Loop18_TestCase5, TRUE, 7769)
(Incorrect_Update_for_Loop_Iterator_3_NT_Loop18_TestCase7, FALSE(termination), 3926)
(Incorrect_Update_for_Loop_Iterator_3_NT_Loop18_TestCase6, FALSE(termination), 3916)
(Incorrect_Update_for_Loop_Iterator_3_NT_Loop18_TestCase2, TRUE, 7719)
(Incorrect_Update_for_Loop_Iterator_3_NT_Loop18_TestCase3, TRUE, 6265)
(Incorrect_Update_for_Loop_Iterator_3_NT_Loop18_TestCase1, TRUE, 7755)
(Incorrect_Update_for_Loop_Iterator_3_NT_Loop18_TestCase8, FALSE(termination), 3925)
(Incorrect_Update_for_Loop_Iterator_3_NT_Loop18_TestCase10, FALSE(termination), 3944)
(Incorrect_Update_for_Loop_Iterator_3_NT_Loop18_TestCase9, FALSE(termination), 3922)</t>
  </si>
  <si>
    <t>(Incorrect_Update_for_Loop_Iterator_3_NT_Loop0_TestCase8, FALSE(termination), 3929)
(Incorrect_Update_for_Loop_Iterator_3_NT_Loop0_TestCase9, FALSE(termination), 3907)
(Incorrect_Update_for_Loop_Iterator_3_NT_Loop0_TestCase10, FALSE(termination), 3936)
(Incorrect_Update_for_Loop_Iterator_3_NT_Loop0_TestCase2, TRUE, 7733)
(Incorrect_Update_for_Loop_Iterator_3_NT_Loop0_TestCase3, TRUE, 6253)
(Incorrect_Update_for_Loop_Iterator_3_NT_Loop0_TestCase1, TRUE, 7762)
(Incorrect_Update_for_Loop_Iterator_3_NT_Loop0_TestCase4, TRUE, 7772)
(Incorrect_Update_for_Loop_Iterator_3_NT_Loop0_TestCase5, TRUE, 7742)
(Incorrect_Update_for_Loop_Iterator_3_NT_Loop0_TestCase7, FALSE(termination), 3926)
(Incorrect_Update_for_Loop_Iterator_3_NT_Loop0_TestCase6, FALSE(termination), 3937)</t>
  </si>
  <si>
    <t>(Incorrect_Update_for_Loop_Iterator_3_NT_Loop18_TestCase0, FALSE(termination), 2130)</t>
  </si>
  <si>
    <t>(Incorrect_Update_for_Loop_Iterator_3_NT_Loop0_TestCase0, FALSE(termination), 2050)</t>
  </si>
  <si>
    <t>(Incorrect_Update_for_Loop_Iterator_2_T_Loop14_TestCase9, TRUE, 9945)
(Incorrect_Update_for_Loop_Iterator_2_T_Loop14_TestCase8, TRUE, 9907)
(Incorrect_Update_for_Loop_Iterator_2_T_Loop14_TestCase10, TRUE, 9958)
(Incorrect_Update_for_Loop_Iterator_2_T_Loop14_TestCase6, TRUE, 7286)
(Incorrect_Update_for_Loop_Iterator_2_T_Loop14_TestCase7, TRUE, 7836)
(Incorrect_Update_for_Loop_Iterator_2_T_Loop14_TestCase5, TRUE, 9877)
(Incorrect_Update_for_Loop_Iterator_2_T_Loop14_TestCase4, TRUE, 7860)
(Incorrect_Update_for_Loop_Iterator_2_T_Loop14_TestCase1, TRUE, 6345)
(Incorrect_Update_for_Loop_Iterator_2_T_Loop14_TestCase3, TRUE, 7826)
(Incorrect_Update_for_Loop_Iterator_2_T_Loop14_TestCase2, TRUE, 7256)</t>
  </si>
  <si>
    <t>(Incorrect_Update_for_Loop_Iterator_2_T_Loop0_TestCase8, TRUE, 9920)
(Incorrect_Update_for_Loop_Iterator_2_T_Loop0_TestCase9, TRUE, 9905)
(Incorrect_Update_for_Loop_Iterator_2_T_Loop0_TestCase10, TRUE, 9916)
(Incorrect_Update_for_Loop_Iterator_2_T_Loop0_TestCase1, TRUE, 6272)
(Incorrect_Update_for_Loop_Iterator_2_T_Loop0_TestCase2, TRUE, 6361)
(Incorrect_Update_for_Loop_Iterator_2_T_Loop0_TestCase3, TRUE, 7756)
(Incorrect_Update_for_Loop_Iterator_2_T_Loop0_TestCase7, TRUE, 7805)
(Incorrect_Update_for_Loop_Iterator_2_T_Loop0_TestCase6, TRUE, 6330)
(Incorrect_Update_for_Loop_Iterator_2_T_Loop0_TestCase4, TRUE, 7798)
(Incorrect_Update_for_Loop_Iterator_2_T_Loop0_TestCase5, TRUE, 9787)</t>
  </si>
  <si>
    <t>(Incorrect_Update_for_Loop_Iterator_2_T_Loop14_TestCase0, TRUE, 121462)</t>
  </si>
  <si>
    <t>(Incorrect_Update_for_Loop_Iterator_2_T_Loop0_TestCase0, TRUE, 125702)</t>
  </si>
  <si>
    <t>(Incorrect_Update_for_Loop_Iterator_2_NT_Loop15_TestCase9, FALSE(termination), 10808)
(Incorrect_Update_for_Loop_Iterator_2_NT_Loop15_TestCase8, FALSE(termination), 10885)
(Incorrect_Update_for_Loop_Iterator_2_NT_Loop15_TestCase1, TRUE, 6326)
(Incorrect_Update_for_Loop_Iterator_2_NT_Loop15_TestCase3, TRUE, 7814)
(Incorrect_Update_for_Loop_Iterator_2_NT_Loop15_TestCase2, TRUE, 7187)
(Incorrect_Update_for_Loop_Iterator_2_NT_Loop15_TestCase6, FALSE(termination), 10793)
(Incorrect_Update_for_Loop_Iterator_2_NT_Loop15_TestCase7, FALSE(termination), 10780)
(Incorrect_Update_for_Loop_Iterator_2_NT_Loop15_TestCase5, TRUE, 9824)
(Incorrect_Update_for_Loop_Iterator_2_NT_Loop15_TestCase4, TRUE, 7861)
(Incorrect_Update_for_Loop_Iterator_2_NT_Loop15_TestCase10, FALSE(termination), 10875)</t>
  </si>
  <si>
    <t>(Incorrect_Update_for_Loop_Iterator_2_NT_Loop0_TestCase9, FALSE(termination), 10863)
(Incorrect_Update_for_Loop_Iterator_2_NT_Loop0_TestCase8, FALSE(termination), 10889)
(Incorrect_Update_for_Loop_Iterator_2_NT_Loop0_TestCase6, FALSE(termination), 10801)
(Incorrect_Update_for_Loop_Iterator_2_NT_Loop0_TestCase10, FALSE(termination), 10857)
(Incorrect_Update_for_Loop_Iterator_2_NT_Loop0_TestCase7, FALSE(termination), 10915)
(Incorrect_Update_for_Loop_Iterator_2_NT_Loop0_TestCase5, TRUE, 9729)
(Incorrect_Update_for_Loop_Iterator_2_NT_Loop0_TestCase4, TRUE, 7830)
(Incorrect_Update_for_Loop_Iterator_2_NT_Loop0_TestCase1, TRUE, 6263)
(Incorrect_Update_for_Loop_Iterator_2_NT_Loop0_TestCase3, TRUE, 7756)
(Incorrect_Update_for_Loop_Iterator_2_NT_Loop0_TestCase2, TRUE, 6321)</t>
  </si>
  <si>
    <t>(Incorrect_Update_for_Loop_Iterator_2_NT_Loop15_TestCase0, FALSE(termination), 71603)</t>
  </si>
  <si>
    <t>(Incorrect_Update_for_Loop_Iterator_2_NT_Loop0_TestCase0, FALSE(termination), 62936)</t>
  </si>
  <si>
    <t>(Incorrect_Update_for_Loop_Iterator_1_T_Loop19_TestCase9, TRUE, 6366)
(Incorrect_Update_for_Loop_Iterator_1_T_Loop19_TestCase10, TRUE, 6365)
(Incorrect_Update_for_Loop_Iterator_1_T_Loop19_TestCase8, TRUE, 6370)
(Incorrect_Update_for_Loop_Iterator_1_T_Loop19_TestCase3, TRUE, 6364)
(Incorrect_Update_for_Loop_Iterator_1_T_Loop19_TestCase2, TRUE, 6369)
(Incorrect_Update_for_Loop_Iterator_1_T_Loop19_TestCase1, TRUE, 6387)
(Incorrect_Update_for_Loop_Iterator_1_T_Loop19_TestCase5, TRUE, 6396)
(Incorrect_Update_for_Loop_Iterator_1_T_Loop19_TestCase4, TRUE, 6738)
(Incorrect_Update_for_Loop_Iterator_1_T_Loop19_TestCase6, TRUE, 6377)
(Incorrect_Update_for_Loop_Iterator_1_T_Loop19_TestCase7, TRUE, 6297)</t>
  </si>
  <si>
    <t>(Incorrect_Update_for_Loop_Iterator_1_T_Loop0_TestCase5, TRUE, 6342)
(Incorrect_Update_for_Loop_Iterator_1_T_Loop0_TestCase4, TRUE, 6295)
(Incorrect_Update_for_Loop_Iterator_1_T_Loop0_TestCase6, TRUE, 6338)
(Incorrect_Update_for_Loop_Iterator_1_T_Loop0_TestCase7, TRUE, 6342)
(Incorrect_Update_for_Loop_Iterator_1_T_Loop0_TestCase3, TRUE, 6337)
(Incorrect_Update_for_Loop_Iterator_1_T_Loop0_TestCase2, TRUE, 6315)
(Incorrect_Update_for_Loop_Iterator_1_T_Loop0_TestCase10, TRUE, 6316)
(Incorrect_Update_for_Loop_Iterator_1_T_Loop0_TestCase1, TRUE, 6332)
(Incorrect_Update_for_Loop_Iterator_1_T_Loop0_TestCase9, TRUE, 6323)
(Incorrect_Update_for_Loop_Iterator_1_T_Loop0_TestCase8, TRUE, 6351)</t>
  </si>
  <si>
    <t>(Incorrect_Update_for_Loop_Iterator_1_T_Loop19_TestCase0, TRUE, 181802)</t>
  </si>
  <si>
    <t>(Incorrect_Update_for_Loop_Iterator_1_T_Loop0_TestCase0, TRUE, 126396)</t>
  </si>
  <si>
    <t>(Incorrect_Update_for_Loop_Iterator_1_NT_Loop19_TestCase2, TRUE, 8337)
(Incorrect_Update_for_Loop_Iterator_1_NT_Loop19_TestCase3, TRUE, 7770)
(Incorrect_Update_for_Loop_Iterator_1_NT_Loop19_TestCase1, TRUE, 8331)
(Incorrect_Update_for_Loop_Iterator_1_NT_Loop19_TestCase10, FALSE(termination), 2561)
(Incorrect_Update_for_Loop_Iterator_1_NT_Loop19_TestCase4, TRUE, 7711)
(Incorrect_Update_for_Loop_Iterator_1_NT_Loop19_TestCase5, TRUE, 7739)
(Incorrect_Update_for_Loop_Iterator_1_NT_Loop19_TestCase7, FALSE(termination), 3873)
(Incorrect_Update_for_Loop_Iterator_1_NT_Loop19_TestCase6, FALSE(termination), 3876)
(Incorrect_Update_for_Loop_Iterator_1_NT_Loop19_TestCase8, FALSE(termination), 3235)
(Incorrect_Update_for_Loop_Iterator_1_NT_Loop19_TestCase9, FALSE(termination), 3194)</t>
  </si>
  <si>
    <t>(Incorrect_Update_for_Loop_Iterator_1_NT_Loop0_TestCase9, FALSE(termination), 3198)
(Incorrect_Update_for_Loop_Iterator_1_NT_Loop0_TestCase8, FALSE(termination), 3205)
(Incorrect_Update_for_Loop_Iterator_1_NT_Loop0_TestCase10, FALSE(termination), 2531)
(Incorrect_Update_for_Loop_Iterator_1_NT_Loop0_TestCase3, TRUE, 7733)
(Incorrect_Update_for_Loop_Iterator_1_NT_Loop0_TestCase2, TRUE, 8293)
(Incorrect_Update_for_Loop_Iterator_1_NT_Loop0_TestCase1, TRUE, 8292)
(Incorrect_Update_for_Loop_Iterator_1_NT_Loop0_TestCase5, TRUE, 7699)
(Incorrect_Update_for_Loop_Iterator_1_NT_Loop0_TestCase4, TRUE, 7737)
(Incorrect_Update_for_Loop_Iterator_1_NT_Loop0_TestCase6, FALSE(termination), 3818)
(Incorrect_Update_for_Loop_Iterator_1_NT_Loop0_TestCase7, FALSE(termination), 3819)</t>
  </si>
  <si>
    <t>(Incorrect_Update_for_Loop_Iterator_1_NT_Loop19_TestCase0, FALSE(termination), 2064)</t>
  </si>
  <si>
    <t>(Incorrect_Update_for_Loop_Iterator_1_NT_Loop0_TestCase0, FALSE(termination), 2106)</t>
  </si>
  <si>
    <t>(Incorrect_Initialization_4_T_Loop20_TestCase7, TRUE, 7705)
(Incorrect_Initialization_4_T_Loop20_TestCase6, TRUE, 7685)
(Incorrect_Initialization_4_T_Loop20_TestCase4, TRUE, 6247)
(Incorrect_Initialization_4_T_Loop20_TestCase5, TRUE, 6280)
(Incorrect_Initialization_4_T_Loop20_TestCase1, TRUE, 6302)
(Incorrect_Initialization_4_T_Loop20_TestCase2, TRUE, 6288)
(Incorrect_Initialization_4_T_Loop20_TestCase3, TRUE, 6290)
(Incorrect_Initialization_4_T_Loop20_TestCase10, TRUE, 7747)
(Incorrect_Initialization_4_T_Loop20_TestCase8, TRUE, 7724)
(Incorrect_Initialization_4_T_Loop20_TestCase9, TRUE, 7705)</t>
  </si>
  <si>
    <t>(Incorrect_Initialization_4_T_Loop0_TestCase8, TRUE, 7739)
(Incorrect_Initialization_4_T_Loop0_TestCase9, TRUE, 7696)
(Incorrect_Initialization_4_T_Loop0_TestCase10, TRUE, 7693)
(Incorrect_Initialization_4_T_Loop0_TestCase7, TRUE, 7683)
(Incorrect_Initialization_4_T_Loop0_TestCase6, TRUE, 7780)
(Incorrect_Initialization_4_T_Loop0_TestCase4, TRUE, 6273)
(Incorrect_Initialization_4_T_Loop0_TestCase5, TRUE, 6284)
(Incorrect_Initialization_4_T_Loop0_TestCase1, TRUE, 6280)
(Incorrect_Initialization_4_T_Loop0_TestCase2, TRUE, 6299)
(Incorrect_Initialization_4_T_Loop0_TestCase3, TRUE, 6474)</t>
  </si>
  <si>
    <t>(Incorrect_Initialization_4_T_Loop20_TestCase0, TRUE, 182476)</t>
  </si>
  <si>
    <t>(Incorrect_Initialization_4_T_Loop0_TestCase0, TRUE, 182545)</t>
  </si>
  <si>
    <t>(Incorrect_Initialization_4_NT_Loop19_TestCase2, TRUE, 6329)
(Incorrect_Initialization_4_NT_Loop19_TestCase3, TRUE, 6326)
(Incorrect_Initialization_4_NT_Loop19_TestCase1, TRUE, 6520)
(Incorrect_Initialization_4_NT_Loop19_TestCase4, TRUE, 6289)
(Incorrect_Initialization_4_NT_Loop19_TestCase5, TRUE, 6438)
(Incorrect_Initialization_4_NT_Loop19_TestCase7, FALSE(termination), 2061)
(Incorrect_Initialization_4_NT_Loop19_TestCase6, FALSE(termination), 2079)
(Incorrect_Initialization_4_NT_Loop19_TestCase10, FALSE(termination), 2069)
(Incorrect_Initialization_4_NT_Loop19_TestCase8, FALSE(termination), 2111)
(Incorrect_Initialization_4_NT_Loop19_TestCase9, FALSE(termination), 2066)</t>
  </si>
  <si>
    <t>(Incorrect_Initialization_4_NT_Loop0_TestCase7, FALSE(termination), 2027)
(Incorrect_Initialization_4_NT_Loop0_TestCase6, FALSE(termination), 2098)
(Incorrect_Initialization_4_NT_Loop0_TestCase4, TRUE, 6410)
(Incorrect_Initialization_4_NT_Loop0_TestCase5, TRUE, 6347)
(Incorrect_Initialization_4_NT_Loop0_TestCase1, TRUE, 6301)
(Incorrect_Initialization_4_NT_Loop0_TestCase2, TRUE, 6753)
(Incorrect_Initialization_4_NT_Loop0_TestCase3, TRUE, 6301)
(Incorrect_Initialization_4_NT_Loop0_TestCase8, FALSE(termination), 2123)
(Incorrect_Initialization_4_NT_Loop0_TestCase9, FALSE(termination), 2059)
(Incorrect_Initialization_4_NT_Loop0_TestCase10, FALSE(termination), 2041)</t>
  </si>
  <si>
    <t>(Incorrect_Initialization_4_NT_Loop19_TestCase0, FALSE(termination), 2145)</t>
  </si>
  <si>
    <t>(Incorrect_Initialization_4_NT_Loop0_TestCase0, FALSE(termination), 2639)</t>
  </si>
  <si>
    <t>(Incorrect_Initialization_3_T_Loop10_TestCase0, Terminated, 300937)
(Incorrect_Initialization_3_T_Loop21_TestCase0, TRUE, 3938)
(Incorrect_Initialization_3_T_Loop25_TestCase0, TRUE, 56863)</t>
  </si>
  <si>
    <t>(Incorrect_Initialization_3_T_Loop0_TestCase0, Terminated, 301137)</t>
  </si>
  <si>
    <t>(Incorrect_Initialization_3_T_Loop10_TestCase0, Terminated, 300850)
(Incorrect_Initialization_3_T_Loop21_TestCase0, TRUE, 3800)
(Incorrect_Initialization_3_T_Loop25_TestCase0, TRUE, 56976)</t>
  </si>
  <si>
    <t>(Incorrect_Initialization_3_T_Loop0_TestCase0, Terminated, 301120)</t>
  </si>
  <si>
    <t>(Incorrect_Initialization_3_NT_Loop10_TestCase0, Terminated, 301397)
(Incorrect_Initialization_3_NT_Loop25_TestCase0, FALSE(termination), 6755)
(Incorrect_Initialization_3_NT_Loop21_TestCase0, TRUE, 4932)</t>
  </si>
  <si>
    <t>(Incorrect_Initialization_3_NT_Loop0_TestCase0, Terminated, 300931)</t>
  </si>
  <si>
    <t>(Incorrect_Initialization_3_NT_Loop10_TestCase0, Terminated, 301358)
(Incorrect_Initialization_3_NT_Loop25_TestCase0, FALSE(termination), 6558)
(Incorrect_Initialization_3_NT_Loop21_TestCase0, TRUE, 4882)</t>
  </si>
  <si>
    <t>(Incorrect_Initialization_3_NT_Loop0_TestCase0, Terminated, 300853)</t>
  </si>
  <si>
    <t>(Incorrect_Initialization_2_T_Loop26_TestCase9, FALSE(termination), 2077)
(Incorrect_Initialization_2_T_Loop26_TestCase8, FALSE(termination), 2076)
(Incorrect_Initialization_2_T_Loop29_TestCase1, TRUE, 6389)
(Incorrect_Initialization_2_T_Loop26_TestCase10, FALSE(termination), 2074)
(Incorrect_Initialization_2_T_Loop29_TestCase10, FALSE(termination), 2077)
(Incorrect_Initialization_2_T_Loop29_TestCase2, FALSE(termination), 2056)
(Incorrect_Initialization_2_T_Loop29_TestCase3, FALSE(termination), 2076)
(Incorrect_Initialization_2_T_Loop29_TestCase7, FALSE(termination), 2069)
(Incorrect_Initialization_2_T_Loop29_TestCase6, FALSE(termination), 2083)
(Incorrect_Initialization_2_T_Loop29_TestCase4, FALSE(termination), 2078)
(Incorrect_Initialization_2_T_Loop29_TestCase5, FALSE(termination), 2099)
(Incorrect_Initialization_2_T_Loop29_TestCase8, FALSE(termination), 2073)
(Incorrect_Initialization_2_T_Loop29_TestCase9, FALSE(termination), 2085)
(Incorrect_Initialization_2_T_Loop26_TestCase3, FALSE(termination), 2085)
(Incorrect_Initialization_2_T_Loop26_TestCase2, FALSE(termination), 2087)
(Incorrect_Initialization_2_T_Loop26_TestCase1, TRUE, 6390)
(Incorrect_Initialization_2_T_Loop26_TestCase5, FALSE(termination), 2064)
(Incorrect_Initialization_2_T_Loop26_TestCase4, FALSE(termination), 2069)
(Incorrect_Initialization_2_T_Loop26_TestCase6, FALSE(termination), 2022)
(Incorrect_Initialization_2_T_Loop26_TestCase7, FALSE(termination), 2070)</t>
  </si>
  <si>
    <t>(Incorrect_Initialization_2_T_Loop0_TestCase9, FALSE(termination), 2619)
(Incorrect_Initialization_2_T_Loop0_TestCase8, FALSE(termination), 2586)
(Incorrect_Initialization_2_T_Loop0_TestCase3, FALSE(termination), 2603)
(Incorrect_Initialization_2_T_Loop0_TestCase2, FALSE(termination), 2592)
(Incorrect_Initialization_2_T_Loop0_TestCase1, TRUE, 6340)
(Incorrect_Initialization_2_T_Loop0_TestCase5, FALSE(termination), 2032)
(Incorrect_Initialization_2_T_Loop0_TestCase4, FALSE(termination), 2610)
(Incorrect_Initialization_2_T_Loop0_TestCase10, FALSE(termination), 2613)
(Incorrect_Initialization_2_T_Loop0_TestCase6, FALSE(termination), 2609)
(Incorrect_Initialization_2_T_Loop0_TestCase7, FALSE(termination), 2615)</t>
  </si>
  <si>
    <t>(Incorrect_Initialization_2_T_Loop29_TestCase0, FALSE(termination), 2134)
(Incorrect_Initialization_2_T_Loop26_TestCase0, FALSE(termination), 2118)</t>
  </si>
  <si>
    <t>(Incorrect_Initialization_2_T_Loop0_TestCase0, FALSE(termination), 2179)</t>
  </si>
  <si>
    <t>(Incorrect_Initialization_2_NT_Loop31_TestCase7, FALSE(termination), 2609)
(Incorrect_Initialization_2_NT_Loop31_TestCase6, FALSE(termination), 2597)
(Incorrect_Initialization_2_NT_Loop31_TestCase4, FALSE(termination), 2618)
(Incorrect_Initialization_2_NT_Loop31_TestCase5, FALSE(termination), 2042)
(Incorrect_Initialization_2_NT_Loop31_TestCase1, TRUE, 6420)
(Incorrect_Initialization_2_NT_Loop31_TestCase2, FALSE(termination), 2596)
(Incorrect_Initialization_2_NT_Loop31_TestCase3, FALSE(termination), 2605)
(Incorrect_Initialization_2_NT_Loop29_TestCase9, FALSE(termination), 2608)
(Incorrect_Initialization_2_NT_Loop29_TestCase8, FALSE(termination), 2604)
(Incorrect_Initialization_2_NT_Loop29_TestCase5, FALSE(termination), 2072)
(Incorrect_Initialization_2_NT_Loop29_TestCase4, FALSE(termination), 2612)
(Incorrect_Initialization_2_NT_Loop29_TestCase6, FALSE(termination), 2594)
(Incorrect_Initialization_2_NT_Loop31_TestCase10, FALSE(termination), 2613)
(Incorrect_Initialization_2_NT_Loop29_TestCase7, FALSE(termination), 2611)
(Incorrect_Initialization_2_NT_Loop29_TestCase3, FALSE(termination), 2611)
(Incorrect_Initialization_2_NT_Loop29_TestCase2, FALSE(termination), 2611)
(Incorrect_Initialization_2_NT_Loop29_TestCase1, TRUE, 6370)
(Incorrect_Initialization_2_NT_Loop31_TestCase8, FALSE(termination), 2618)
(Incorrect_Initialization_2_NT_Loop31_TestCase9, FALSE(termination), 2612)
(Incorrect_Initialization_2_NT_Loop29_TestCase10, FALSE(termination), 2612)</t>
  </si>
  <si>
    <t>(Incorrect_Initialization_2_NT_Loop0_TestCase10, FALSE(termination), 2605)
(Incorrect_Initialization_2_NT_Loop0_TestCase1, TRUE, 6337)
(Incorrect_Initialization_2_NT_Loop0_TestCase3, FALSE(termination), 2604)
(Incorrect_Initialization_2_NT_Loop0_TestCase2, FALSE(termination), 2619)
(Incorrect_Initialization_2_NT_Loop0_TestCase6, FALSE(termination), 2581)
(Incorrect_Initialization_2_NT_Loop0_TestCase7, FALSE(termination), 2572)
(Incorrect_Initialization_2_NT_Loop0_TestCase5, FALSE(termination), 2095)
(Incorrect_Initialization_2_NT_Loop0_TestCase4, FALSE(termination), 2624)
(Incorrect_Initialization_2_NT_Loop0_TestCase9, FALSE(termination), 2594)
(Incorrect_Initialization_2_NT_Loop0_TestCase8, FALSE(termination), 2589)</t>
  </si>
  <si>
    <t>(Incorrect_Initialization_2_NT_Loop31_TestCase0, FALSE(termination), 2160)
(Incorrect_Initialization_2_NT_Loop29_TestCase0, FALSE(termination), 2168)</t>
  </si>
  <si>
    <t>(Incorrect_Initialization_2_NT_Loop0_TestCase0, FALSE(termination), 2289)</t>
  </si>
  <si>
    <t>(Incorrect_Initialization_1_T_Loop18_TestCase8, TRUE, 9925)
(Incorrect_Initialization_1_T_Loop35_TestCase10, TRUE, 10090)
(Incorrect_Initialization_1_T_Loop18_TestCase9, TRUE, 10374)
(Incorrect_Initialization_1_T_Loop35_TestCase8, TRUE, 9940)
(Incorrect_Initialization_1_T_Loop31_TestCase9, TRUE, 9730)
(Incorrect_Initialization_1_T_Loop31_TestCase8, TRUE, 9740)
(Incorrect_Initialization_1_T_Loop35_TestCase9, TRUE, 10345)
(Incorrect_Initialization_1_T_Loop31_TestCase10, TRUE, 9737)
(Incorrect_Initialization_1_T_Loop15_TestCase8, TRUE, 9918)
(Incorrect_Initialization_1_T_Loop15_TestCase9, TRUE, 10371)
(Incorrect_Initialization_1_T_Loop15_TestCase2, TRUE, 9934)
(Incorrect_Initialization_1_T_Loop15_TestCase3, TRUE, 9915)
(Incorrect_Initialization_1_T_Loop15_TestCase1, TRUE, 9897)
(Incorrect_Initialization_1_T_Loop15_TestCase4, TRUE, 10030)
(Incorrect_Initialization_1_T_Loop15_TestCase5, TRUE, 9930)
(Incorrect_Initialization_1_T_Loop18_TestCase10, TRUE, 10073)
(Incorrect_Initialization_1_T_Loop15_TestCase7, TRUE, 10356)
(Incorrect_Initialization_1_T_Loop15_TestCase6, TRUE, 10357)
(Incorrect_Initialization_1_T_Loop35_TestCase7, TRUE, 10338)
(Incorrect_Initialization_1_T_Loop31_TestCase6, TRUE, 9756)
(Incorrect_Initialization_1_T_Loop18_TestCase2, TRUE, 9925)
(Incorrect_Initialization_1_T_Loop18_TestCase3, TRUE, 9945)
(Incorrect_Initialization_1_T_Loop31_TestCase7, TRUE, 9734)
(Incorrect_Initialization_1_T_Loop35_TestCase6, TRUE, 10349)
(Incorrect_Initialization_1_T_Loop35_TestCase4, TRUE, 10014)
(Incorrect_Initialization_1_T_Loop18_TestCase1, TRUE, 9825)
(Incorrect_Initialization_1_T_Loop31_TestCase5, TRUE, 9760)
(Incorrect_Initialization_1_T_Loop31_TestCase4, TRUE, 9750)
(Incorrect_Initialization_1_T_Loop35_TestCase5, TRUE, 9990)
(Incorrect_Initialization_1_T_Loop15_TestCase10, TRUE, 10077)
(Incorrect_Initialization_1_T_Loop35_TestCase1, TRUE, 9905)
(Incorrect_Initialization_1_T_Loop18_TestCase4, TRUE, 10026)
(Incorrect_Initialization_1_T_Loop31_TestCase1, TRUE, 9719)
(Incorrect_Initialization_1_T_Loop18_TestCase5, TRUE, 10004)
(Incorrect_Initialization_1_T_Loop35_TestCase2, TRUE, 9929)
(Incorrect_Initialization_1_T_Loop31_TestCase3, TRUE, 9760)
(Incorrect_Initialization_1_T_Loop18_TestCase7, TRUE, 10417)
(Incorrect_Initialization_1_T_Loop18_TestCase6, TRUE, 10351)
(Incorrect_Initialization_1_T_Loop31_TestCase2, TRUE, 9750)
(Incorrect_Initialization_1_T_Loop35_TestCase3, TRUE, 9938)</t>
  </si>
  <si>
    <t>(Incorrect_Initialization_1_T_Loop0_TestCase7, TRUE, 10294)
(Incorrect_Initialization_1_T_Loop0_TestCase6, TRUE, 10297)
(Incorrect_Initialization_1_T_Loop0_TestCase4, TRUE, 10057)
(Incorrect_Initialization_1_T_Loop0_TestCase5, TRUE, 9940)
(Incorrect_Initialization_1_T_Loop0_TestCase1, TRUE, 9781)
(Incorrect_Initialization_1_T_Loop0_TestCase2, TRUE, 9895)
(Incorrect_Initialization_1_T_Loop0_TestCase3, TRUE, 9879)
(Incorrect_Initialization_1_T_Loop0_TestCase8, TRUE, 9906)
(Incorrect_Initialization_1_T_Loop0_TestCase9, TRUE, 10271)
(Incorrect_Initialization_1_T_Loop0_TestCase10, TRUE, 10096)</t>
  </si>
  <si>
    <t>(Incorrect_Initialization_1_T_Loop15_TestCase0, Terminated, 300515)
(Incorrect_Initialization_1_T_Loop18_TestCase0, Terminated, 300536)
(Incorrect_Initialization_1_T_Loop31_TestCase0, TRUE, 4041)
(Incorrect_Initialization_1_T_Loop35_TestCase0, Terminated, 300415)</t>
  </si>
  <si>
    <t>(Incorrect_Initialization_1_T_Loop0_TestCase0, Terminated, 300494)</t>
  </si>
  <si>
    <t>27/27</t>
  </si>
  <si>
    <t>13/13</t>
  </si>
  <si>
    <t>(Incorrect_Initialization_1_NT_Loop16_TestCase3, FALSE(termination), 7226)
(Incorrect_Initialization_1_NT_Loop16_TestCase2, FALSE(termination), 7370)
(Incorrect_Initialization_1_NT_Loop16_TestCase1, TRUE, 9848)
(Incorrect_Initialization_1_NT_Loop16_TestCase5, FALSE(termination), 7184)
(Incorrect_Initialization_1_NT_Loop16_TestCase4, FALSE(termination), 7253)
(Incorrect_Initialization_1_NT_Loop16_TestCase6, FALSE(termination), 12954)
(Incorrect_Initialization_1_NT_Loop36_TestCase10, FALSE(termination), 9974)
(Incorrect_Initialization_1_NT_Loop16_TestCase7, FALSE(termination), 13017)
(Incorrect_Initialization_1_NT_Loop36_TestCase6, FALSE(termination), 12979)
(Incorrect_Initialization_1_NT_Loop19_TestCase8, FALSE(termination), 8174)
(Incorrect_Initialization_1_NT_Loop32_TestCase7, TRUE, 9723)
(Incorrect_Initialization_1_NT_Loop32_TestCase6, TRUE, 9749)
(Incorrect_Initialization_1_NT_Loop19_TestCase9, FALSE(termination), 12964)
(Incorrect_Initialization_1_NT_Loop36_TestCase7, FALSE(termination), 13035)
(Incorrect_Initialization_1_NT_Loop36_TestCase5, FALSE(termination), 7191)
(Incorrect_Initialization_1_NT_Loop32_TestCase4, TRUE, 9658)
(Incorrect_Initialization_1_NT_Loop32_TestCase5, TRUE, 9738)
(Incorrect_Initialization_1_NT_Loop36_TestCase4, FALSE(termination), 7304)
(Incorrect_Initialization_1_NT_Loop32_TestCase1, TRUE, 9740)
(Incorrect_Initialization_1_NT_Loop32_TestCase10, TRUE, 9760)
(Incorrect_Initialization_1_NT_Loop36_TestCase1, TRUE, 9867)
(Incorrect_Initialization_1_NT_Loop36_TestCase3, FALSE(termination), 7262)
(Incorrect_Initialization_1_NT_Loop32_TestCase2, TRUE, 9758)
(Incorrect_Initialization_1_NT_Loop32_TestCase3, TRUE, 9737)
(Incorrect_Initialization_1_NT_Loop36_TestCase2, FALSE(termination), 7285)
(Incorrect_Initialization_1_NT_Loop19_TestCase1, TRUE, 9864)
(Incorrect_Initialization_1_NT_Loop19_TestCase2, FALSE(termination), 7285)
(Incorrect_Initialization_1_NT_Loop19_TestCase3, FALSE(termination), 7220)
(Incorrect_Initialization_1_NT_Loop36_TestCase9, FALSE(termination), 12962)
(Incorrect_Initialization_1_NT_Loop19_TestCase7, FALSE(termination), 13048)
(Incorrect_Initialization_1_NT_Loop32_TestCase8, TRUE, 9751)
(Incorrect_Initialization_1_NT_Loop32_TestCase9, TRUE, 9724)
(Incorrect_Initialization_1_NT_Loop19_TestCase6, FALSE(termination), 12933)
(Incorrect_Initialization_1_NT_Loop36_TestCase8, FALSE(termination), 8168)
(Incorrect_Initialization_1_NT_Loop19_TestCase4, FALSE(termination), 7254)
(Incorrect_Initialization_1_NT_Loop19_TestCase5, FALSE(termination), 7170)
(Incorrect_Initialization_1_NT_Loop16_TestCase9, FALSE(termination), 12935)
(Incorrect_Initialization_1_NT_Loop16_TestCase8, FALSE(termination), 8249)
(Incorrect_Initialization_1_NT_Loop19_TestCase10, FALSE(termination), 9945)
(Incorrect_Initialization_1_NT_Loop16_TestCase10, FALSE(termination), 9984)</t>
  </si>
  <si>
    <t>(Incorrect_Initialization_1_NT_Loop0_TestCase5, FALSE(termination), 7125)
(Incorrect_Initialization_1_NT_Loop0_TestCase4, FALSE(termination), 7218)
(Incorrect_Initialization_1_NT_Loop0_TestCase6, FALSE(termination), 12509)
(Incorrect_Initialization_1_NT_Loop0_TestCase7, FALSE(termination), 12502)
(Incorrect_Initialization_1_NT_Loop0_TestCase10, FALSE(termination), 9719)
(Incorrect_Initialization_1_NT_Loop0_TestCase3, FALSE(termination), 7194)
(Incorrect_Initialization_1_NT_Loop0_TestCase2, FALSE(termination), 7158)
(Incorrect_Initialization_1_NT_Loop0_TestCase1, TRUE, 9813)
(Incorrect_Initialization_1_NT_Loop0_TestCase9, FALSE(termination), 12448)
(Incorrect_Initialization_1_NT_Loop0_TestCase8, FALSE(termination), 8055)</t>
  </si>
  <si>
    <t>(Incorrect_Initialization_1_NT_Loop16_TestCase0, Terminated, 300494)
(Incorrect_Initialization_1_NT_Loop36_TestCase0, Terminated, 300603)
(Incorrect_Initialization_1_NT_Loop32_TestCase0, TRUE, 3824)
(Incorrect_Initialization_1_NT_Loop19_TestCase0, Terminated, 300463)</t>
  </si>
  <si>
    <t>(Incorrect_Initialization_1_NT_Loop0_TestCase0, Terminated, 300434)</t>
  </si>
  <si>
    <t>(Incorrect_Control_Statement_2_T_Loop17_TestCase9, TRUE, 8306)
(Incorrect_Control_Statement_2_T_Loop17_TestCase8, TRUE, 8313)
(Incorrect_Control_Statement_2_T_Loop17_TestCase10, TRUE, 8340)
(Incorrect_Control_Statement_2_T_Loop23_TestCase9, TRUE, 8488)
(Incorrect_Control_Statement_2_T_Loop23_TestCase8, TRUE, 8489)
(Incorrect_Control_Statement_2_T_Loop23_TestCase3, TRUE, 8431)
(Incorrect_Control_Statement_2_T_Loop23_TestCase2, TRUE, 8438)
(Incorrect_Control_Statement_2_T_Loop23_TestCase1, TRUE, 8425)
(Incorrect_Control_Statement_2_T_Loop23_TestCase5, TRUE, 8453)
(Incorrect_Control_Statement_2_T_Loop23_TestCase4, TRUE, 8434)
(Incorrect_Control_Statement_2_T_Loop23_TestCase6, TRUE, 8405)
(Incorrect_Control_Statement_2_T_Loop23_TestCase10, TRUE, 8506)
(Incorrect_Control_Statement_2_T_Loop23_TestCase7, TRUE, 8428)
(Incorrect_Control_Statement_2_T_Loop17_TestCase3, TRUE, 8334)
(Incorrect_Control_Statement_2_T_Loop17_TestCase2, TRUE, 8354)
(Incorrect_Control_Statement_2_T_Loop17_TestCase1, TRUE, 8309)
(Incorrect_Control_Statement_2_T_Loop17_TestCase5, TRUE, 8320)
(Incorrect_Control_Statement_2_T_Loop17_TestCase4, TRUE, 8363)
(Incorrect_Control_Statement_2_T_Loop17_TestCase6, TRUE, 8327)
(Incorrect_Control_Statement_2_T_Loop17_TestCase7, TRUE, 8335)</t>
  </si>
  <si>
    <t>(Incorrect_Control_Statement_2_T_Loop0_TestCase2, TRUE, 8442)
(Incorrect_Control_Statement_2_T_Loop0_TestCase3, TRUE, 8443)
(Incorrect_Control_Statement_2_T_Loop0_TestCase1, TRUE, 8457)
(Incorrect_Control_Statement_2_T_Loop0_TestCase4, TRUE, 8436)
(Incorrect_Control_Statement_2_T_Loop0_TestCase5, TRUE, 8463)
(Incorrect_Control_Statement_2_T_Loop0_TestCase7, TRUE, 8452)
(Incorrect_Control_Statement_2_T_Loop0_TestCase6, TRUE, 8417)
(Incorrect_Control_Statement_2_T_Loop0_TestCase10, TRUE, 8501)
(Incorrect_Control_Statement_2_T_Loop0_TestCase8, TRUE, 8494)
(Incorrect_Control_Statement_2_T_Loop0_TestCase9, TRUE, 8511)</t>
  </si>
  <si>
    <t>(Incorrect_Control_Statement_2_T_Loop23_TestCase0, TRUE, 8358)
(Incorrect_Control_Statement_2_T_Loop17_TestCase0, TRUE, 2742)</t>
  </si>
  <si>
    <t>(Incorrect_Control_Statement_2_T_Loop0_TestCase0, TRUE, 8404)</t>
  </si>
  <si>
    <t>15/15</t>
  </si>
  <si>
    <t>(Incorrect_Control_Statement_2_NT_Loop17_TestCase3, TRUE, 8348)
(Incorrect_Control_Statement_2_NT_Loop17_TestCase2, TRUE, 8336)
(Incorrect_Control_Statement_2_NT_Loop17_TestCase1, TRUE, 8320)
(Incorrect_Control_Statement_2_NT_Loop17_TestCase10, TRUE, 8318)
(Incorrect_Control_Statement_2_NT_Loop17_TestCase5, TRUE, 8359)
(Incorrect_Control_Statement_2_NT_Loop17_TestCase4, TRUE, 8360)
(Incorrect_Control_Statement_2_NT_Loop17_TestCase6, TRUE, 8359)
(Incorrect_Control_Statement_2_NT_Loop17_TestCase7, TRUE, 8354)
(Incorrect_Control_Statement_2_NT_Loop23_TestCase3, TRUE, 8411)
(Incorrect_Control_Statement_2_NT_Loop23_TestCase2, TRUE, 8423)
(Incorrect_Control_Statement_2_NT_Loop23_TestCase1, TRUE, 8416)
(Incorrect_Control_Statement_2_NT_Loop23_TestCase5, TRUE, 8405)
(Incorrect_Control_Statement_2_NT_Loop23_TestCase4, TRUE, 8437)
(Incorrect_Control_Statement_2_NT_Loop23_TestCase6, FALSE(termination), 4541)
(Incorrect_Control_Statement_2_NT_Loop23_TestCase7, FALSE(termination), 4567)
(Incorrect_Control_Statement_2_NT_Loop23_TestCase9, FALSE(termination), 4542)
(Incorrect_Control_Statement_2_NT_Loop23_TestCase8, FALSE(termination), 4515)
(Incorrect_Control_Statement_2_NT_Loop17_TestCase9, TRUE, 8351)
(Incorrect_Control_Statement_2_NT_Loop23_TestCase10, FALSE(termination), 4531)
(Incorrect_Control_Statement_2_NT_Loop17_TestCase8, TRUE, 8346)</t>
  </si>
  <si>
    <t>(Incorrect_Control_Statement_2_NT_Loop0_TestCase9, FALSE(termination), 4538)
(Incorrect_Control_Statement_2_NT_Loop0_TestCase8, FALSE(termination), 4553)
(Incorrect_Control_Statement_2_NT_Loop0_TestCase10, FALSE(termination), 4527)
(Incorrect_Control_Statement_2_NT_Loop0_TestCase6, FALSE(termination), 4548)
(Incorrect_Control_Statement_2_NT_Loop0_TestCase7, FALSE(termination), 4511)
(Incorrect_Control_Statement_2_NT_Loop0_TestCase5, TRUE, 8459)
(Incorrect_Control_Statement_2_NT_Loop0_TestCase4, TRUE, 8417)
(Incorrect_Control_Statement_2_NT_Loop0_TestCase1, TRUE, 8443)
(Incorrect_Control_Statement_2_NT_Loop0_TestCase3, TRUE, 8423)
(Incorrect_Control_Statement_2_NT_Loop0_TestCase2, TRUE, 8436)</t>
  </si>
  <si>
    <t>(Incorrect_Control_Statement_2_NT_Loop17_TestCase0, TRUE, 2704)
(Incorrect_Control_Statement_2_NT_Loop23_TestCase0, FALSE(termination), 4345)</t>
  </si>
  <si>
    <t>(Incorrect_Control_Statement_2_NT_Loop0_TestCase0, FALSE(termination), 4423)</t>
  </si>
  <si>
    <t>(Incorrect_Control_Statement_1_T_Loop14_TestCase9, TRUE, 9723)
(Incorrect_Control_Statement_1_T_Loop14_TestCase8, TRUE, 9725)
(Incorrect_Control_Statement_1_T_Loop18_TestCase10, TRUE, 9890)
(Incorrect_Control_Statement_1_T_Loop18_TestCase4, TRUE, 9900)
(Incorrect_Control_Statement_1_T_Loop18_TestCase5, TRUE, 9891)
(Incorrect_Control_Statement_1_T_Loop18_TestCase7, TRUE, 10027)
(Incorrect_Control_Statement_1_T_Loop18_TestCase6, TRUE, 10062)
(Incorrect_Control_Statement_1_T_Loop18_TestCase2, TRUE, 9903)
(Incorrect_Control_Statement_1_T_Loop18_TestCase3, TRUE, 9876)
(Incorrect_Control_Statement_1_T_Loop18_TestCase1, TRUE, 9869)
(Incorrect_Control_Statement_1_T_Loop14_TestCase10, TRUE, 9722)
(Incorrect_Control_Statement_1_T_Loop18_TestCase8, TRUE, 9854)
(Incorrect_Control_Statement_1_T_Loop18_TestCase9, TRUE, 9800)
(Incorrect_Control_Statement_1_T_Loop14_TestCase3, TRUE, 9707)
(Incorrect_Control_Statement_1_T_Loop14_TestCase2, TRUE, 9736)
(Incorrect_Control_Statement_1_T_Loop14_TestCase1, TRUE, 9744)
(Incorrect_Control_Statement_1_T_Loop14_TestCase5, TRUE, 9756)
(Incorrect_Control_Statement_1_T_Loop14_TestCase4, TRUE, 9711)
(Incorrect_Control_Statement_1_T_Loop14_TestCase6, TRUE, 9723)
(Incorrect_Control_Statement_1_T_Loop14_TestCase7, TRUE, 9740)</t>
  </si>
  <si>
    <t>(Incorrect_Control_Statement_1_T_Loop0_TestCase9, TRUE, 9866)
(Incorrect_Control_Statement_1_T_Loop0_TestCase8, TRUE, 9825)
(Incorrect_Control_Statement_1_T_Loop0_TestCase10, TRUE, 9886)
(Incorrect_Control_Statement_1_T_Loop0_TestCase6, TRUE, 10033)
(Incorrect_Control_Statement_1_T_Loop0_TestCase7, TRUE, 10004)
(Incorrect_Control_Statement_1_T_Loop0_TestCase5, TRUE, 9904)
(Incorrect_Control_Statement_1_T_Loop0_TestCase4, TRUE, 9917)
(Incorrect_Control_Statement_1_T_Loop0_TestCase1, TRUE, 9841)
(Incorrect_Control_Statement_1_T_Loop0_TestCase3, TRUE, 9866)
(Incorrect_Control_Statement_1_T_Loop0_TestCase2, TRUE, 9801)</t>
  </si>
  <si>
    <t>(Incorrect_Control_Statement_1_T_Loop18_TestCase0, TRUE, 191627)
(Incorrect_Control_Statement_1_T_Loop14_TestCase0, TRUE, 4124)</t>
  </si>
  <si>
    <t>(Incorrect_Control_Statement_1_T_Loop0_TestCase0, TRUE, 194247)</t>
  </si>
  <si>
    <t>(Incorrect_Control_Statement_1_NT_Loop20_TestCase3, TRUE, 9866)
(Incorrect_Control_Statement_1_NT_Loop20_TestCase2, TRUE, 9866)
(Incorrect_Control_Statement_1_NT_Loop20_TestCase1, TRUE, 9844)
(Incorrect_Control_Statement_1_NT_Loop20_TestCase5, TRUE, 9880)
(Incorrect_Control_Statement_1_NT_Loop20_TestCase10, FALSE(termination), 10266)
(Incorrect_Control_Statement_1_NT_Loop20_TestCase4, TRUE, 9762)
(Incorrect_Control_Statement_1_NT_Loop20_TestCase6, FALSE(termination), 10259)
(Incorrect_Control_Statement_1_NT_Loop20_TestCase7, FALSE(termination), 10249)
(Incorrect_Control_Statement_1_NT_Loop16_TestCase8, TRUE, 9676)
(Incorrect_Control_Statement_1_NT_Loop16_TestCase9, TRUE, 9725)
(Incorrect_Control_Statement_1_NT_Loop16_TestCase1, TRUE, 9716)
(Incorrect_Control_Statement_1_NT_Loop16_TestCase2, TRUE, 9676)
(Incorrect_Control_Statement_1_NT_Loop16_TestCase3, TRUE, 9733)
(Incorrect_Control_Statement_1_NT_Loop16_TestCase7, TRUE, 9731)
(Incorrect_Control_Statement_1_NT_Loop16_TestCase6, TRUE, 9703)
(Incorrect_Control_Statement_1_NT_Loop16_TestCase10, TRUE, 9724)
(Incorrect_Control_Statement_1_NT_Loop16_TestCase4, TRUE, 9714)
(Incorrect_Control_Statement_1_NT_Loop16_TestCase5, TRUE, 9693)
(Incorrect_Control_Statement_1_NT_Loop20_TestCase9, FALSE(termination), 10251)
(Incorrect_Control_Statement_1_NT_Loop20_TestCase8, FALSE(termination), 10257)</t>
  </si>
  <si>
    <t>(Incorrect_Control_Statement_1_NT_Loop0_TestCase9, FALSE(termination), 9935)
(Incorrect_Control_Statement_1_NT_Loop0_TestCase8, FALSE(termination), 9955)
(Incorrect_Control_Statement_1_NT_Loop0_TestCase3, TRUE, 9875)
(Incorrect_Control_Statement_1_NT_Loop0_TestCase2, TRUE, 9756)
(Incorrect_Control_Statement_1_NT_Loop0_TestCase1, TRUE, 9833)
(Incorrect_Control_Statement_1_NT_Loop0_TestCase5, TRUE, 9875)
(Incorrect_Control_Statement_1_NT_Loop0_TestCase4, TRUE, 9894)
(Incorrect_Control_Statement_1_NT_Loop0_TestCase6, FALSE(termination), 10003)
(Incorrect_Control_Statement_1_NT_Loop0_TestCase10, FALSE(termination), 10004)
(Incorrect_Control_Statement_1_NT_Loop0_TestCase7, FALSE(termination), 10012)</t>
  </si>
  <si>
    <t>(Incorrect_Control_Statement_1_NT_Loop20_TestCase0, Terminated, 300791)
(Incorrect_Control_Statement_1_NT_Loop16_TestCase0, TRUE, 4508)</t>
  </si>
  <si>
    <t>(Incorrect_Control_Statement_1_NT_Loop0_TestCase0, Terminated, 300521)</t>
  </si>
  <si>
    <t>(Incorrect_Bit_Calculation_3_T_Loop15_TestCase3, TRUE, 6306)
(Incorrect_Bit_Calculation_3_T_Loop15_TestCase2, TRUE, 6323)
(Incorrect_Bit_Calculation_3_T_Loop15_TestCase10, TRUE, 7771)
(Incorrect_Bit_Calculation_3_T_Loop15_TestCase1, TRUE, 6290)
(Incorrect_Bit_Calculation_3_T_Loop15_TestCase5, TRUE, 7126)
(Incorrect_Bit_Calculation_3_T_Loop15_TestCase4, TRUE, 7170)
(Incorrect_Bit_Calculation_3_T_Loop15_TestCase6, TRUE, 7773)
(Incorrect_Bit_Calculation_3_T_Loop15_TestCase7, TRUE, 7789)
(Incorrect_Bit_Calculation_3_T_Loop15_TestCase9, TRUE, 7774)
(Incorrect_Bit_Calculation_3_T_Loop15_TestCase8, TRUE, 7763)</t>
  </si>
  <si>
    <t>(Incorrect_Bit_Calculation_3_T_Loop0_TestCase2, TRUE, 6314)
(Incorrect_Bit_Calculation_3_T_Loop0_TestCase3, TRUE, 6267)
(Incorrect_Bit_Calculation_3_T_Loop0_TestCase1, TRUE, 6320)
(Incorrect_Bit_Calculation_3_T_Loop0_TestCase10, TRUE, 7810)
(Incorrect_Bit_Calculation_3_T_Loop0_TestCase4, TRUE, 7208)
(Incorrect_Bit_Calculation_3_T_Loop0_TestCase5, TRUE, 7195)
(Incorrect_Bit_Calculation_3_T_Loop0_TestCase7, TRUE, 7764)
(Incorrect_Bit_Calculation_3_T_Loop0_TestCase6, TRUE, 7796)
(Incorrect_Bit_Calculation_3_T_Loop0_TestCase8, TRUE, 7777)
(Incorrect_Bit_Calculation_3_T_Loop0_TestCase9, TRUE, 7783)</t>
  </si>
  <si>
    <t>(Incorrect_Bit_Calculation_3_T_Loop15_TestCase0, TRUE, 69400)</t>
  </si>
  <si>
    <t>(Incorrect_Bit_Calculation_3_T_Loop0_TestCase0, TRUE, 60716)</t>
  </si>
  <si>
    <t>(Incorrect_Bit_Calculation_3_NT_Loop18_TestCase8, FALSE(termination), 2646)
(Incorrect_Bit_Calculation_3_NT_Loop18_TestCase9, FALSE(termination), 3273)
(Incorrect_Bit_Calculation_3_NT_Loop18_TestCase10, FALSE(termination), 3206)
(Incorrect_Bit_Calculation_3_NT_Loop18_TestCase7, FALSE(termination), 2642)
(Incorrect_Bit_Calculation_3_NT_Loop18_TestCase6, FALSE(termination), 2018)
(Incorrect_Bit_Calculation_3_NT_Loop18_TestCase4, TRUE, 7168)
(Incorrect_Bit_Calculation_3_NT_Loop18_TestCase5, TRUE, 7194)
(Incorrect_Bit_Calculation_3_NT_Loop18_TestCase1, TRUE, 6299)
(Incorrect_Bit_Calculation_3_NT_Loop18_TestCase2, TRUE, 6296)
(Incorrect_Bit_Calculation_3_NT_Loop18_TestCase3, TRUE, 6280)</t>
  </si>
  <si>
    <t>(Incorrect_Bit_Calculation_3_NT_Loop0_TestCase8, FALSE(termination), 2721)
(Incorrect_Bit_Calculation_3_NT_Loop0_TestCase9, FALSE(termination), 3249)
(Incorrect_Bit_Calculation_3_NT_Loop0_TestCase4, TRUE, 7155)
(Incorrect_Bit_Calculation_3_NT_Loop0_TestCase5, TRUE, 7204)
(Incorrect_Bit_Calculation_3_NT_Loop0_TestCase7, FALSE(termination), 2650)
(Incorrect_Bit_Calculation_3_NT_Loop0_TestCase6, FALSE(termination), 2020)
(Incorrect_Bit_Calculation_3_NT_Loop0_TestCase2, TRUE, 6242)
(Incorrect_Bit_Calculation_3_NT_Loop0_TestCase3, TRUE, 6300)
(Incorrect_Bit_Calculation_3_NT_Loop0_TestCase1, TRUE, 6267)
(Incorrect_Bit_Calculation_3_NT_Loop0_TestCase10, FALSE(termination), 3253)</t>
  </si>
  <si>
    <t>(Incorrect_Bit_Calculation_3_NT_Loop18_TestCase0, FALSE(termination), 1996)</t>
  </si>
  <si>
    <t>(Incorrect_Bit_Calculation_3_NT_Loop0_TestCase0, FALSE(termination), 1981)</t>
  </si>
  <si>
    <t>(Incorrect_Bit_Calculation_2_T_Loop16_TestCase2, TRUE, 6320)
(Incorrect_Bit_Calculation_2_T_Loop16_TestCase3, TRUE, 7753)
(Incorrect_Bit_Calculation_2_T_Loop16_TestCase1, TRUE, 6295)
(Incorrect_Bit_Calculation_2_T_Loop16_TestCase4, TRUE, 7793)
(Incorrect_Bit_Calculation_2_T_Loop16_TestCase5, TRUE, 6261)
(Incorrect_Bit_Calculation_2_T_Loop16_TestCase7, TRUE, 6236)
(Incorrect_Bit_Calculation_2_T_Loop16_TestCase6, TRUE, 6281)
(Incorrect_Bit_Calculation_2_T_Loop16_TestCase10, TRUE, 6260)
(Incorrect_Bit_Calculation_2_T_Loop16_TestCase8, TRUE, 6267)
(Incorrect_Bit_Calculation_2_T_Loop16_TestCase9, TRUE, 6254)</t>
  </si>
  <si>
    <t>(Incorrect_Bit_Calculation_2_T_Loop0_TestCase8, TRUE, 6270)
(Incorrect_Bit_Calculation_2_T_Loop0_TestCase9, TRUE, 6271)
(Incorrect_Bit_Calculation_2_T_Loop0_TestCase10, TRUE, 6275)
(Incorrect_Bit_Calculation_2_T_Loop0_TestCase1, TRUE, 6233)
(Incorrect_Bit_Calculation_2_T_Loop0_TestCase2, TRUE, 6303)
(Incorrect_Bit_Calculation_2_T_Loop0_TestCase3, TRUE, 7693)
(Incorrect_Bit_Calculation_2_T_Loop0_TestCase7, TRUE, 6270)
(Incorrect_Bit_Calculation_2_T_Loop0_TestCase6, TRUE, 6251)
(Incorrect_Bit_Calculation_2_T_Loop0_TestCase4, TRUE, 7777)
(Incorrect_Bit_Calculation_2_T_Loop0_TestCase5, TRUE, 6337)</t>
  </si>
  <si>
    <t>(Incorrect_Bit_Calculation_2_T_Loop16_TestCase0, TRUE, 54075)</t>
  </si>
  <si>
    <t>(Incorrect_Bit_Calculation_2_T_Loop0_TestCase0, TRUE, 51760)</t>
  </si>
  <si>
    <t>(Incorrect_Bit_Calculation_2_NT_Loop20_TestCase10, FALSE(termination), 2050)
(Incorrect_Bit_Calculation_2_NT_Loop20_TestCase8, FALSE(termination), 2022)
(Incorrect_Bit_Calculation_2_NT_Loop20_TestCase9, FALSE(termination), 2044)
(Incorrect_Bit_Calculation_2_NT_Loop20_TestCase4, TRUE, 7743)
(Incorrect_Bit_Calculation_2_NT_Loop20_TestCase5, TRUE, 6331)
(Incorrect_Bit_Calculation_2_NT_Loop20_TestCase7, FALSE(termination), 2052)
(Incorrect_Bit_Calculation_2_NT_Loop20_TestCase6, FALSE(termination), 2075)
(Incorrect_Bit_Calculation_2_NT_Loop20_TestCase2, TRUE, 6329)
(Incorrect_Bit_Calculation_2_NT_Loop20_TestCase3, TRUE, 7736)
(Incorrect_Bit_Calculation_2_NT_Loop20_TestCase1, TRUE, 6281)</t>
  </si>
  <si>
    <t>(Incorrect_Bit_Calculation_2_NT_Loop0_TestCase9, FALSE(termination), 2035)
(Incorrect_Bit_Calculation_2_NT_Loop0_TestCase8, FALSE(termination), 2023)
(Incorrect_Bit_Calculation_2_NT_Loop0_TestCase10, FALSE(termination), 2014)
(Incorrect_Bit_Calculation_2_NT_Loop0_TestCase1, TRUE, 6257)
(Incorrect_Bit_Calculation_2_NT_Loop0_TestCase3, TRUE, 7739)
(Incorrect_Bit_Calculation_2_NT_Loop0_TestCase2, TRUE, 6325)
(Incorrect_Bit_Calculation_2_NT_Loop0_TestCase6, FALSE(termination), 2027)
(Incorrect_Bit_Calculation_2_NT_Loop0_TestCase7, FALSE(termination), 2026)
(Incorrect_Bit_Calculation_2_NT_Loop0_TestCase5, TRUE, 6270)
(Incorrect_Bit_Calculation_2_NT_Loop0_TestCase4, TRUE, 7743)</t>
  </si>
  <si>
    <t>(Incorrect_Bit_Calculation_2_NT_Loop20_TestCase0, FALSE(termination), 1989)</t>
  </si>
  <si>
    <t>(Incorrect_Bit_Calculation_2_NT_Loop0_TestCase0, FALSE(termination), 2060)</t>
  </si>
  <si>
    <t>(Incorrect_Bit_Calculation_1_T_Loop14_TestCase9, TRUE, 6251)
(Incorrect_Bit_Calculation_1_T_Loop14_TestCase8, TRUE, 6270)
(Incorrect_Bit_Calculation_1_T_Loop14_TestCase10, TRUE, 6259)
(Incorrect_Bit_Calculation_1_T_Loop14_TestCase5, TRUE, 7744)
(Incorrect_Bit_Calculation_1_T_Loop14_TestCase4, TRUE, 7771)
(Incorrect_Bit_Calculation_1_T_Loop14_TestCase6, TRUE, 6237)
(Incorrect_Bit_Calculation_1_T_Loop14_TestCase7, TRUE, 6217)
(Incorrect_Bit_Calculation_1_T_Loop14_TestCase3, TRUE, 7724)
(Incorrect_Bit_Calculation_1_T_Loop14_TestCase2, TRUE, 6302)
(Incorrect_Bit_Calculation_1_T_Loop14_TestCase1, TRUE, 6199)</t>
  </si>
  <si>
    <t>(Incorrect_Bit_Calculation_1_T_Loop0_TestCase5, TRUE, 7752)
(Incorrect_Bit_Calculation_1_T_Loop0_TestCase4, TRUE, 7778)
(Incorrect_Bit_Calculation_1_T_Loop0_TestCase6, TRUE, 6230)
(Incorrect_Bit_Calculation_1_T_Loop0_TestCase7, TRUE, 6202)
(Incorrect_Bit_Calculation_1_T_Loop0_TestCase3, TRUE, 7752)
(Incorrect_Bit_Calculation_1_T_Loop0_TestCase2, TRUE, 6314)
(Incorrect_Bit_Calculation_1_T_Loop0_TestCase1, TRUE, 6256)
(Incorrect_Bit_Calculation_1_T_Loop0_TestCase10, TRUE, 6278)
(Incorrect_Bit_Calculation_1_T_Loop0_TestCase9, TRUE, 6245)
(Incorrect_Bit_Calculation_1_T_Loop0_TestCase8, TRUE, 6262)</t>
  </si>
  <si>
    <t>(Incorrect_Bit_Calculation_1_T_Loop14_TestCase0, TRUE, 42580)</t>
  </si>
  <si>
    <t>(Incorrect_Bit_Calculation_1_T_Loop0_TestCase0, TRUE, 43704)</t>
  </si>
  <si>
    <t>(Incorrect_Bit_Calculation_1_NT_Loop15_TestCase10, FALSE(termination), 2041)
(Incorrect_Bit_Calculation_1_NT_Loop15_TestCase6, FALSE(termination), 2036)
(Incorrect_Bit_Calculation_1_NT_Loop15_TestCase7, FALSE(termination), 1972)
(Incorrect_Bit_Calculation_1_NT_Loop15_TestCase5, TRUE, 7743)
(Incorrect_Bit_Calculation_1_NT_Loop15_TestCase4, TRUE, 6324)
(Incorrect_Bit_Calculation_1_NT_Loop15_TestCase1, TRUE, 6251)
(Incorrect_Bit_Calculation_1_NT_Loop15_TestCase3, TRUE, 6264)
(Incorrect_Bit_Calculation_1_NT_Loop15_TestCase2, TRUE, 6236)
(Incorrect_Bit_Calculation_1_NT_Loop15_TestCase9, FALSE(termination), 2026)
(Incorrect_Bit_Calculation_1_NT_Loop15_TestCase8, FALSE(termination), 2014)</t>
  </si>
  <si>
    <t>(Incorrect_Bit_Calculation_1_NT_Loop0_TestCase10, FALSE(termination), 2048)
(Incorrect_Bit_Calculation_1_NT_Loop0_TestCase9, FALSE(termination), 2061)
(Incorrect_Bit_Calculation_1_NT_Loop0_TestCase8, FALSE(termination), 2037)
(Incorrect_Bit_Calculation_1_NT_Loop0_TestCase5, TRUE, 7791)
(Incorrect_Bit_Calculation_1_NT_Loop0_TestCase4, TRUE, 6329)
(Incorrect_Bit_Calculation_1_NT_Loop0_TestCase6, FALSE(termination), 2045)
(Incorrect_Bit_Calculation_1_NT_Loop0_TestCase7, FALSE(termination), 2026)
(Incorrect_Bit_Calculation_1_NT_Loop0_TestCase3, TRUE, 6288)
(Incorrect_Bit_Calculation_1_NT_Loop0_TestCase2, TRUE, 6251)
(Incorrect_Bit_Calculation_1_NT_Loop0_TestCase1, TRUE, 6256)</t>
  </si>
  <si>
    <t>(Incorrect_Bit_Calculation_1_NT_Loop15_TestCase0, FALSE(termination), 2001)</t>
  </si>
  <si>
    <t>(Incorrect_Bit_Calculation_1_NT_Loop0_TestCase0, FALSE(termination), 2018)</t>
  </si>
  <si>
    <t>(Adding_Subtracting_Zero_5_T_Loop21_TestCase8, TRUE, 9885)
(Adding_Subtracting_Zero_5_T_Loop21_TestCase9, TRUE, 12771)
(Adding_Subtracting_Zero_5_T_Loop38_TestCase10, INCONCLUSIVE, 132627)
(Adding_Subtracting_Zero_5_T_Loop21_TestCase10, TRUE, 18626)
(Adding_Subtracting_Zero_5_T_Loop38_TestCase8, FALSE(termination), 4493)
(Adding_Subtracting_Zero_5_T_Loop38_TestCase9, FALSE(termination), 11433)
(Adding_Subtracting_Zero_5_T_Loop38_TestCase4, TRUE, 7428)
(Adding_Subtracting_Zero_5_T_Loop38_TestCase5, TRUE, 7396)
(Adding_Subtracting_Zero_5_T_Loop38_TestCase7, FALSE(termination), 2220)
(Adding_Subtracting_Zero_5_T_Loop38_TestCase6, TRUE, 7486)
(Adding_Subtracting_Zero_5_T_Loop38_TestCase2, TRUE, 7406)
(Adding_Subtracting_Zero_5_T_Loop38_TestCase3, TRUE, 7456)
(Adding_Subtracting_Zero_5_T_Loop38_TestCase1, TRUE, 7346)
(Adding_Subtracting_Zero_5_T_Loop21_TestCase1, TRUE, 7369)
(Adding_Subtracting_Zero_5_T_Loop21_TestCase2, TRUE, 7471)
(Adding_Subtracting_Zero_5_T_Loop21_TestCase3, TRUE, 7377)
(Adding_Subtracting_Zero_5_T_Loop21_TestCase7, TRUE, 7459)
(Adding_Subtracting_Zero_5_T_Loop21_TestCase6, TRUE, 7393)
(Adding_Subtracting_Zero_5_T_Loop21_TestCase4, TRUE, 7398)
(Adding_Subtracting_Zero_5_T_Loop21_TestCase5, TRUE, 7394)</t>
  </si>
  <si>
    <t>(Adding_Subtracting_Zero_5_T_Loop0_TestCase3, TRUE, 7446)
(Adding_Subtracting_Zero_5_T_Loop0_TestCase2, TRUE, 7406)
(Adding_Subtracting_Zero_5_T_Loop0_TestCase1, TRUE, 7405)
(Adding_Subtracting_Zero_5_T_Loop0_TestCase5, TRUE, 7462)
(Adding_Subtracting_Zero_5_T_Loop0_TestCase4, TRUE, 7402)
(Adding_Subtracting_Zero_5_T_Loop0_TestCase6, TRUE, 7481)
(Adding_Subtracting_Zero_5_T_Loop0_TestCase7, FALSE(termination), 2282)
(Adding_Subtracting_Zero_5_T_Loop0_TestCase10, INCONCLUSIVE, 132680)
(Adding_Subtracting_Zero_5_T_Loop0_TestCase9, FALSE(termination), 11511)
(Adding_Subtracting_Zero_5_T_Loop0_TestCase8, FALSE(termination), 4487)</t>
  </si>
  <si>
    <t>(Adding_Subtracting_Zero_5_T_Loop38_TestCase0, FALSE(termination), 2166)
(Adding_Subtracting_Zero_5_T_Loop21_TestCase0, TRUE, 45889)</t>
  </si>
  <si>
    <t>(Adding_Subtracting_Zero_5_T_Loop0_TestCase0, FALSE(termination), 2227)</t>
  </si>
  <si>
    <t>(Adding_Subtracting_Zero_5_NT_Loop21_TestCase7, TRUE, 7461)
(Adding_Subtracting_Zero_5_NT_Loop21_TestCase6, TRUE, 7416)
(Adding_Subtracting_Zero_5_NT_Loop21_TestCase4, TRUE, 7442)
(Adding_Subtracting_Zero_5_NT_Loop21_TestCase5, TRUE, 7365)
(Adding_Subtracting_Zero_5_NT_Loop21_TestCase1, TRUE, 7395)
(Adding_Subtracting_Zero_5_NT_Loop21_TestCase2, TRUE, 7374)
(Adding_Subtracting_Zero_5_NT_Loop21_TestCase3, TRUE, 7408)
(Adding_Subtracting_Zero_5_NT_Loop38_TestCase2, TRUE, 7432)
(Adding_Subtracting_Zero_5_NT_Loop38_TestCase3, TRUE, 7424)
(Adding_Subtracting_Zero_5_NT_Loop38_TestCase1, TRUE, 7397)
(Adding_Subtracting_Zero_5_NT_Loop38_TestCase4, TRUE, 7460)
(Adding_Subtracting_Zero_5_NT_Loop38_TestCase5, TRUE, 7404)
(Adding_Subtracting_Zero_5_NT_Loop38_TestCase7, FALSE(termination), 2241)
(Adding_Subtracting_Zero_5_NT_Loop38_TestCase6, FALSE(termination), 2230)
(Adding_Subtracting_Zero_5_NT_Loop38_TestCase8, FALSE(termination), 4500)
(Adding_Subtracting_Zero_5_NT_Loop38_TestCase9, FALSE(termination), 13317)
(Adding_Subtracting_Zero_5_NT_Loop38_TestCase10, INCONCLUSIVE, 132565)
(Adding_Subtracting_Zero_5_NT_Loop21_TestCase8, TRUE, 9853)
(Adding_Subtracting_Zero_5_NT_Loop21_TestCase9, TRUE, 12781)
(Adding_Subtracting_Zero_5_NT_Loop21_TestCase10, TRUE, 18703)</t>
  </si>
  <si>
    <t>(Adding_Subtracting_Zero_5_NT_Loop0_TestCase10, INCONCLUSIVE, 132577)
(Adding_Subtracting_Zero_5_NT_Loop0_TestCase6, FALSE(termination), 2217)
(Adding_Subtracting_Zero_5_NT_Loop0_TestCase7, FALSE(termination), 2248)
(Adding_Subtracting_Zero_5_NT_Loop0_TestCase5, TRUE, 7365)
(Adding_Subtracting_Zero_5_NT_Loop0_TestCase4, TRUE, 7363)
(Adding_Subtracting_Zero_5_NT_Loop0_TestCase1, TRUE, 7336)
(Adding_Subtracting_Zero_5_NT_Loop0_TestCase3, TRUE, 7433)
(Adding_Subtracting_Zero_5_NT_Loop0_TestCase2, TRUE, 7432)
(Adding_Subtracting_Zero_5_NT_Loop0_TestCase9, FALSE(termination), 13254)
(Adding_Subtracting_Zero_5_NT_Loop0_TestCase8, FALSE(termination), 4555)</t>
  </si>
  <si>
    <t>(Adding_Subtracting_Zero_5_NT_Loop21_TestCase0, TRUE, 46879)
(Adding_Subtracting_Zero_5_NT_Loop38_TestCase0, FALSE(termination), 2210)</t>
  </si>
  <si>
    <t>(Adding_Subtracting_Zero_5_NT_Loop0_TestCase0, FALSE(termination), 2323)</t>
  </si>
  <si>
    <t>(Adding_Subtracting_Zero_4_T_Loop16_TestCase9, TRUE, 9274)
(Adding_Subtracting_Zero_4_T_Loop16_TestCase8, TRUE, 8621)
(Adding_Subtracting_Zero_4_T_Loop51_TestCase9, TRUE, 8170)
(Adding_Subtracting_Zero_4_T_Loop16_TestCase10, TRUE, 13464)
(Adding_Subtracting_Zero_4_T_Loop51_TestCase8, TRUE, 8041)
(Adding_Subtracting_Zero_4_T_Loop51_TestCase6, TRUE, 7761)
(Adding_Subtracting_Zero_4_T_Loop51_TestCase7, TRUE, 7971)
(Adding_Subtracting_Zero_4_T_Loop51_TestCase5, TRUE, 8462)
(Adding_Subtracting_Zero_4_T_Loop51_TestCase4, TRUE, 7851)
(Adding_Subtracting_Zero_4_T_Loop51_TestCase1, TRUE, 6328)
(Adding_Subtracting_Zero_4_T_Loop51_TestCase3, TRUE, 7796)
(Adding_Subtracting_Zero_4_T_Loop51_TestCase2, TRUE, 6436)
(Adding_Subtracting_Zero_4_T_Loop16_TestCase1, TRUE, 6302)
(Adding_Subtracting_Zero_4_T_Loop16_TestCase3, TRUE, 7798)
(Adding_Subtracting_Zero_4_T_Loop16_TestCase2, TRUE, 6436)
(Adding_Subtracting_Zero_4_T_Loop51_TestCase10, TRUE, 11138)
(Adding_Subtracting_Zero_4_T_Loop16_TestCase6, TRUE, 7743)
(Adding_Subtracting_Zero_4_T_Loop16_TestCase7, TRUE, 8536)
(Adding_Subtracting_Zero_4_T_Loop16_TestCase5, TRUE, 8520)
(Adding_Subtracting_Zero_4_T_Loop16_TestCase4, TRUE, 7839)</t>
  </si>
  <si>
    <t>(Adding_Subtracting_Zero_4_T_Loop0_TestCase9, TRUE, 8114)
(Adding_Subtracting_Zero_4_T_Loop0_TestCase8, TRUE, 8029)
(Adding_Subtracting_Zero_4_T_Loop0_TestCase1, TRUE, 6321)
(Adding_Subtracting_Zero_4_T_Loop0_TestCase3, TRUE, 7781)
(Adding_Subtracting_Zero_4_T_Loop0_TestCase2, TRUE, 6422)
(Adding_Subtracting_Zero_4_T_Loop0_TestCase6, TRUE, 7709)
(Adding_Subtracting_Zero_4_T_Loop0_TestCase7, TRUE, 7944)
(Adding_Subtracting_Zero_4_T_Loop0_TestCase5, TRUE, 8455)
(Adding_Subtracting_Zero_4_T_Loop0_TestCase10, TRUE, 10806)
(Adding_Subtracting_Zero_4_T_Loop0_TestCase4, TRUE, 7834)</t>
  </si>
  <si>
    <t>(Adding_Subtracting_Zero_4_T_Loop51_TestCase0, TRUE, 185300)
(Adding_Subtracting_Zero_4_T_Loop16_TestCase0, TRUE, 185117)</t>
  </si>
  <si>
    <t>(Adding_Subtracting_Zero_4_T_Loop0_TestCase0, TRUE, 185235)</t>
  </si>
  <si>
    <t>(Adding_Subtracting_Zero_4_NT_Loop16_TestCase9, FALSE(termination), 5309)
(Adding_Subtracting_Zero_4_NT_Loop16_TestCase10, FALSE(termination), 84575)
(Adding_Subtracting_Zero_4_NT_Loop16_TestCase8, FALSE(termination), 5256)
(Adding_Subtracting_Zero_4_NT_Loop50_TestCase7, FALSE(termination), 4044)
(Adding_Subtracting_Zero_4_NT_Loop50_TestCase6, FALSE(termination), 3291)
(Adding_Subtracting_Zero_4_NT_Loop50_TestCase4, TRUE, 7756)
(Adding_Subtracting_Zero_4_NT_Loop50_TestCase5, TRUE, 8493)
(Adding_Subtracting_Zero_4_NT_Loop50_TestCase1, TRUE, 6335)
(Adding_Subtracting_Zero_4_NT_Loop50_TestCase2, TRUE, 6457)
(Adding_Subtracting_Zero_4_NT_Loop50_TestCase3, TRUE, 7874)
(Adding_Subtracting_Zero_4_NT_Loop50_TestCase10, FALSE(termination), 122818)
(Adding_Subtracting_Zero_4_NT_Loop50_TestCase8, FALSE(termination), 5328)
(Adding_Subtracting_Zero_4_NT_Loop50_TestCase9, FALSE(termination), 5367)
(Adding_Subtracting_Zero_4_NT_Loop16_TestCase6, FALSE(termination), 3263)
(Adding_Subtracting_Zero_4_NT_Loop16_TestCase7, FALSE(termination), 3967)
(Adding_Subtracting_Zero_4_NT_Loop16_TestCase5, TRUE, 8571)
(Adding_Subtracting_Zero_4_NT_Loop16_TestCase4, TRUE, 7886)
(Adding_Subtracting_Zero_4_NT_Loop16_TestCase1, TRUE, 6370)
(Adding_Subtracting_Zero_4_NT_Loop16_TestCase3, TRUE, 7810)
(Adding_Subtracting_Zero_4_NT_Loop16_TestCase2, TRUE, 6368)</t>
  </si>
  <si>
    <t>(Adding_Subtracting_Zero_4_NT_Loop0_TestCase2, TRUE, 6403)
(Adding_Subtracting_Zero_4_NT_Loop0_TestCase3, TRUE, 7787)
(Adding_Subtracting_Zero_4_NT_Loop0_TestCase1, TRUE, 6281)
(Adding_Subtracting_Zero_4_NT_Loop0_TestCase4, TRUE, 7799)
(Adding_Subtracting_Zero_4_NT_Loop0_TestCase5, TRUE, 8405)
(Adding_Subtracting_Zero_4_NT_Loop0_TestCase7, FALSE(termination), 3897)
(Adding_Subtracting_Zero_4_NT_Loop0_TestCase6, FALSE(termination), 3193)
(Adding_Subtracting_Zero_4_NT_Loop0_TestCase10, FALSE(termination), 54015)
(Adding_Subtracting_Zero_4_NT_Loop0_TestCase8, FALSE(termination), 5236)
(Adding_Subtracting_Zero_4_NT_Loop0_TestCase9, FALSE(termination), 5313)</t>
  </si>
  <si>
    <t>(Adding_Subtracting_Zero_4_NT_Loop50_TestCase0, FALSE(termination), 4018)
(Adding_Subtracting_Zero_4_NT_Loop16_TestCase0, FALSE(termination), 3973)</t>
  </si>
  <si>
    <t>(Adding_Subtracting_Zero_4_NT_Loop0_TestCase0, FALSE(termination), 4113)</t>
  </si>
  <si>
    <t>(Adding_Subtracting_Zero_3_T_Loop72_TestCase9, TRUE, 9381)
(Adding_Subtracting_Zero_3_T_Loop72_TestCase10, TRUE, 9489)
(Adding_Subtracting_Zero_3_T_Loop72_TestCase8, TRUE, 9239)
(Adding_Subtracting_Zero_3_T_Loop37_TestCase1, TRUE, 6329)
(Adding_Subtracting_Zero_3_T_Loop37_TestCase2, TRUE, 6299)
(Adding_Subtracting_Zero_3_T_Loop37_TestCase3, TRUE, 7858)
(Adding_Subtracting_Zero_3_T_Loop37_TestCase7, TRUE, 8500)
(Adding_Subtracting_Zero_3_T_Loop37_TestCase6, TRUE, 7872)
(Adding_Subtracting_Zero_3_T_Loop37_TestCase4, TRUE, 7874)
(Adding_Subtracting_Zero_3_T_Loop37_TestCase5, TRUE, 8505)
(Adding_Subtracting_Zero_3_T_Loop37_TestCase8, TRUE, 9240)
(Adding_Subtracting_Zero_3_T_Loop37_TestCase9, TRUE, 9346)
(Adding_Subtracting_Zero_3_T_Loop72_TestCase5, TRUE, 8532)
(Adding_Subtracting_Zero_3_T_Loop72_TestCase4, TRUE, 7882)
(Adding_Subtracting_Zero_3_T_Loop37_TestCase10, TRUE, 9458)
(Adding_Subtracting_Zero_3_T_Loop72_TestCase6, TRUE, 7821)
(Adding_Subtracting_Zero_3_T_Loop72_TestCase7, TRUE, 8532)
(Adding_Subtracting_Zero_3_T_Loop72_TestCase3, TRUE, 7888)
(Adding_Subtracting_Zero_3_T_Loop72_TestCase2, TRUE, 6284)
(Adding_Subtracting_Zero_3_T_Loop72_TestCase1, TRUE, 6316)</t>
  </si>
  <si>
    <t>(Adding_Subtracting_Zero_3_T_Loop0_TestCase7, TRUE, 8492)
(Adding_Subtracting_Zero_3_T_Loop0_TestCase6, TRUE, 7839)
(Adding_Subtracting_Zero_3_T_Loop0_TestCase4, TRUE, 7833)
(Adding_Subtracting_Zero_3_T_Loop0_TestCase5, TRUE, 8481)
(Adding_Subtracting_Zero_3_T_Loop0_TestCase1, TRUE, 6326)
(Adding_Subtracting_Zero_3_T_Loop0_TestCase2, TRUE, 6269)
(Adding_Subtracting_Zero_3_T_Loop0_TestCase3, TRUE, 7832)
(Adding_Subtracting_Zero_3_T_Loop0_TestCase8, TRUE, 9200)
(Adding_Subtracting_Zero_3_T_Loop0_TestCase10, TRUE, 9407)
(Adding_Subtracting_Zero_3_T_Loop0_TestCase9, TRUE, 9304)</t>
  </si>
  <si>
    <t>(Adding_Subtracting_Zero_3_T_Loop37_TestCase0, TRUE, 185933)
(Adding_Subtracting_Zero_3_T_Loop72_TestCase0, TRUE, 185662)</t>
  </si>
  <si>
    <t>(Adding_Subtracting_Zero_3_T_Loop0_TestCase0, TRUE, 185694)</t>
  </si>
  <si>
    <t>(Adding_Subtracting_Zero_3_NT_Loop40_TestCase1, TRUE, 6317)
(Adding_Subtracting_Zero_3_NT_Loop40_TestCase2, TRUE, 6314)
(Adding_Subtracting_Zero_3_NT_Loop40_TestCase3, TRUE, 7838)
(Adding_Subtracting_Zero_3_NT_Loop40_TestCase7, FALSE(termination), 3896)
(Adding_Subtracting_Zero_3_NT_Loop40_TestCase6, FALSE(termination), 3937)
(Adding_Subtracting_Zero_3_NT_Loop40_TestCase4, TRUE, 7844)
(Adding_Subtracting_Zero_3_NT_Loop40_TestCase5, TRUE, 8451)
(Adding_Subtracting_Zero_3_NT_Loop40_TestCase10, FALSE(termination), 6020)
(Adding_Subtracting_Zero_3_NT_Loop75_TestCase9, FALSE(termination), 5256)
(Adding_Subtracting_Zero_3_NT_Loop75_TestCase8, FALSE(termination), 4556)
(Adding_Subtracting_Zero_3_NT_Loop75_TestCase6, FALSE(termination), 3922)
(Adding_Subtracting_Zero_3_NT_Loop75_TestCase10, FALSE(termination), 6061)
(Adding_Subtracting_Zero_3_NT_Loop75_TestCase7, FALSE(termination), 3930)
(Adding_Subtracting_Zero_3_NT_Loop75_TestCase5, TRUE, 8484)
(Adding_Subtracting_Zero_3_NT_Loop75_TestCase4, TRUE, 7841)
(Adding_Subtracting_Zero_3_NT_Loop75_TestCase1, TRUE, 6292)
(Adding_Subtracting_Zero_3_NT_Loop75_TestCase3, TRUE, 7875)
(Adding_Subtracting_Zero_3_NT_Loop75_TestCase2, TRUE, 6289)
(Adding_Subtracting_Zero_3_NT_Loop40_TestCase8, FALSE(termination), 4569)
(Adding_Subtracting_Zero_3_NT_Loop40_TestCase9, FALSE(termination), 5292)</t>
  </si>
  <si>
    <t>(Adding_Subtracting_Zero_3_NT_Loop0_TestCase1, TRUE, 6320)
(Adding_Subtracting_Zero_3_NT_Loop0_TestCase2, TRUE, 6287)
(Adding_Subtracting_Zero_3_NT_Loop0_TestCase3, TRUE, 7812)
(Adding_Subtracting_Zero_3_NT_Loop0_TestCase7, FALSE(termination), 3918)
(Adding_Subtracting_Zero_3_NT_Loop0_TestCase6, FALSE(termination), 3871)
(Adding_Subtracting_Zero_3_NT_Loop0_TestCase4, TRUE, 7836)
(Adding_Subtracting_Zero_3_NT_Loop0_TestCase5, TRUE, 8451)
(Adding_Subtracting_Zero_3_NT_Loop0_TestCase8, FALSE(termination), 4540)
(Adding_Subtracting_Zero_3_NT_Loop0_TestCase9, FALSE(termination), 5287)
(Adding_Subtracting_Zero_3_NT_Loop0_TestCase10, FALSE(termination), 6079)</t>
  </si>
  <si>
    <t>(Adding_Subtracting_Zero_3_NT_Loop40_TestCase0, FALSE(termination), 3127)
(Adding_Subtracting_Zero_3_NT_Loop75_TestCase0, FALSE(termination), 2945)</t>
  </si>
  <si>
    <t>(Adding_Subtracting_Zero_3_NT_Loop0_TestCase0, FALSE(termination), 2980)</t>
  </si>
  <si>
    <t>(Adding_Subtracting_Zero_2_T_Loop35_TestCase10, TRUE, 6358)
(Adding_Subtracting_Zero_2_T_Loop35_TestCase8, TRUE, 6352)
(Adding_Subtracting_Zero_2_T_Loop35_TestCase9, TRUE, 6362)
(Adding_Subtracting_Zero_2_T_Loop35_TestCase7, TRUE, 6332)
(Adding_Subtracting_Zero_2_T_Loop35_TestCase6, TRUE, 6350)
(Adding_Subtracting_Zero_2_T_Loop35_TestCase4, TRUE, 6365)
(Adding_Subtracting_Zero_2_T_Loop35_TestCase5, TRUE, 6311)
(Adding_Subtracting_Zero_2_T_Loop35_TestCase1, TRUE, 6273)
(Adding_Subtracting_Zero_2_T_Loop35_TestCase2, TRUE, 6300)
(Adding_Subtracting_Zero_2_T_Loop35_TestCase3, TRUE, 6358)</t>
  </si>
  <si>
    <t>(Adding_Subtracting_Zero_2_T_Loop0_TestCase8, TRUE, 6354)
(Adding_Subtracting_Zero_2_T_Loop0_TestCase9, TRUE, 6364)
(Adding_Subtracting_Zero_2_T_Loop0_TestCase4, TRUE, 6381)
(Adding_Subtracting_Zero_2_T_Loop0_TestCase5, TRUE, 6362)
(Adding_Subtracting_Zero_2_T_Loop0_TestCase7, TRUE, 6354)
(Adding_Subtracting_Zero_2_T_Loop0_TestCase10, TRUE, 6332)
(Adding_Subtracting_Zero_2_T_Loop0_TestCase6, TRUE, 6324)
(Adding_Subtracting_Zero_2_T_Loop0_TestCase2, TRUE, 6281)
(Adding_Subtracting_Zero_2_T_Loop0_TestCase3, TRUE, 6368)
(Adding_Subtracting_Zero_2_T_Loop0_TestCase1, TRUE, 6300)</t>
  </si>
  <si>
    <t>(Adding_Subtracting_Zero_2_T_Loop35_TestCase0, TRUE, 182484)</t>
  </si>
  <si>
    <t>(Adding_Subtracting_Zero_2_T_Loop0_TestCase0, TRUE, 182504)</t>
  </si>
  <si>
    <t>(Adding_Subtracting_Zero_2_NT_Loop34_TestCase10, FALSE(termination), 2079)
(Adding_Subtracting_Zero_2_NT_Loop34_TestCase8, FALSE(termination), 2076)
(Adding_Subtracting_Zero_2_NT_Loop34_TestCase9, FALSE(termination), 2071)
(Adding_Subtracting_Zero_2_NT_Loop34_TestCase7, FALSE(termination), 2066)
(Adding_Subtracting_Zero_2_NT_Loop34_TestCase6, FALSE(termination), 2051)
(Adding_Subtracting_Zero_2_NT_Loop34_TestCase4, TRUE, 6339)
(Adding_Subtracting_Zero_2_NT_Loop34_TestCase5, TRUE, 6418)
(Adding_Subtracting_Zero_2_NT_Loop34_TestCase1, TRUE, 6259)
(Adding_Subtracting_Zero_2_NT_Loop34_TestCase2, TRUE, 6314)
(Adding_Subtracting_Zero_2_NT_Loop34_TestCase3, TRUE, 6335)</t>
  </si>
  <si>
    <t>(Adding_Subtracting_Zero_2_NT_Loop0_TestCase5, TRUE, 6392)
(Adding_Subtracting_Zero_2_NT_Loop0_TestCase4, TRUE, 6363)
(Adding_Subtracting_Zero_2_NT_Loop0_TestCase6, FALSE(termination), 2055)
(Adding_Subtracting_Zero_2_NT_Loop0_TestCase7, FALSE(termination), 2075)
(Adding_Subtracting_Zero_2_NT_Loop0_TestCase3, TRUE, 6335)
(Adding_Subtracting_Zero_2_NT_Loop0_TestCase2, TRUE, 6292)
(Adding_Subtracting_Zero_2_NT_Loop0_TestCase10, FALSE(termination), 2067)
(Adding_Subtracting_Zero_2_NT_Loop0_TestCase1, TRUE, 6284)
(Adding_Subtracting_Zero_2_NT_Loop0_TestCase9, FALSE(termination), 2032)
(Adding_Subtracting_Zero_2_NT_Loop0_TestCase8, FALSE(termination), 2080)</t>
  </si>
  <si>
    <t>(Adding_Subtracting_Zero_2_NT_Loop34_TestCase0, FALSE(termination), 2066)</t>
  </si>
  <si>
    <t>(Adding_Subtracting_Zero_2_NT_Loop0_TestCase0, FALSE(termination), 2097)</t>
  </si>
  <si>
    <t>(Adding_Subtracting_Zero_1_T_Loop17_TestCase5, TRUE, 7852)
(Adding_Subtracting_Zero_1_T_Loop17_TestCase4, TRUE, 7150)
(Adding_Subtracting_Zero_1_T_Loop17_TestCase6, TRUE, 6332)
(Adding_Subtracting_Zero_1_T_Loop17_TestCase7, TRUE, 6369)
(Adding_Subtracting_Zero_1_T_Loop17_TestCase3, TRUE, 7804)
(Adding_Subtracting_Zero_1_T_Loop17_TestCase2, TRUE, 6343)
(Adding_Subtracting_Zero_1_T_Loop17_TestCase1, TRUE, 6307)
(Adding_Subtracting_Zero_1_T_Loop17_TestCase9, TRUE, 6356)
(Adding_Subtracting_Zero_1_T_Loop17_TestCase8, TRUE, 6341)
(Adding_Subtracting_Zero_1_T_Loop17_TestCase10, TRUE, 6365)</t>
  </si>
  <si>
    <t>(Adding_Subtracting_Zero_1_T_Loop0_TestCase1, TRUE, 6262)
(Adding_Subtracting_Zero_1_T_Loop0_TestCase3, TRUE, 7812)
(Adding_Subtracting_Zero_1_T_Loop0_TestCase2, TRUE, 6270)
(Adding_Subtracting_Zero_1_T_Loop0_TestCase6, TRUE, 6259)
(Adding_Subtracting_Zero_1_T_Loop0_TestCase7, TRUE, 6282)
(Adding_Subtracting_Zero_1_T_Loop0_TestCase5, TRUE, 7771)
(Adding_Subtracting_Zero_1_T_Loop0_TestCase4, TRUE, 6360)
(Adding_Subtracting_Zero_1_T_Loop0_TestCase9, TRUE, 6272)
(Adding_Subtracting_Zero_1_T_Loop0_TestCase8, TRUE, 6468)
(Adding_Subtracting_Zero_1_T_Loop0_TestCase10, TRUE, 6289)</t>
  </si>
  <si>
    <t>(Adding_Subtracting_Zero_1_T_Loop17_TestCase0, TRUE, 182327)</t>
  </si>
  <si>
    <t>(Adding_Subtracting_Zero_1_T_Loop0_TestCase0, TRUE, 182330)</t>
  </si>
  <si>
    <t>(Adding_Subtracting_Zero_1_NT_Loop17_TestCase8, FALSE(termination), 2020)
(Adding_Subtracting_Zero_1_NT_Loop17_TestCase9, FALSE(termination), 2045)
(Adding_Subtracting_Zero_1_NT_Loop17_TestCase10, FALSE(termination), 2072)
(Adding_Subtracting_Zero_1_NT_Loop17_TestCase2, TRUE, 6305)
(Adding_Subtracting_Zero_1_NT_Loop17_TestCase3, TRUE, 7788)
(Adding_Subtracting_Zero_1_NT_Loop17_TestCase1, TRUE, 6286)
(Adding_Subtracting_Zero_1_NT_Loop17_TestCase4, TRUE, 6333)
(Adding_Subtracting_Zero_1_NT_Loop17_TestCase5, TRUE, 7857)
(Adding_Subtracting_Zero_1_NT_Loop17_TestCase7, FALSE(termination), 2030)
(Adding_Subtracting_Zero_1_NT_Loop17_TestCase6, FALSE(termination), 2043)</t>
  </si>
  <si>
    <t>(Adding_Subtracting_Zero_1_NT_Loop0_TestCase10, FALSE(termination), 2037)
(Adding_Subtracting_Zero_1_NT_Loop0_TestCase1, TRUE, 6287)
(Adding_Subtracting_Zero_1_NT_Loop0_TestCase3, TRUE, 7895)
(Adding_Subtracting_Zero_1_NT_Loop0_TestCase2, TRUE, 6298)
(Adding_Subtracting_Zero_1_NT_Loop0_TestCase6, FALSE(termination), 2114)
(Adding_Subtracting_Zero_1_NT_Loop0_TestCase7, FALSE(termination), 2034)
(Adding_Subtracting_Zero_1_NT_Loop0_TestCase5, TRUE, 7783)
(Adding_Subtracting_Zero_1_NT_Loop0_TestCase4, TRUE, 6318)
(Adding_Subtracting_Zero_1_NT_Loop0_TestCase9, FALSE(termination), 2088)
(Adding_Subtracting_Zero_1_NT_Loop0_TestCase8, FALSE(termination), 2055)</t>
  </si>
  <si>
    <t>(Adding_Subtracting_Zero_1_NT_Loop17_TestCase0, FALSE(termination), 2032)</t>
  </si>
  <si>
    <t>(Adding_Subtracting_Zero_1_NT_Loop0_TestCase0, FALSE(termination), 2501)</t>
  </si>
  <si>
    <t>(Using_Erroneous_Condition_3_T_Loop24_TestCase1, TRUE, 7919)
(Using_Erroneous_Condition_3_T_Loop27_TestCase4, TRUE, 7612)
(Using_Erroneous_Condition_3_T_Loop27_TestCase5, TRUE, 17604)
(Using_Erroneous_Condition_3_T_Loop24_TestCase2, TRUE, 3680)
(Using_Erroneous_Condition_3_T_Loop27_TestCase7, TRUE, 8336)
(Using_Erroneous_Condition_3_T_Loop27_TestCase6, TRUE, 102507)
(Using_Erroneous_Condition_3_T_Loop24_TestCase3, TRUE, 3782)
(Using_Erroneous_Condition_3_T_Loop24_TestCase7, TRUE, 8303)
(Using_Erroneous_Condition_3_T_Loop27_TestCase2, TRUE, 4099)
(Using_Erroneous_Condition_3_T_Loop27_TestCase3, TRUE, 3670)
(Using_Erroneous_Condition_3_T_Loop24_TestCase6, TRUE, 102727)
(Using_Erroneous_Condition_3_T_Loop24_TestCase4, TRUE, 7558)
(Using_Erroneous_Condition_3_T_Loop27_TestCase1, TRUE, 7982)
(Using_Erroneous_Condition_3_T_Loop24_TestCase5, TRUE, 17602)
(Using_Erroneous_Condition_3_T_Loop17_TestCase5, TRUE, 2749)
(Using_Erroneous_Condition_3_T_Loop17_TestCase4, TRUE, 2963)
(Using_Erroneous_Condition_3_T_Loop17_TestCase10, TRUE, 2700)
(Using_Erroneous_Condition_3_T_Loop17_TestCase6, TRUE, 2714)
(Using_Erroneous_Condition_3_T_Loop17_TestCase7, TRUE, 2527)
(Using_Erroneous_Condition_3_T_Loop17_TestCase3, TRUE, 2493)
(Using_Erroneous_Condition_3_T_Loop17_TestCase2, TRUE, 2464)
(Using_Erroneous_Condition_3_T_Loop17_TestCase1, TRUE, 2720)
(Using_Erroneous_Condition_3_T_Loop24_TestCase10, TRUE, 13293)
(Using_Erroneous_Condition_3_T_Loop17_TestCase9, TRUE, 2745)
(Using_Erroneous_Condition_3_T_Loop17_TestCase8, TRUE, 2749)
(Using_Erroneous_Condition_3_T_Loop24_TestCase8, TRUE, 7397)
(Using_Erroneous_Condition_3_T_Loop24_TestCase9, TRUE, 7551)
(Using_Erroneous_Condition_3_T_Loop27_TestCase10, TRUE, 13510)
(Using_Erroneous_Condition_3_T_Loop27_TestCase8, TRUE, 7451)
(Using_Erroneous_Condition_3_T_Loop27_TestCase9, TRUE, 7439)</t>
  </si>
  <si>
    <t>(Using_Erroneous_Condition_3_T_Loop0_TestCase1, TRUE, 8213)
(Using_Erroneous_Condition_3_T_Loop0_TestCase3, TRUE, 3692)
(Using_Erroneous_Condition_3_T_Loop0_TestCase2, TRUE, 3704)
(Using_Erroneous_Condition_3_T_Loop0_TestCase6, TRUE, 145967)
(Using_Erroneous_Condition_3_T_Loop0_TestCase7, TRUE, 8685)
(Using_Erroneous_Condition_3_T_Loop0_TestCase5, TRUE, 19029)
(Using_Erroneous_Condition_3_T_Loop0_TestCase4, TRUE, 7865)
(Using_Erroneous_Condition_3_T_Loop0_TestCase9, TRUE, 7733)
(Using_Erroneous_Condition_3_T_Loop0_TestCase8, TRUE, 7842)
(Using_Erroneous_Condition_3_T_Loop0_TestCase10, TRUE, 14062)</t>
  </si>
  <si>
    <t>(Using_Erroneous_Condition_3_T_Loop24_TestCase0, TRUE, 74129)
(Using_Erroneous_Condition_3_T_Loop27_TestCase0, TRUE, 73141)
(Using_Erroneous_Condition_3_T_Loop17_TestCase0, TRUE, 2465)</t>
  </si>
  <si>
    <t>(Using_Erroneous_Condition_3_T_Loop0_TestCase0, TRUE, 80183)</t>
  </si>
  <si>
    <t>(Using_Erroneous_Condition_3_NT_Loop17_TestCase2, TRUE, 2698)
(Using_Erroneous_Condition_3_NT_Loop17_TestCase3, TRUE, 2406)
(Using_Erroneous_Condition_3_NT_Loop17_TestCase1, TRUE, 2406)
(Using_Erroneous_Condition_3_NT_Loop17_TestCase4, TRUE, 2542)
(Using_Erroneous_Condition_3_NT_Loop17_TestCase5, TRUE, 2621)
(Using_Erroneous_Condition_3_NT_Loop17_TestCase7, TRUE, 2638)
(Using_Erroneous_Condition_3_NT_Loop17_TestCase6, TRUE, 2467)
(Using_Erroneous_Condition_3_NT_Loop27_TestCase3, UNKNOWN, 27793)
(Using_Erroneous_Condition_3_NT_Loop24_TestCase6, TRUE, 6578)
(Using_Erroneous_Condition_3_NT_Loop24_TestCase7, TRUE, 6483)
(Using_Erroneous_Condition_3_NT_Loop27_TestCase2, UNKNOWN, 27675)
(Using_Erroneous_Condition_3_NT_Loop24_TestCase5, TRUE, 6549)
(Using_Erroneous_Condition_3_NT_Loop17_TestCase10, TRUE, 2701)
(Using_Erroneous_Condition_3_NT_Loop24_TestCase4, TRUE, 6556)
(Using_Erroneous_Condition_3_NT_Loop27_TestCase1, TRUE, 6729)
(Using_Erroneous_Condition_3_NT_Loop27_TestCase5, TRUE, 6621)
(Using_Erroneous_Condition_3_NT_Loop24_TestCase1, TRUE, 6739)
(Using_Erroneous_Condition_3_NT_Loop27_TestCase4, TRUE, 6560)
(Using_Erroneous_Condition_3_NT_Loop27_TestCase6, TRUE, 6554)
(Using_Erroneous_Condition_3_NT_Loop24_TestCase3, UNKNOWN, 27303)
(Using_Erroneous_Condition_3_NT_Loop24_TestCase2, UNKNOWN, 27703)
(Using_Erroneous_Condition_3_NT_Loop27_TestCase7, TRUE, 6649)
(Using_Erroneous_Condition_3_NT_Loop27_TestCase9, TRUE, 6751)
(Using_Erroneous_Condition_3_NT_Loop27_TestCase8, TRUE, 6643)
(Using_Erroneous_Condition_3_NT_Loop24_TestCase9, TRUE, 6507)
(Using_Erroneous_Condition_3_NT_Loop24_TestCase8, TRUE, 6733)
(Using_Erroneous_Condition_3_NT_Loop24_TestCase10, TRUE, 6594)
(Using_Erroneous_Condition_3_NT_Loop17_TestCase8, TRUE, 2714)
(Using_Erroneous_Condition_3_NT_Loop17_TestCase9, TRUE, 2442)
(Using_Erroneous_Condition_3_NT_Loop27_TestCase10, TRUE, 6608)</t>
  </si>
  <si>
    <t>(Using_Erroneous_Condition_3_NT_Loop0_TestCase1, TRUE, 6856)
(Using_Erroneous_Condition_3_NT_Loop0_TestCase3, UNKNOWN, 27693)
(Using_Erroneous_Condition_3_NT_Loop0_TestCase2, UNKNOWN, 27916)
(Using_Erroneous_Condition_3_NT_Loop0_TestCase6, TRUE, 6824)
(Using_Erroneous_Condition_3_NT_Loop0_TestCase7, TRUE, 6775)
(Using_Erroneous_Condition_3_NT_Loop0_TestCase5, TRUE, 6798)
(Using_Erroneous_Condition_3_NT_Loop0_TestCase4, TRUE, 6848)
(Using_Erroneous_Condition_3_NT_Loop0_TestCase10, TRUE, 6787)
(Using_Erroneous_Condition_3_NT_Loop0_TestCase9, TRUE, 6784)
(Using_Erroneous_Condition_3_NT_Loop0_TestCase8, TRUE, 6821)</t>
  </si>
  <si>
    <t>(Using_Erroneous_Condition_3_NT_Loop17_TestCase0, TRUE, 2709)
(Using_Erroneous_Condition_3_NT_Loop27_TestCase0, UNKNOWN, 138684)
(Using_Erroneous_Condition_3_NT_Loop24_TestCase0, UNKNOWN, 138873)</t>
  </si>
  <si>
    <t>(Using_Erroneous_Condition_3_NT_Loop0_TestCase0, UNKNOWN, 150126)</t>
  </si>
  <si>
    <t>(Using_Erroneous_Condition_2_T_Loop15_TestCase9, TRUE, 2529)
(Using_Erroneous_Condition_2_T_Loop15_TestCase8, TRUE, 2502)
(Using_Erroneous_Condition_2_T_Loop15_TestCase10, TRUE, 2515)
(Using_Erroneous_Condition_2_T_Loop15_TestCase3, TRUE, 2547)
(Using_Erroneous_Condition_2_T_Loop15_TestCase2, TRUE, 2696)
(Using_Erroneous_Condition_2_T_Loop15_TestCase1, TRUE, 2525)
(Using_Erroneous_Condition_2_T_Loop15_TestCase5, TRUE, 2518)
(Using_Erroneous_Condition_2_T_Loop15_TestCase4, TRUE, 2761)
(Using_Erroneous_Condition_2_T_Loop15_TestCase6, TRUE, 2740)
(Using_Erroneous_Condition_2_T_Loop15_TestCase7, TRUE, 2558)</t>
  </si>
  <si>
    <t>(Using_Erroneous_Condition_2_T_Loop0_TestCase9, TRUE, 2505)
(Using_Erroneous_Condition_2_T_Loop0_TestCase8, TRUE, 2750)
(Using_Erroneous_Condition_2_T_Loop0_TestCase10, TRUE, 2542)
(Using_Erroneous_Condition_2_T_Loop0_TestCase3, TRUE, 2548)
(Using_Erroneous_Condition_2_T_Loop0_TestCase2, TRUE, 2734)
(Using_Erroneous_Condition_2_T_Loop0_TestCase1, TRUE, 2766)
(Using_Erroneous_Condition_2_T_Loop0_TestCase5, TRUE, 2761)
(Using_Erroneous_Condition_2_T_Loop0_TestCase4, TRUE, 2762)
(Using_Erroneous_Condition_2_T_Loop0_TestCase6, TRUE, 2481)
(Using_Erroneous_Condition_2_T_Loop0_TestCase7, TRUE, 2752)</t>
  </si>
  <si>
    <t>(Using_Erroneous_Condition_2_T_Loop15_TestCase0, TRUE, 2651)</t>
  </si>
  <si>
    <t>(Using_Erroneous_Condition_2_T_Loop0_TestCase0, TRUE, 2513)</t>
  </si>
  <si>
    <t>(Using_Erroneous_Condition_2_NT_Loop16_TestCase10, FALSE, 2240)
(Using_Erroneous_Condition_2_NT_Loop16_TestCase1, TRUE, 2190)
(Using_Erroneous_Condition_2_NT_Loop16_TestCase2, TRUE, 2230)
(Using_Erroneous_Condition_2_NT_Loop16_TestCase3, TRUE, 2220)
(Using_Erroneous_Condition_2_NT_Loop16_TestCase7, FALSE, 2213)
(Using_Erroneous_Condition_2_NT_Loop16_TestCase6, FALSE, 2241)
(Using_Erroneous_Condition_2_NT_Loop16_TestCase4, TRUE, 2252)
(Using_Erroneous_Condition_2_NT_Loop16_TestCase5, TRUE, 2256)
(Using_Erroneous_Condition_2_NT_Loop16_TestCase8, FALSE, 2232)
(Using_Erroneous_Condition_2_NT_Loop16_TestCase9, FALSE, 2253)</t>
  </si>
  <si>
    <t>(Using_Erroneous_Condition_2_NT_Loop0_TestCase4, TRUE, 2327)
(Using_Erroneous_Condition_2_NT_Loop0_TestCase5, TRUE, 2340)
(Using_Erroneous_Condition_2_NT_Loop0_TestCase7, FALSE, 2489)
(Using_Erroneous_Condition_2_NT_Loop0_TestCase6, FALSE, 2453)
(Using_Erroneous_Condition_2_NT_Loop0_TestCase2, TRUE, 2358)
(Using_Erroneous_Condition_2_NT_Loop0_TestCase3, TRUE, 2398)
(Using_Erroneous_Condition_2_NT_Loop0_TestCase1, TRUE, 2382)
(Using_Erroneous_Condition_2_NT_Loop0_TestCase10, FALSE, 2490)
(Using_Erroneous_Condition_2_NT_Loop0_TestCase8, FALSE, 2471)
(Using_Erroneous_Condition_2_NT_Loop0_TestCase9, FALSE, 2529)</t>
  </si>
  <si>
    <t>(Using_Erroneous_Condition_2_NT_Loop16_TestCase0, FALSE, 2152)</t>
  </si>
  <si>
    <t>(Using_Erroneous_Condition_2_NT_Loop0_TestCase0, FALSE, 2438)</t>
  </si>
  <si>
    <t>(Using_Erroneous_Condition_1_T_Loop39_TestCase4, TRUE, 19336)
(Using_Erroneous_Condition_1_T_Loop39_TestCase5, UNKNOWN, 25505)
(Using_Erroneous_Condition_1_T_Loop39_TestCase7, TRUE, 2457)
(Using_Erroneous_Condition_1_T_Loop39_TestCase6, TRUE, 12648)
(Using_Erroneous_Condition_1_T_Loop39_TestCase2, TRUE, 13078)
(Using_Erroneous_Condition_1_T_Loop39_TestCase3, UNKNOWN, 25987)
(Using_Erroneous_Condition_1_T_Loop39_TestCase1, TRUE, 4160)
(Using_Erroneous_Condition_1_T_Loop39_TestCase10, Error, 300406)
(Using_Erroneous_Condition_1_T_Loop39_TestCase8, UNKNOWN, 28293)
(Using_Erroneous_Condition_1_T_Loop39_TestCase9, TRUE, 2438)</t>
  </si>
  <si>
    <t>(Using_Erroneous_Condition_1_T_Loop0_TestCase7, TRUE, 2406)
(Using_Erroneous_Condition_1_T_Loop0_TestCase6, Error, 300416)
(Using_Erroneous_Condition_1_T_Loop0_TestCase4, TRUE, 17166)
(Using_Erroneous_Condition_1_T_Loop0_TestCase5, UNKNOWN, 28094)
(Using_Erroneous_Condition_1_T_Loop0_TestCase1, TRUE, 16379)
(Using_Erroneous_Condition_1_T_Loop0_TestCase2, TRUE, 12495)
(Using_Erroneous_Condition_1_T_Loop0_TestCase3, UNKNOWN, 29643)
(Using_Erroneous_Condition_1_T_Loop0_TestCase10, Error, 300394)
(Using_Erroneous_Condition_1_T_Loop0_TestCase8, Error, 300417)
(Using_Erroneous_Condition_1_T_Loop0_TestCase9, TRUE, 2410)</t>
  </si>
  <si>
    <t>(Using_Erroneous_Condition_1_T_Loop39_TestCase0, UNKNOWN, 33460)</t>
  </si>
  <si>
    <t>(Using_Erroneous_Condition_1_NT_Loop39_TestCase9, UNKNOWN, 27158)
(Using_Erroneous_Condition_1_NT_Loop39_TestCase8, Error, 300468)
(Using_Erroneous_Condition_1_NT_Loop39_TestCase10, FALSE, 8818)
(Using_Erroneous_Condition_1_NT_Loop39_TestCase3, UNKNOWN, 27053)
(Using_Erroneous_Condition_1_NT_Loop39_TestCase2, Error, 300465)
(Using_Erroneous_Condition_1_NT_Loop39_TestCase1, TRUE, 4867)
(Using_Erroneous_Condition_1_NT_Loop39_TestCase5, UNKNOWN, 32877)
(Using_Erroneous_Condition_1_NT_Loop39_TestCase4, Error, 300404)
(Using_Erroneous_Condition_1_NT_Loop39_TestCase6, FALSE, 8344)
(Using_Erroneous_Condition_1_NT_Loop39_TestCase7, UNKNOWN, 27578)</t>
  </si>
  <si>
    <t>(Using_Erroneous_Condition_1_NT_Loop0_TestCase1, TRUE, 4880)
(Using_Erroneous_Condition_1_NT_Loop0_TestCase2, Error, 300394)
(Using_Erroneous_Condition_1_NT_Loop0_TestCase3, UNKNOWN, 30474)
(Using_Erroneous_Condition_1_NT_Loop0_TestCase7, Error, 300417)
(Using_Erroneous_Condition_1_NT_Loop0_TestCase6, Error, 300424)
(Using_Erroneous_Condition_1_NT_Loop0_TestCase4, Error, 300372)
(Using_Erroneous_Condition_1_NT_Loop0_TestCase5, UNKNOWN, 29514)
(Using_Erroneous_Condition_1_NT_Loop0_TestCase10, FALSE, 8574)
(Using_Erroneous_Condition_1_NT_Loop0_TestCase8, FALSE, 8320)
(Using_Erroneous_Condition_1_NT_Loop0_TestCase9, Error, 300431)</t>
  </si>
  <si>
    <t>(Using_Erroneous_Condition_1_NT_Loop39_TestCase0, FALSE, 3966)</t>
  </si>
  <si>
    <t>(Using_Erroneous_Condition_1_NT_Loop0_TestCase0, FALSE, 3208)</t>
  </si>
  <si>
    <t>(Unsigned_Wraparound_Error_4_T_Loop13_TestCase9, UNKNOWN, 12492)
(Unsigned_Wraparound_Error_4_T_Loop13_TestCase8, UNKNOWN, 12096)
(Unsigned_Wraparound_Error_4_T_Loop13_TestCase6, TRUE, 3760)
(Unsigned_Wraparound_Error_4_T_Loop13_TestCase7, TRUE, 3713)
(Unsigned_Wraparound_Error_4_T_Loop13_TestCase5, UNKNOWN, 12247)
(Unsigned_Wraparound_Error_4_T_Loop13_TestCase4, UNKNOWN, 12470)
(Unsigned_Wraparound_Error_4_T_Loop13_TestCase1, TRUE, 2686)
(Unsigned_Wraparound_Error_4_T_Loop13_TestCase3, UNKNOWN, 11151)
(Unsigned_Wraparound_Error_4_T_Loop13_TestCase2, TRUE, 3780)
(Unsigned_Wraparound_Error_4_T_Loop13_TestCase10, UNKNOWN, 12183)</t>
  </si>
  <si>
    <t>(Unsigned_Wraparound_Error_4_T_Loop0_TestCase8, UNKNOWN, 13586)
(Unsigned_Wraparound_Error_4_T_Loop0_TestCase9, UNKNOWN, 12704)
(Unsigned_Wraparound_Error_4_T_Loop0_TestCase10, UNKNOWN, 12420)
(Unsigned_Wraparound_Error_4_T_Loop0_TestCase2, TRUE, 3834)
(Unsigned_Wraparound_Error_4_T_Loop0_TestCase3, UNKNOWN, 11732)
(Unsigned_Wraparound_Error_4_T_Loop0_TestCase1, TRUE, 2723)
(Unsigned_Wraparound_Error_4_T_Loop0_TestCase4, UNKNOWN, 12577)
(Unsigned_Wraparound_Error_4_T_Loop0_TestCase5, UNKNOWN, 12652)
(Unsigned_Wraparound_Error_4_T_Loop0_TestCase7, TRUE, 3822)
(Unsigned_Wraparound_Error_4_T_Loop0_TestCase6, TRUE, 3794)</t>
  </si>
  <si>
    <t>(Unsigned_Wraparound_Error_4_T_Loop13_TestCase0, UNKNOWN, 8739)</t>
  </si>
  <si>
    <t>(Unsigned_Wraparound_Error_4_T_Loop0_TestCase0, UNKNOWN, 9166)</t>
  </si>
  <si>
    <t>(Unsigned_Wraparound_Error_4_NT_Loop15_TestCase2, TRUE, 3558)
(Unsigned_Wraparound_Error_4_NT_Loop15_TestCase10, UNKNOWN, 6645)
(Unsigned_Wraparound_Error_4_NT_Loop15_TestCase3, UNKNOWN, 6578)
(Unsigned_Wraparound_Error_4_NT_Loop15_TestCase1, TRUE, 2600)
(Unsigned_Wraparound_Error_4_NT_Loop15_TestCase4, UNKNOWN, 6533)
(Unsigned_Wraparound_Error_4_NT_Loop15_TestCase5, UNKNOWN, 6673)
(Unsigned_Wraparound_Error_4_NT_Loop15_TestCase7, UNKNOWN, 6590)
(Unsigned_Wraparound_Error_4_NT_Loop15_TestCase6, UNKNOWN, 6617)
(Unsigned_Wraparound_Error_4_NT_Loop15_TestCase8, UNKNOWN, 6622)
(Unsigned_Wraparound_Error_4_NT_Loop15_TestCase9, UNKNOWN, 6599)</t>
  </si>
  <si>
    <t>(Unsigned_Wraparound_Error_4_NT_Loop0_TestCase8, Error, 300332)
(Unsigned_Wraparound_Error_4_NT_Loop0_TestCase9, Error, 300285)
(Unsigned_Wraparound_Error_4_NT_Loop0_TestCase10, Error, 300323)
(Unsigned_Wraparound_Error_4_NT_Loop0_TestCase2, TRUE, 3984)
(Unsigned_Wraparound_Error_4_NT_Loop0_TestCase3, TRUE, 5215)
(Unsigned_Wraparound_Error_4_NT_Loop0_TestCase1, TRUE, 2686)
(Unsigned_Wraparound_Error_4_NT_Loop0_TestCase4, Error, 300364)
(Unsigned_Wraparound_Error_4_NT_Loop0_TestCase5, Error, 300364)
(Unsigned_Wraparound_Error_4_NT_Loop0_TestCase7, Error, 300325)
(Unsigned_Wraparound_Error_4_NT_Loop0_TestCase6, Error, 300290)</t>
  </si>
  <si>
    <t>(Unsigned_Wraparound_Error_4_NT_Loop15_TestCase0, UNKNOWN, 6590)</t>
  </si>
  <si>
    <t>(Unsigned_Wraparound_Error_4_NT_Loop0_TestCase0, UNKNOWN, 10715)</t>
  </si>
  <si>
    <t>(Unsigned_Wraparound_Error_3_T_Loop19_TestCase8, Error, 300427)
(Unsigned_Wraparound_Error_3_T_Loop19_TestCase9, Error, 300358)
(Unsigned_Wraparound_Error_3_T_Loop19_TestCase1, UNKNOWN, 16422)
(Unsigned_Wraparound_Error_3_T_Loop19_TestCase2, TRUE, 4461)
(Unsigned_Wraparound_Error_3_T_Loop19_TestCase3, TRUE, 3064)
(Unsigned_Wraparound_Error_3_T_Loop19_TestCase7, Error, 300374)
(Unsigned_Wraparound_Error_3_T_Loop19_TestCase6, Error, 300260)
(Unsigned_Wraparound_Error_3_T_Loop19_TestCase10, Error, 300372)
(Unsigned_Wraparound_Error_3_T_Loop19_TestCase4, TRUE, 3027)
(Unsigned_Wraparound_Error_3_T_Loop19_TestCase5, TRUE, 3023)</t>
  </si>
  <si>
    <t>(Unsigned_Wraparound_Error_3_T_Loop0_TestCase5, TRUE, 2992)
(Unsigned_Wraparound_Error_3_T_Loop0_TestCase4, TRUE, 2962)
(Unsigned_Wraparound_Error_3_T_Loop0_TestCase6, Error, 300348)
(Unsigned_Wraparound_Error_3_T_Loop0_TestCase7, Error, 300346)
(Unsigned_Wraparound_Error_3_T_Loop0_TestCase10, Error, 300342)
(Unsigned_Wraparound_Error_3_T_Loop0_TestCase3, TRUE, 3028)
(Unsigned_Wraparound_Error_3_T_Loop0_TestCase2, TRUE, 4335)
(Unsigned_Wraparound_Error_3_T_Loop0_TestCase1, UNKNOWN, 17432)
(Unsigned_Wraparound_Error_3_T_Loop0_TestCase9, Error, 300337)
(Unsigned_Wraparound_Error_3_T_Loop0_TestCase8, Error, 300337)</t>
  </si>
  <si>
    <t>(Unsigned_Wraparound_Error_3_T_Loop19_TestCase0, UNKNOWN, 10698)</t>
  </si>
  <si>
    <t>(Unsigned_Wraparound_Error_3_T_Loop0_TestCase0, UNKNOWN, 10883)</t>
  </si>
  <si>
    <t>(Unsigned_Wraparound_Error_3_NT_Loop20_TestCase8, UNKNOWN, 9325)
(Unsigned_Wraparound_Error_3_NT_Loop20_TestCase9, UNKNOWN, 15807)
(Unsigned_Wraparound_Error_3_NT_Loop20_TestCase10, UNKNOWN, 10205)
(Unsigned_Wraparound_Error_3_NT_Loop20_TestCase7, UNKNOWN, 9376)
(Unsigned_Wraparound_Error_3_NT_Loop20_TestCase6, UNKNOWN, 8848)
(Unsigned_Wraparound_Error_3_NT_Loop20_TestCase4, TRUE, 2336)
(Unsigned_Wraparound_Error_3_NT_Loop20_TestCase5, TRUE, 2383)
(Unsigned_Wraparound_Error_3_NT_Loop20_TestCase1, UNKNOWN, 12233)
(Unsigned_Wraparound_Error_3_NT_Loop20_TestCase2, UNKNOWN, 9572)
(Unsigned_Wraparound_Error_3_NT_Loop20_TestCase3, TRUE, 2411)</t>
  </si>
  <si>
    <t>(Unsigned_Wraparound_Error_3_NT_Loop0_TestCase10, UNKNOWN, 9533)
(Unsigned_Wraparound_Error_3_NT_Loop0_TestCase8, UNKNOWN, 9249)
(Unsigned_Wraparound_Error_3_NT_Loop0_TestCase9, UNKNOWN, 15630)
(Unsigned_Wraparound_Error_3_NT_Loop0_TestCase1, UNKNOWN, 12030)
(Unsigned_Wraparound_Error_3_NT_Loop0_TestCase2, UNKNOWN, 9111)
(Unsigned_Wraparound_Error_3_NT_Loop0_TestCase3, TRUE, 2341)
(Unsigned_Wraparound_Error_3_NT_Loop0_TestCase7, UNKNOWN, 9400)
(Unsigned_Wraparound_Error_3_NT_Loop0_TestCase6, UNKNOWN, 8826)
(Unsigned_Wraparound_Error_3_NT_Loop0_TestCase4, TRUE, 2359)
(Unsigned_Wraparound_Error_3_NT_Loop0_TestCase5, TRUE, 2375)</t>
  </si>
  <si>
    <t>(Unsigned_Wraparound_Error_3_NT_Loop20_TestCase0, FALSE, 3530)</t>
  </si>
  <si>
    <t>(Unsigned_Wraparound_Error_3_NT_Loop0_TestCase0, FALSE, 3501)</t>
  </si>
  <si>
    <t>(Unsigned_Wraparound_Error_2_T_Loop18_TestCase2, UNKNOWN, 17173)
(Unsigned_Wraparound_Error_2_T_Loop18_TestCase3, UNKNOWN, 14951)
(Unsigned_Wraparound_Error_2_T_Loop18_TestCase1, TRUE, 13247)
(Unsigned_Wraparound_Error_2_T_Loop18_TestCase4, UNKNOWN, 15780)
(Unsigned_Wraparound_Error_2_T_Loop18_TestCase5, UNKNOWN, 16651)
(Unsigned_Wraparound_Error_2_T_Loop18_TestCase10, UNKNOWN, 15494)
(Unsigned_Wraparound_Error_2_T_Loop18_TestCase7, UNKNOWN, 14954)
(Unsigned_Wraparound_Error_2_T_Loop18_TestCase6, UNKNOWN, 15675)
(Unsigned_Wraparound_Error_2_T_Loop18_TestCase8, UNKNOWN, 15193)
(Unsigned_Wraparound_Error_2_T_Loop18_TestCase9, UNKNOWN, 18712)</t>
  </si>
  <si>
    <t>(Unsigned_Wraparound_Error_2_T_Loop0_TestCase10, UNKNOWN, 32171)
(Unsigned_Wraparound_Error_2_T_Loop0_TestCase9, UNKNOWN, 36664)
(Unsigned_Wraparound_Error_2_T_Loop0_TestCase8, UNKNOWN, 32745)
(Unsigned_Wraparound_Error_2_T_Loop0_TestCase6, UNKNOWN, 31901)
(Unsigned_Wraparound_Error_2_T_Loop0_TestCase7, UNKNOWN, 36030)
(Unsigned_Wraparound_Error_2_T_Loop0_TestCase5, UNKNOWN, 32996)
(Unsigned_Wraparound_Error_2_T_Loop0_TestCase4, UNKNOWN, 35088)
(Unsigned_Wraparound_Error_2_T_Loop0_TestCase1, TRUE, 12290)
(Unsigned_Wraparound_Error_2_T_Loop0_TestCase3, UNKNOWN, 32649)
(Unsigned_Wraparound_Error_2_T_Loop0_TestCase2, UNKNOWN, 34360)</t>
  </si>
  <si>
    <t>(Unsigned_Wraparound_Error_2_T_Loop18_TestCase0, UNKNOWN, 14579)</t>
  </si>
  <si>
    <t>(Unsigned_Wraparound_Error_2_T_Loop0_TestCase0, UNKNOWN, 33374)</t>
  </si>
  <si>
    <t>(Unsigned_Wraparound_Error_2_NT_Loop18_TestCase8, UNKNOWN, 13794)
(Unsigned_Wraparound_Error_2_NT_Loop18_TestCase9, UNKNOWN, 16590)
(Unsigned_Wraparound_Error_2_NT_Loop18_TestCase4, UNKNOWN, 11408)
(Unsigned_Wraparound_Error_2_NT_Loop18_TestCase5, UNKNOWN, 14526)
(Unsigned_Wraparound_Error_2_NT_Loop18_TestCase7, UNKNOWN, 15448)
(Unsigned_Wraparound_Error_2_NT_Loop18_TestCase6, UNKNOWN, 25535)
(Unsigned_Wraparound_Error_2_NT_Loop18_TestCase2, UNKNOWN, 11324)
(Unsigned_Wraparound_Error_2_NT_Loop18_TestCase3, UNKNOWN, 15067)
(Unsigned_Wraparound_Error_2_NT_Loop18_TestCase1, TRUE, 2405)
(Unsigned_Wraparound_Error_2_NT_Loop18_TestCase10, UNKNOWN, 25534)</t>
  </si>
  <si>
    <t>(Unsigned_Wraparound_Error_2_NT_Loop0_TestCase9, UNKNOWN, 11353)
(Unsigned_Wraparound_Error_2_NT_Loop0_TestCase8, UNKNOWN, 11016)
(Unsigned_Wraparound_Error_2_NT_Loop0_TestCase10, UNKNOWN, 11761)
(Unsigned_Wraparound_Error_2_NT_Loop0_TestCase5, UNKNOWN, 11958)
(Unsigned_Wraparound_Error_2_NT_Loop0_TestCase4, UNKNOWN, 11262)
(Unsigned_Wraparound_Error_2_NT_Loop0_TestCase6, UNKNOWN, 11380)
(Unsigned_Wraparound_Error_2_NT_Loop0_TestCase7, UNKNOWN, 14971)
(Unsigned_Wraparound_Error_2_NT_Loop0_TestCase3, UNKNOWN, 10201)
(Unsigned_Wraparound_Error_2_NT_Loop0_TestCase2, UNKNOWN, 14694)
(Unsigned_Wraparound_Error_2_NT_Loop0_TestCase1, TRUE, 2410)</t>
  </si>
  <si>
    <t>(Unsigned_Wraparound_Error_2_NT_Loop18_TestCase0, UNKNOWN, 11643)</t>
  </si>
  <si>
    <t>(Unsigned_Wraparound_Error_2_NT_Loop0_TestCase0, UNKNOWN, 11757)</t>
  </si>
  <si>
    <t>(Unsigned_Wraparound_Error_1_T_Loop22_TestCase2, TRUE, 4324)
(Unsigned_Wraparound_Error_1_T_Loop22_TestCase3, UNKNOWN, 28062)
(Unsigned_Wraparound_Error_1_T_Loop22_TestCase1, TRUE, 4288)
(Unsigned_Wraparound_Error_1_T_Loop22_TestCase4, UNKNOWN, 27941)
(Unsigned_Wraparound_Error_1_T_Loop22_TestCase5, UNKNOWN, 27858)
(Unsigned_Wraparound_Error_1_T_Loop22_TestCase7, UNKNOWN, 28350)
(Unsigned_Wraparound_Error_1_T_Loop22_TestCase6, UNKNOWN, 28216)
(Unsigned_Wraparound_Error_1_T_Loop22_TestCase8, UNKNOWN, 28360)
(Unsigned_Wraparound_Error_1_T_Loop22_TestCase9, UNKNOWN, 28058)
(Unsigned_Wraparound_Error_1_T_Loop22_TestCase10, TRUE, 4345)</t>
  </si>
  <si>
    <t>(Unsigned_Wraparound_Error_1_T_Loop0_TestCase2, TRUE, 4372)
(Unsigned_Wraparound_Error_1_T_Loop0_TestCase3, UNKNOWN, 28491)
(Unsigned_Wraparound_Error_1_T_Loop0_TestCase1, TRUE, 4291)
(Unsigned_Wraparound_Error_1_T_Loop0_TestCase4, UNKNOWN, 28205)
(Unsigned_Wraparound_Error_1_T_Loop0_TestCase5, UNKNOWN, 28328)
(Unsigned_Wraparound_Error_1_T_Loop0_TestCase7, UNKNOWN, 28402)
(Unsigned_Wraparound_Error_1_T_Loop0_TestCase6, UNKNOWN, 33911)
(Unsigned_Wraparound_Error_1_T_Loop0_TestCase10, TRUE, 4285)
(Unsigned_Wraparound_Error_1_T_Loop0_TestCase8, UNKNOWN, 28248)
(Unsigned_Wraparound_Error_1_T_Loop0_TestCase9, UNKNOWN, 28555)</t>
  </si>
  <si>
    <t>(Unsigned_Wraparound_Error_1_T_Loop22_TestCase0, UNKNOWN, 62184)</t>
  </si>
  <si>
    <t>(Unsigned_Wraparound_Error_1_T_Loop0_TestCase0, UNKNOWN, 62378)</t>
  </si>
  <si>
    <t>(Unsigned_Wraparound_Error_1_NT_Loop22_TestCase8, UNKNOWN, 6511)
(Unsigned_Wraparound_Error_1_NT_Loop22_TestCase9, UNKNOWN, 6482)
(Unsigned_Wraparound_Error_1_NT_Loop22_TestCase4, UNKNOWN, 6506)
(Unsigned_Wraparound_Error_1_NT_Loop22_TestCase5, UNKNOWN, 6530)
(Unsigned_Wraparound_Error_1_NT_Loop22_TestCase10, UNKNOWN, 6650)
(Unsigned_Wraparound_Error_1_NT_Loop22_TestCase7, UNKNOWN, 6593)
(Unsigned_Wraparound_Error_1_NT_Loop22_TestCase6, UNKNOWN, 6553)
(Unsigned_Wraparound_Error_1_NT_Loop22_TestCase2, TRUE, 2352)
(Unsigned_Wraparound_Error_1_NT_Loop22_TestCase3, UNKNOWN, 6469)
(Unsigned_Wraparound_Error_1_NT_Loop22_TestCase1, TRUE, 2307)</t>
  </si>
  <si>
    <t>(Unsigned_Wraparound_Error_1_NT_Loop0_TestCase9, UNKNOWN, 7528)
(Unsigned_Wraparound_Error_1_NT_Loop0_TestCase8, UNKNOWN, 7535)
(Unsigned_Wraparound_Error_1_NT_Loop0_TestCase1, TRUE, 2323)
(Unsigned_Wraparound_Error_1_NT_Loop0_TestCase10, UNKNOWN, 7693)
(Unsigned_Wraparound_Error_1_NT_Loop0_TestCase3, UNKNOWN, 8906)
(Unsigned_Wraparound_Error_1_NT_Loop0_TestCase2, TRUE, 2322)
(Unsigned_Wraparound_Error_1_NT_Loop0_TestCase6, UNKNOWN, 8792)
(Unsigned_Wraparound_Error_1_NT_Loop0_TestCase7, UNKNOWN, 7456)
(Unsigned_Wraparound_Error_1_NT_Loop0_TestCase5, UNKNOWN, 9075)
(Unsigned_Wraparound_Error_1_NT_Loop0_TestCase4, UNKNOWN, 9006)</t>
  </si>
  <si>
    <t>(Unsigned_Wraparound_Error_1_NT_Loop22_TestCase0, UNKNOWN, 26493)</t>
  </si>
  <si>
    <t>(Unsigned_Wraparound_Error_1_NT_Loop0_TestCase0, UNKNOWN, 32962)</t>
  </si>
  <si>
    <t>(Undefined_Behavior_3_T_Loop15_TestCase9, TRUE, 2722)
(Undefined_Behavior_3_T_Loop15_TestCase8, TRUE, 2742)
(Undefined_Behavior_3_T_Loop15_TestCase10, TRUE, 2706)
(Undefined_Behavior_3_T_Loop15_TestCase5, TRUE, 2714)
(Undefined_Behavior_3_T_Loop15_TestCase4, TRUE, 2730)
(Undefined_Behavior_3_T_Loop15_TestCase6, TRUE, 2477)
(Undefined_Behavior_3_T_Loop15_TestCase7, TRUE, 2754)
(Undefined_Behavior_3_T_Loop15_TestCase3, TRUE, 2459)
(Undefined_Behavior_3_T_Loop15_TestCase2, TRUE, 2733)
(Undefined_Behavior_3_T_Loop15_TestCase1, TRUE, 2504)</t>
  </si>
  <si>
    <t>(Undefined_Behavior_3_T_Loop0_TestCase8, TRUE, 2618)
(Undefined_Behavior_3_T_Loop0_TestCase9, TRUE, 2723)
(Undefined_Behavior_3_T_Loop0_TestCase10, TRUE, 2712)
(Undefined_Behavior_3_T_Loop0_TestCase7, TRUE, 2692)
(Undefined_Behavior_3_T_Loop0_TestCase6, TRUE, 2669)
(Undefined_Behavior_3_T_Loop0_TestCase4, TRUE, 2700)
(Undefined_Behavior_3_T_Loop0_TestCase5, TRUE, 2669)
(Undefined_Behavior_3_T_Loop0_TestCase1, TRUE, 2454)
(Undefined_Behavior_3_T_Loop0_TestCase2, TRUE, 2665)
(Undefined_Behavior_3_T_Loop0_TestCase3, TRUE, 2647)</t>
  </si>
  <si>
    <t>(Undefined_Behavior_3_T_Loop15_TestCase0, TRUE, 2624)</t>
  </si>
  <si>
    <t>(Undefined_Behavior_3_T_Loop0_TestCase0, TRUE, 2656)</t>
  </si>
  <si>
    <t>(Undefined_Behavior_3_Loop15_TestCase3, UNKNOWN, 4292)
(Undefined_Behavior_3_Loop15_TestCase2, UNKNOWN, 4328)
(Undefined_Behavior_3_Loop15_TestCase1, UNKNOWN, 4239)
(Undefined_Behavior_3_Loop15_TestCase5, UNKNOWN, 4335)
(Undefined_Behavior_3_Loop15_TestCase4, UNKNOWN, 4297)
(Undefined_Behavior_3_Loop15_TestCase6, UNKNOWN, 4284)
(Undefined_Behavior_3_Loop15_TestCase7, UNKNOWN, 4316)
(Undefined_Behavior_3_Loop15_TestCase10, UNKNOWN, 4699)
(Undefined_Behavior_3_Loop15_TestCase9, UNKNOWN, 4305)
(Undefined_Behavior_3_Loop15_TestCase8, UNKNOWN, 4297)</t>
  </si>
  <si>
    <t>(Undefined_Behavior_3_Loop0_TestCase6, UNKNOWN, 4349)
(Undefined_Behavior_3_Loop0_TestCase7, UNKNOWN, 4287)
(Undefined_Behavior_3_Loop0_TestCase5, UNKNOWN, 4330)
(Undefined_Behavior_3_Loop0_TestCase4, UNKNOWN, 4327)
(Undefined_Behavior_3_Loop0_TestCase1, UNKNOWN, 4236)
(Undefined_Behavior_3_Loop0_TestCase3, UNKNOWN, 4314)
(Undefined_Behavior_3_Loop0_TestCase2, UNKNOWN, 4316)
(Undefined_Behavior_3_Loop0_TestCase10, UNKNOWN, 4371)
(Undefined_Behavior_3_Loop0_TestCase9, UNKNOWN, 4354)
(Undefined_Behavior_3_Loop0_TestCase8, UNKNOWN, 4343)</t>
  </si>
  <si>
    <t>(Undefined_Behavior_3_Loop15_TestCase0, UNKNOWN, 4210)</t>
  </si>
  <si>
    <t>(Undefined_Behavior_3_Loop0_TestCase0, UNKNOWN, 4258)</t>
  </si>
  <si>
    <t>(Undefined_Behavior_2_T_Loop25_TestCase9, Error, 300329)
(Undefined_Behavior_2_T_Loop25_TestCase8, Error, 300371)
(Undefined_Behavior_2_T_Loop14_TestCase6, Error, 300390)
(Undefined_Behavior_2_T_Loop14_TestCase7, Error, 300365)
(Undefined_Behavior_2_T_Loop14_TestCase5, UNKNOWN, 4257)
(Undefined_Behavior_2_T_Loop25_TestCase10, Error, 300346)
(Undefined_Behavior_2_T_Loop14_TestCase4, Error, 300375)
(Undefined_Behavior_2_T_Loop14_TestCase1, Error, 300370)
(Undefined_Behavior_2_T_Loop14_TestCase3, UNKNOWN, 4162)
(Undefined_Behavior_2_T_Loop14_TestCase2, Error, 300371)
(Undefined_Behavior_2_T_Loop14_TestCase9, Error, 300350)
(Undefined_Behavior_2_T_Loop14_TestCase8, Error, 300341)
(Undefined_Behavior_2_T_Loop14_TestCase10, Error, 300386)
(Undefined_Behavior_2_T_Loop25_TestCase1, Error, 300371)
(Undefined_Behavior_2_T_Loop25_TestCase3, UNKNOWN, 4545)
(Undefined_Behavior_2_T_Loop25_TestCase2, Error, 300371)
(Undefined_Behavior_2_T_Loop25_TestCase6, Error, 300388)
(Undefined_Behavior_2_T_Loop25_TestCase7, Error, 300376)
(Undefined_Behavior_2_T_Loop25_TestCase5, UNKNOWN, 4030)
(Undefined_Behavior_2_T_Loop25_TestCase4, Error, 300345)</t>
  </si>
  <si>
    <t>(Undefined_Behavior_2_T_Loop0_TestCase4, Error, 300329)
(Undefined_Behavior_2_T_Loop0_TestCase5, UNKNOWN, 4078)
(Undefined_Behavior_2_T_Loop0_TestCase7, Error, 300328)
(Undefined_Behavior_2_T_Loop0_TestCase6, Error, 300357)
(Undefined_Behavior_2_T_Loop0_TestCase2, Error, 300332)
(Undefined_Behavior_2_T_Loop0_TestCase3, UNKNOWN, 4134)
(Undefined_Behavior_2_T_Loop0_TestCase1, Error, 300337)
(Undefined_Behavior_2_T_Loop0_TestCase8, Error, 300348)
(Undefined_Behavior_2_T_Loop0_TestCase9, Error, 300343)
(Undefined_Behavior_2_T_Loop0_TestCase10, Error, 300273)</t>
  </si>
  <si>
    <t>(Undefined_Behavior_2_T_Loop14_TestCase0, UNKNOWN, 4063)
(Undefined_Behavior_2_T_Loop25_TestCase0, UNKNOWN, 4046)</t>
  </si>
  <si>
    <t>(Undefined_Behavior_2_T_Loop0_TestCase0, UNKNOWN, 4020)</t>
  </si>
  <si>
    <t>(Undefined_Behavior_2_Loop13_TestCase10, Error, 300392)
(Undefined_Behavior_2_Loop24_TestCase9, Error, 300325)
(Undefined_Behavior_2_Loop24_TestCase8, Error, 300373)
(Undefined_Behavior_2_Loop13_TestCase9, Error, 300400)
(Undefined_Behavior_2_Loop13_TestCase8, Error, 300297)
(Undefined_Behavior_2_Loop13_TestCase3, UNKNOWN, 4073)
(Undefined_Behavior_2_Loop13_TestCase2, Error, 300357)
(Undefined_Behavior_2_Loop24_TestCase10, Error, 300358)
(Undefined_Behavior_2_Loop13_TestCase1, Error, 300357)
(Undefined_Behavior_2_Loop13_TestCase5, UNKNOWN, 4085)
(Undefined_Behavior_2_Loop13_TestCase4, Error, 300440)
(Undefined_Behavior_2_Loop13_TestCase6, Error, 300361)
(Undefined_Behavior_2_Loop13_TestCase7, Error, 300349)
(Undefined_Behavior_2_Loop24_TestCase6, Error, 300398)
(Undefined_Behavior_2_Loop24_TestCase7, Error, 300342)
(Undefined_Behavior_2_Loop24_TestCase5, UNKNOWN, 4110)
(Undefined_Behavior_2_Loop24_TestCase4, Error, 300362)
(Undefined_Behavior_2_Loop24_TestCase1, Error, 300345)
(Undefined_Behavior_2_Loop24_TestCase3, UNKNOWN, 4511)
(Undefined_Behavior_2_Loop24_TestCase2, Error, 300354)</t>
  </si>
  <si>
    <t>(Undefined_Behavior_2_Loop0_TestCase7, Error, 300335)
(Undefined_Behavior_2_Loop0_TestCase10, Error, 300337)
(Undefined_Behavior_2_Loop0_TestCase6, Error, 300323)
(Undefined_Behavior_2_Loop0_TestCase4, Error, 300331)
(Undefined_Behavior_2_Loop0_TestCase5, UNKNOWN, 4072)
(Undefined_Behavior_2_Loop0_TestCase1, Error, 300273)
(Undefined_Behavior_2_Loop0_TestCase2, Error, 300363)
(Undefined_Behavior_2_Loop0_TestCase3, UNKNOWN, 4144)
(Undefined_Behavior_2_Loop0_TestCase8, Error, 300335)
(Undefined_Behavior_2_Loop0_TestCase9, Error, 300363)</t>
  </si>
  <si>
    <t>(Undefined_Behavior_2_Loop13_TestCase0, UNKNOWN, 3934)
(Undefined_Behavior_2_Loop24_TestCase0, UNKNOWN, 4039)</t>
  </si>
  <si>
    <t>(Undefined_Behavior_2_Loop0_TestCase0, UNKNOWN, 4083)</t>
  </si>
  <si>
    <t>(Undefined_Behavior_1_T_Loop15_TestCase8, UNKNOWN, 5900)
(Undefined_Behavior_1_T_Loop15_TestCase9, UNKNOWN, 5908)
(Undefined_Behavior_1_T_Loop15_TestCase4, UNKNOWN, 5838)
(Undefined_Behavior_1_T_Loop15_TestCase10, UNKNOWN, 5798)
(Undefined_Behavior_1_T_Loop15_TestCase5, UNKNOWN, 5885)
(Undefined_Behavior_1_T_Loop15_TestCase7, UNKNOWN, 5859)
(Undefined_Behavior_1_T_Loop15_TestCase6, UNKNOWN, 6341)
(Undefined_Behavior_1_T_Loop15_TestCase2, TRUE, 3199)
(Undefined_Behavior_1_T_Loop15_TestCase3, TRUE, 3247)
(Undefined_Behavior_1_T_Loop15_TestCase1, TRUE, 2327)</t>
  </si>
  <si>
    <t>(Undefined_Behavior_1_T_Loop0_TestCase9, UNKNOWN, 7531)
(Undefined_Behavior_1_T_Loop0_TestCase8, UNKNOWN, 7524)
(Undefined_Behavior_1_T_Loop0_TestCase1, TRUE, 2446)
(Undefined_Behavior_1_T_Loop0_TestCase3, TRUE, 3776)
(Undefined_Behavior_1_T_Loop0_TestCase2, TRUE, 3778)
(Undefined_Behavior_1_T_Loop0_TestCase6, UNKNOWN, 7571)
(Undefined_Behavior_1_T_Loop0_TestCase7, UNKNOWN, 7576)
(Undefined_Behavior_1_T_Loop0_TestCase5, UNKNOWN, 7477)
(Undefined_Behavior_1_T_Loop0_TestCase10, UNKNOWN, 7515)
(Undefined_Behavior_1_T_Loop0_TestCase4, UNKNOWN, 7815)</t>
  </si>
  <si>
    <t>(Undefined_Behavior_1_T_Loop15_TestCase0, FALSE, 2187)</t>
  </si>
  <si>
    <t>(Undefined_Behavior_1_T_Loop0_TestCase0, FALSE, 2580)</t>
  </si>
  <si>
    <t>(Undefined_Behavior_1_Loop14_TestCase3, UNKNOWN, 4276)
(Undefined_Behavior_1_Loop14_TestCase2, UNKNOWN, 4699)
(Undefined_Behavior_1_Loop14_TestCase1, UNKNOWN, 4656)
(Undefined_Behavior_1_Loop14_TestCase5, UNKNOWN, 4715)
(Undefined_Behavior_1_Loop14_TestCase4, UNKNOWN, 4274)
(Undefined_Behavior_1_Loop14_TestCase6, UNKNOWN, 4260)
(Undefined_Behavior_1_Loop14_TestCase7, UNKNOWN, 4660)
(Undefined_Behavior_1_Loop14_TestCase10, UNKNOWN, 4264)
(Undefined_Behavior_1_Loop14_TestCase9, UNKNOWN, 4306)
(Undefined_Behavior_1_Loop14_TestCase8, UNKNOWN, 4291)</t>
  </si>
  <si>
    <t>(Undefined_Behavior_1_Loop0_TestCase5, UNKNOWN, 4280)
(Undefined_Behavior_1_Loop0_TestCase4, UNKNOWN, 4307)
(Undefined_Behavior_1_Loop0_TestCase6, UNKNOWN, 4293)
(Undefined_Behavior_1_Loop0_TestCase7, UNKNOWN, 4315)
(Undefined_Behavior_1_Loop0_TestCase3, UNKNOWN, 4316)
(Undefined_Behavior_1_Loop0_TestCase2, UNKNOWN, 4340)
(Undefined_Behavior_1_Loop0_TestCase1, UNKNOWN, 4338)
(Undefined_Behavior_1_Loop0_TestCase9, UNKNOWN, 4711)
(Undefined_Behavior_1_Loop0_TestCase8, UNKNOWN, 4286)
(Undefined_Behavior_1_Loop0_TestCase10, UNKNOWN, 4293)</t>
  </si>
  <si>
    <t>(Undefined_Behavior_1_Loop14_TestCase0, UNKNOWN, 4235)</t>
  </si>
  <si>
    <t>(Undefined_Behavior_1_Loop0_TestCase0, UNKNOWN, 4274)</t>
  </si>
  <si>
    <t>(Type_Conversion_in_Comparison_2_T_Loop16_TestCase8, UNKNOWN, 14650)
(Type_Conversion_in_Comparison_2_T_Loop16_TestCase9, UNKNOWN, 14256)
(Type_Conversion_in_Comparison_2_T_Loop16_TestCase10, UNKNOWN, 14983)
(Type_Conversion_in_Comparison_2_T_Loop16_TestCase7, UNKNOWN, 14685)
(Type_Conversion_in_Comparison_2_T_Loop16_TestCase6, TRUE, 3446)
(Type_Conversion_in_Comparison_2_T_Loop16_TestCase4, UNKNOWN, 15167)
(Type_Conversion_in_Comparison_2_T_Loop16_TestCase5, UNKNOWN, 14907)
(Type_Conversion_in_Comparison_2_T_Loop16_TestCase1, TRUE, 3424)
(Type_Conversion_in_Comparison_2_T_Loop16_TestCase2, UNKNOWN, 14900)
(Type_Conversion_in_Comparison_2_T_Loop16_TestCase3, TRUE, 5917)</t>
  </si>
  <si>
    <t>(Type_Conversion_in_Comparison_2_T_Loop0_TestCase9, UNKNOWN, 13022)
(Type_Conversion_in_Comparison_2_T_Loop0_TestCase8, UNKNOWN, 14741)
(Type_Conversion_in_Comparison_2_T_Loop0_TestCase10, UNKNOWN, 14635)
(Type_Conversion_in_Comparison_2_T_Loop0_TestCase1, TRUE, 3339)
(Type_Conversion_in_Comparison_2_T_Loop0_TestCase3, TRUE, 6237)
(Type_Conversion_in_Comparison_2_T_Loop0_TestCase2, UNKNOWN, 15022)
(Type_Conversion_in_Comparison_2_T_Loop0_TestCase6, TRUE, 3310)
(Type_Conversion_in_Comparison_2_T_Loop0_TestCase7, UNKNOWN, 12476)
(Type_Conversion_in_Comparison_2_T_Loop0_TestCase5, UNKNOWN, 14456)
(Type_Conversion_in_Comparison_2_T_Loop0_TestCase4, UNKNOWN, 13301)</t>
  </si>
  <si>
    <t>(Type_Conversion_in_Comparison_2_T_Loop16_TestCase0, UNKNOWN, 16505)</t>
  </si>
  <si>
    <t>(Type_Conversion_in_Comparison_2_T_Loop0_TestCase0, UNKNOWN, 14837)</t>
  </si>
  <si>
    <t>(Type_Conversion_in_Comparison_2_NT_Loop17_TestCase8, UNKNOWN, 10699)
(Type_Conversion_in_Comparison_2_NT_Loop17_TestCase9, UNKNOWN, 11246)
(Type_Conversion_in_Comparison_2_NT_Loop17_TestCase10, UNKNOWN, 10227)
(Type_Conversion_in_Comparison_2_NT_Loop17_TestCase1, TRUE, 3285)
(Type_Conversion_in_Comparison_2_NT_Loop17_TestCase2, UNKNOWN, 14316)
(Type_Conversion_in_Comparison_2_NT_Loop17_TestCase3, TRUE, 5124)
(Type_Conversion_in_Comparison_2_NT_Loop17_TestCase7, UNKNOWN, 10183)
(Type_Conversion_in_Comparison_2_NT_Loop17_TestCase6, UNKNOWN, 10642)
(Type_Conversion_in_Comparison_2_NT_Loop17_TestCase4, UNKNOWN, 10445)
(Type_Conversion_in_Comparison_2_NT_Loop17_TestCase5, UNKNOWN, 11686)</t>
  </si>
  <si>
    <t>(Type_Conversion_in_Comparison_2_NT_Loop0_TestCase5, UNKNOWN, 12099)
(Type_Conversion_in_Comparison_2_NT_Loop0_TestCase4, UNKNOWN, 11995)
(Type_Conversion_in_Comparison_2_NT_Loop0_TestCase6, UNKNOWN, 11595)
(Type_Conversion_in_Comparison_2_NT_Loop0_TestCase7, UNKNOWN, 12013)
(Type_Conversion_in_Comparison_2_NT_Loop0_TestCase3, TRUE, 5077)
(Type_Conversion_in_Comparison_2_NT_Loop0_TestCase2, UNKNOWN, 10473)
(Type_Conversion_in_Comparison_2_NT_Loop0_TestCase1, TRUE, 3013)
(Type_Conversion_in_Comparison_2_NT_Loop0_TestCase10, UNKNOWN, 10709)
(Type_Conversion_in_Comparison_2_NT_Loop0_TestCase9, UNKNOWN, 10059)
(Type_Conversion_in_Comparison_2_NT_Loop0_TestCase8, UNKNOWN, 12103)</t>
  </si>
  <si>
    <t>(Type_Conversion_in_Comparison_2_NT_Loop17_TestCase0, UNKNOWN, 10911)</t>
  </si>
  <si>
    <t>(Type_Conversion_in_Comparison_2_NT_Loop0_TestCase0, UNKNOWN, 11066)</t>
  </si>
  <si>
    <t>(Type_Conversion_in_Comparison_1_T_Loop18_TestCase8, TRUE, 2519)
(Type_Conversion_in_Comparison_1_T_Loop18_TestCase9, TRUE, 2733)
(Type_Conversion_in_Comparison_1_T_Loop18_TestCase7, TRUE, 2494)
(Type_Conversion_in_Comparison_1_T_Loop18_TestCase6, TRUE, 2707)
(Type_Conversion_in_Comparison_1_T_Loop18_TestCase4, TRUE, 2678)
(Type_Conversion_in_Comparison_1_T_Loop18_TestCase5, TRUE, 2522)
(Type_Conversion_in_Comparison_1_T_Loop18_TestCase1, TRUE, 2519)
(Type_Conversion_in_Comparison_1_T_Loop18_TestCase2, TRUE, 2495)
(Type_Conversion_in_Comparison_1_T_Loop18_TestCase3, TRUE, 2729)
(Type_Conversion_in_Comparison_1_T_Loop18_TestCase10, TRUE, 2685)</t>
  </si>
  <si>
    <t>(Type_Conversion_in_Comparison_1_T_Loop0_TestCase4, TRUE, 2832)
(Type_Conversion_in_Comparison_1_T_Loop0_TestCase5, TRUE, 2841)
(Type_Conversion_in_Comparison_1_T_Loop0_TestCase7, TRUE, 2816)
(Type_Conversion_in_Comparison_1_T_Loop0_TestCase6, TRUE, 2824)
(Type_Conversion_in_Comparison_1_T_Loop0_TestCase2, TRUE, 2814)
(Type_Conversion_in_Comparison_1_T_Loop0_TestCase3, TRUE, 2842)
(Type_Conversion_in_Comparison_1_T_Loop0_TestCase1, TRUE, 2853)
(Type_Conversion_in_Comparison_1_T_Loop0_TestCase10, TRUE, 2854)
(Type_Conversion_in_Comparison_1_T_Loop0_TestCase8, TRUE, 2871)
(Type_Conversion_in_Comparison_1_T_Loop0_TestCase9, TRUE, 2826)</t>
  </si>
  <si>
    <t>(Type_Conversion_in_Comparison_1_T_Loop18_TestCase0, TRUE, 2458)</t>
  </si>
  <si>
    <t>(Type_Conversion_in_Comparison_1_T_Loop0_TestCase0, TRUE, 2815)</t>
  </si>
  <si>
    <t>(Type_Conversion_in_Comparison_1_NT_Loop16_TestCase3, UNKNOWN, 21725)
(Type_Conversion_in_Comparison_1_NT_Loop16_TestCase2, UNKNOWN, 24562)
(Type_Conversion_in_Comparison_1_NT_Loop16_TestCase1, TRUE, 6733)
(Type_Conversion_in_Comparison_1_NT_Loop16_TestCase5, UNKNOWN, 32627)
(Type_Conversion_in_Comparison_1_NT_Loop16_TestCase4, UNKNOWN, 35017)
(Type_Conversion_in_Comparison_1_NT_Loop16_TestCase6, UNKNOWN, 27455)
(Type_Conversion_in_Comparison_1_NT_Loop16_TestCase7, UNKNOWN, 24520)
(Type_Conversion_in_Comparison_1_NT_Loop16_TestCase9, UNKNOWN, 40492)
(Type_Conversion_in_Comparison_1_NT_Loop16_TestCase8, Error, 300396)
(Type_Conversion_in_Comparison_1_NT_Loop16_TestCase10, UNKNOWN, 23015)</t>
  </si>
  <si>
    <t>(Type_Conversion_in_Comparison_1_NT_Loop0_TestCase1, TRUE, 9433)
(Type_Conversion_in_Comparison_1_NT_Loop0_TestCase3, UNKNOWN, 35120)
(Type_Conversion_in_Comparison_1_NT_Loop0_TestCase2, UNKNOWN, 34290)
(Type_Conversion_in_Comparison_1_NT_Loop0_TestCase6, UNKNOWN, 47782)
(Type_Conversion_in_Comparison_1_NT_Loop0_TestCase10, UNKNOWN, 35928)
(Type_Conversion_in_Comparison_1_NT_Loop0_TestCase7, UNKNOWN, 34352)
(Type_Conversion_in_Comparison_1_NT_Loop0_TestCase5, UNKNOWN, 41543)
(Type_Conversion_in_Comparison_1_NT_Loop0_TestCase4, UNKNOWN, 44056)
(Type_Conversion_in_Comparison_1_NT_Loop0_TestCase9, UNKNOWN, 45906)
(Type_Conversion_in_Comparison_1_NT_Loop0_TestCase8, UNKNOWN, 28995)</t>
  </si>
  <si>
    <t>(Type_Conversion_in_Comparison_1_NT_Loop16_TestCase0, UNKNOWN, 27253)</t>
  </si>
  <si>
    <t>(Type_Conversion_in_Comparison_1_NT_Loop0_TestCase0, UNKNOWN, 33439)</t>
  </si>
  <si>
    <t>(Type_Conversion_in_Assignment_1_T_Loop26_TestCase6, TRUE, 3623)
(Type_Conversion_in_Assignment_1_T_Loop26_TestCase7, TRUE, 3543)
(Type_Conversion_in_Assignment_1_T_Loop26_TestCase5, TRUE, 2937)
(Type_Conversion_in_Assignment_1_T_Loop26_TestCase4, TRUE, 2911)
(Type_Conversion_in_Assignment_1_T_Loop26_TestCase1, TRUE, 2820)
(Type_Conversion_in_Assignment_1_T_Loop26_TestCase3, TRUE, 2943)
(Type_Conversion_in_Assignment_1_T_Loop26_TestCase2, TRUE, 2879)
(Type_Conversion_in_Assignment_1_T_Loop26_TestCase9, TRUE, 3529)
(Type_Conversion_in_Assignment_1_T_Loop26_TestCase8, TRUE, 3517)
(Type_Conversion_in_Assignment_1_T_Loop26_TestCase10, TRUE, 3404)</t>
  </si>
  <si>
    <t>(Type_Conversion_in_Assignment_1_T_Loop0_TestCase9, TRUE, 3176)
(Type_Conversion_in_Assignment_1_T_Loop0_TestCase8, TRUE, 3091)
(Type_Conversion_in_Assignment_1_T_Loop0_TestCase10, TRUE, 3297)
(Type_Conversion_in_Assignment_1_T_Loop0_TestCase1, TRUE, 2754)
(Type_Conversion_in_Assignment_1_T_Loop0_TestCase3, TRUE, 2748)
(Type_Conversion_in_Assignment_1_T_Loop0_TestCase2, TRUE, 2744)
(Type_Conversion_in_Assignment_1_T_Loop0_TestCase6, TRUE, 3292)
(Type_Conversion_in_Assignment_1_T_Loop0_TestCase7, TRUE, 3328)
(Type_Conversion_in_Assignment_1_T_Loop0_TestCase5, TRUE, 2759)
(Type_Conversion_in_Assignment_1_T_Loop0_TestCase4, TRUE, 2757)</t>
  </si>
  <si>
    <t>(Type_Conversion_in_Assignment_1_T_Loop26_TestCase0, TRUE, 3411)</t>
  </si>
  <si>
    <t>(Type_Conversion_in_Assignment_1_T_Loop0_TestCase0, TRUE, 3283)</t>
  </si>
  <si>
    <t>(Type_Conversion_in_Assignment_1_NT_Loop27_TestCase10, Error, 300556)
(Type_Conversion_in_Assignment_1_NT_Loop27_TestCase7, Error, 300403)
(Type_Conversion_in_Assignment_1_NT_Loop27_TestCase6, Error, 300499)
(Type_Conversion_in_Assignment_1_NT_Loop27_TestCase4, TRUE, 3107)
(Type_Conversion_in_Assignment_1_NT_Loop27_TestCase5, TRUE, 2803)
(Type_Conversion_in_Assignment_1_NT_Loop27_TestCase1, TRUE, 2755)
(Type_Conversion_in_Assignment_1_NT_Loop27_TestCase2, TRUE, 2768)
(Type_Conversion_in_Assignment_1_NT_Loop27_TestCase3, TRUE, 3118)
(Type_Conversion_in_Assignment_1_NT_Loop27_TestCase8, Error, 300445)
(Type_Conversion_in_Assignment_1_NT_Loop27_TestCase9, Error, 300538)</t>
  </si>
  <si>
    <t>(Type_Conversion_in_Assignment_1_NT_Loop0_TestCase9, Error, 300382)
(Type_Conversion_in_Assignment_1_NT_Loop0_TestCase8, Error, 300437)
(Type_Conversion_in_Assignment_1_NT_Loop0_TestCase10, Error, 300398)
(Type_Conversion_in_Assignment_1_NT_Loop0_TestCase5, TRUE, 11652)
(Type_Conversion_in_Assignment_1_NT_Loop0_TestCase4, TRUE, 6636)
(Type_Conversion_in_Assignment_1_NT_Loop0_TestCase6, Error, 300330)
(Type_Conversion_in_Assignment_1_NT_Loop0_TestCase7, Error, 300459)
(Type_Conversion_in_Assignment_1_NT_Loop0_TestCase3, TRUE, 6280)
(Type_Conversion_in_Assignment_1_NT_Loop0_TestCase2, TRUE, 4817)
(Type_Conversion_in_Assignment_1_NT_Loop0_TestCase1, TRUE, 5189)</t>
  </si>
  <si>
    <t>(Type_Conversion_in_Assignment_1_NT_Loop27_TestCase0, Error, 300281)</t>
  </si>
  <si>
    <t>(Type_Conversion_in_Assignment_1_NT_Loop0_TestCase0, Error, 300258)</t>
  </si>
  <si>
    <t>(Signed_Overflow_Error_3_T_Loop14_TestCase9, Error, 300379)
(Signed_Overflow_Error_3_T_Loop14_TestCase8, Error, 300387)
(Signed_Overflow_Error_3_T_Loop14_TestCase10, Error, 300353)
(Signed_Overflow_Error_3_T_Loop14_TestCase1, TRUE, 179942)
(Signed_Overflow_Error_3_T_Loop14_TestCase3, TRUE, 192573)
(Signed_Overflow_Error_3_T_Loop14_TestCase2, TRUE, 179526)
(Signed_Overflow_Error_3_T_Loop14_TestCase6, Error, 300351)
(Signed_Overflow_Error_3_T_Loop14_TestCase7, Error, 300346)
(Signed_Overflow_Error_3_T_Loop14_TestCase5, Error, 300344)
(Signed_Overflow_Error_3_T_Loop14_TestCase4, Error, 300351)</t>
  </si>
  <si>
    <t>(Signed_Overflow_Error_3_T_Loop0_TestCase10, Error, 300329)
(Signed_Overflow_Error_3_T_Loop0_TestCase8, Error, 300323)
(Signed_Overflow_Error_3_T_Loop0_TestCase9, Error, 300334)
(Signed_Overflow_Error_3_T_Loop0_TestCase4, Error, 300315)
(Signed_Overflow_Error_3_T_Loop0_TestCase5, Error, 300344)
(Signed_Overflow_Error_3_T_Loop0_TestCase7, Error, 300283)
(Signed_Overflow_Error_3_T_Loop0_TestCase6, Error, 300341)
(Signed_Overflow_Error_3_T_Loop0_TestCase2, TRUE, 230837)
(Signed_Overflow_Error_3_T_Loop0_TestCase3, TRUE, 180007)
(Signed_Overflow_Error_3_T_Loop0_TestCase1, TRUE, 268545)</t>
  </si>
  <si>
    <t>(Signed_Overflow_Error_3_T_Loop14_TestCase0, Error, 300234)</t>
  </si>
  <si>
    <t>(Signed_Overflow_Error_3_T_Loop0_TestCase0, Error, 300299)</t>
  </si>
  <si>
    <t>(Signed_Overflow_Error_3_NT_Loop15_TestCase8, TRUE, 2719)
(Signed_Overflow_Error_3_NT_Loop15_TestCase9, TRUE, 2514)
(Signed_Overflow_Error_3_NT_Loop15_TestCase7, TRUE, 2733)
(Signed_Overflow_Error_3_NT_Loop15_TestCase6, TRUE, 2710)
(Signed_Overflow_Error_3_NT_Loop15_TestCase4, TRUE, 9409)
(Signed_Overflow_Error_3_NT_Loop15_TestCase5, Error, 300316)
(Signed_Overflow_Error_3_NT_Loop15_TestCase1, TRUE, 2333)
(Signed_Overflow_Error_3_NT_Loop15_TestCase2, TRUE, 2300)
(Signed_Overflow_Error_3_NT_Loop15_TestCase3, TRUE, 2286)
(Signed_Overflow_Error_3_NT_Loop15_TestCase10, TRUE, 2732)</t>
  </si>
  <si>
    <t>(Signed_Overflow_Error_3_NT_Loop0_TestCase9, TRUE, 2942)
(Signed_Overflow_Error_3_NT_Loop0_TestCase8, TRUE, 2898)
(Signed_Overflow_Error_3_NT_Loop0_TestCase1, TRUE, 2392)
(Signed_Overflow_Error_3_NT_Loop0_TestCase3, TRUE, 2432)
(Signed_Overflow_Error_3_NT_Loop0_TestCase2, TRUE, 2412)
(Signed_Overflow_Error_3_NT_Loop0_TestCase6, TRUE, 2894)
(Signed_Overflow_Error_3_NT_Loop0_TestCase7, TRUE, 2924)
(Signed_Overflow_Error_3_NT_Loop0_TestCase5, Error, 300401)
(Signed_Overflow_Error_3_NT_Loop0_TestCase4, TRUE, 9609)
(Signed_Overflow_Error_3_NT_Loop0_TestCase10, TRUE, 2973)</t>
  </si>
  <si>
    <t>(Signed_Overflow_Error_3_NT_Loop15_TestCase0, TRUE, 3070)</t>
  </si>
  <si>
    <t>(Signed_Overflow_Error_3_NT_Loop0_TestCase0, TRUE, 3262)</t>
  </si>
  <si>
    <t>(Signed_Overflow_Error_2_T_Loop14_TestCase8, TRUE, 3123)
(Signed_Overflow_Error_2_T_Loop14_TestCase9, TRUE, 3241)
(Signed_Overflow_Error_2_T_Loop14_TestCase4, TRUE, 2879)
(Signed_Overflow_Error_2_T_Loop14_TestCase5, TRUE, 2964)
(Signed_Overflow_Error_2_T_Loop14_TestCase7, TRUE, 3610)
(Signed_Overflow_Error_2_T_Loop14_TestCase10, TRUE, 3256)
(Signed_Overflow_Error_2_T_Loop14_TestCase6, TRUE, 4357)
(Signed_Overflow_Error_2_T_Loop14_TestCase2, TRUE, 2387)
(Signed_Overflow_Error_2_T_Loop14_TestCase3, TRUE, 2955)
(Signed_Overflow_Error_2_T_Loop14_TestCase1, TRUE, 2817)</t>
  </si>
  <si>
    <t>(Signed_Overflow_Error_2_T_Loop0_TestCase7, TRUE, 3457)
(Signed_Overflow_Error_2_T_Loop0_TestCase6, TRUE, 4339)
(Signed_Overflow_Error_2_T_Loop0_TestCase4, TRUE, 2954)
(Signed_Overflow_Error_2_T_Loop0_TestCase5, TRUE, 2962)
(Signed_Overflow_Error_2_T_Loop0_TestCase1, TRUE, 2392)
(Signed_Overflow_Error_2_T_Loop0_TestCase2, TRUE, 2369)
(Signed_Overflow_Error_2_T_Loop0_TestCase3, TRUE, 2941)
(Signed_Overflow_Error_2_T_Loop0_TestCase10, TRUE, 3438)
(Signed_Overflow_Error_2_T_Loop0_TestCase8, TRUE, 3384)
(Signed_Overflow_Error_2_T_Loop0_TestCase9, TRUE, 3468)</t>
  </si>
  <si>
    <t>(Signed_Overflow_Error_2_T_Loop14_TestCase0, TRUE, 2835)</t>
  </si>
  <si>
    <t>(Signed_Overflow_Error_2_T_Loop0_TestCase0, TRUE, 2878)</t>
  </si>
  <si>
    <t>(Signed_Overflow_Error_2_NT_Loop15_TestCase3, TRUE, 2775)
(Signed_Overflow_Error_2_NT_Loop15_TestCase2, TRUE, 2266)
(Signed_Overflow_Error_2_NT_Loop15_TestCase1, TRUE, 2292)
(Signed_Overflow_Error_2_NT_Loop15_TestCase5, TRUE, 3467)
(Signed_Overflow_Error_2_NT_Loop15_TestCase4, TRUE, 2574)
(Signed_Overflow_Error_2_NT_Loop15_TestCase6, TRUE, 2779)
(Signed_Overflow_Error_2_NT_Loop15_TestCase7, TRUE, 2690)
(Signed_Overflow_Error_2_NT_Loop15_TestCase10, TRUE, 2728)
(Signed_Overflow_Error_2_NT_Loop15_TestCase9, TRUE, 2670)
(Signed_Overflow_Error_2_NT_Loop15_TestCase8, Error, 300421)</t>
  </si>
  <si>
    <t>(Signed_Overflow_Error_2_NT_Loop0_TestCase8, Error, 300380)
(Signed_Overflow_Error_2_NT_Loop0_TestCase9, TRUE, 2759)
(Signed_Overflow_Error_2_NT_Loop0_TestCase10, TRUE, 2747)
(Signed_Overflow_Error_2_NT_Loop0_TestCase4, TRUE, 2607)
(Signed_Overflow_Error_2_NT_Loop0_TestCase5, TRUE, 3239)
(Signed_Overflow_Error_2_NT_Loop0_TestCase7, TRUE, 2794)
(Signed_Overflow_Error_2_NT_Loop0_TestCase6, TRUE, 2747)
(Signed_Overflow_Error_2_NT_Loop0_TestCase2, TRUE, 2288)
(Signed_Overflow_Error_2_NT_Loop0_TestCase3, TRUE, 2803)
(Signed_Overflow_Error_2_NT_Loop0_TestCase1, TRUE, 2285)</t>
  </si>
  <si>
    <t>(Signed_Overflow_Error_2_NT_Loop15_TestCase0, TRUE, 2671)</t>
  </si>
  <si>
    <t>(Signed_Overflow_Error_2_NT_Loop0_TestCase0, TRUE, 2702)</t>
  </si>
  <si>
    <t>(Signed_Overflow_Error_1_T_Loop14_TestCase0, TRUE, 2772)</t>
  </si>
  <si>
    <t>(Signed_Overflow_Error_1_T_Loop0_TestCase0, TRUE, 2830)</t>
  </si>
  <si>
    <t>(Signed_Overflow_Error_1_T_Loop14_TestCase0, TRUE, 2746)</t>
  </si>
  <si>
    <t>(Signed_Overflow_Error_1_T_Loop0_TestCase0, TRUE, 2783)</t>
  </si>
  <si>
    <t>(Signed_Overflow_Error_1_NT_Loop13_TestCase0, TRUE, 2625)</t>
  </si>
  <si>
    <t>(Signed_Overflow_Error_1_NT_Loop0_TestCase0, TRUE, 2475)</t>
  </si>
  <si>
    <t>(Signed_Overflow_Error_1_NT_Loop13_TestCase0, TRUE, 2408)</t>
  </si>
  <si>
    <t>(Signed_Overflow_Error_1_NT_Loop0_TestCase0, TRUE, 2668)</t>
  </si>
  <si>
    <t>(Reusing_Same_Loop_Iterator_2_T_Loop20_TestCase10, TRUE, 3343)
(Reusing_Same_Loop_Iterator_2_T_Loop20_TestCase1, TRUE, 3198)
(Reusing_Same_Loop_Iterator_2_T_Loop20_TestCase3, TRUE, 3178)
(Reusing_Same_Loop_Iterator_2_T_Loop20_TestCase2, TRUE, 3244)
(Reusing_Same_Loop_Iterator_2_T_Loop20_TestCase6, TRUE, 3948)
(Reusing_Same_Loop_Iterator_2_T_Loop20_TestCase7, TRUE, 3361)
(Reusing_Same_Loop_Iterator_2_T_Loop20_TestCase5, TRUE, 3009)
(Reusing_Same_Loop_Iterator_2_T_Loop20_TestCase4, TRUE, 2587)
(Reusing_Same_Loop_Iterator_2_T_Loop17_TestCase5, TRUE, 2683)
(Reusing_Same_Loop_Iterator_2_T_Loop17_TestCase4, TRUE, 2688)
(Reusing_Same_Loop_Iterator_2_T_Loop17_TestCase6, TRUE, 2721)
(Reusing_Same_Loop_Iterator_2_T_Loop17_TestCase7, TRUE, 2510)
(Reusing_Same_Loop_Iterator_2_T_Loop17_TestCase3, TRUE, 2511)
(Reusing_Same_Loop_Iterator_2_T_Loop17_TestCase2, TRUE, 2534)
(Reusing_Same_Loop_Iterator_2_T_Loop17_TestCase1, TRUE, 2733)
(Reusing_Same_Loop_Iterator_2_T_Loop17_TestCase9, TRUE, 2504)
(Reusing_Same_Loop_Iterator_2_T_Loop17_TestCase8, TRUE, 2517)
(Reusing_Same_Loop_Iterator_2_T_Loop17_TestCase10, TRUE, 2534)
(Reusing_Same_Loop_Iterator_2_T_Loop20_TestCase9, TRUE, 3779)
(Reusing_Same_Loop_Iterator_2_T_Loop20_TestCase8, TRUE, 3572)</t>
  </si>
  <si>
    <t>(Reusing_Same_Loop_Iterator_2_T_Loop0_TestCase3, TRUE, 3215)
(Reusing_Same_Loop_Iterator_2_T_Loop0_TestCase2, TRUE, 3226)
(Reusing_Same_Loop_Iterator_2_T_Loop0_TestCase1, TRUE, 3216)
(Reusing_Same_Loop_Iterator_2_T_Loop0_TestCase5, TRUE, 2636)
(Reusing_Same_Loop_Iterator_2_T_Loop0_TestCase4, TRUE, 2638)
(Reusing_Same_Loop_Iterator_2_T_Loop0_TestCase6, TRUE, 3667)
(Reusing_Same_Loop_Iterator_2_T_Loop0_TestCase7, TRUE, 3865)
(Reusing_Same_Loop_Iterator_2_T_Loop0_TestCase9, TRUE, 3887)
(Reusing_Same_Loop_Iterator_2_T_Loop0_TestCase8, TRUE, 3642)
(Reusing_Same_Loop_Iterator_2_T_Loop0_TestCase10, TRUE, 4059)</t>
  </si>
  <si>
    <t>(Reusing_Same_Loop_Iterator_2_T_Loop20_TestCase0, TRUE, 3494)
(Reusing_Same_Loop_Iterator_2_T_Loop17_TestCase0, TRUE, 2646)</t>
  </si>
  <si>
    <t>(Reusing_Same_Loop_Iterator_2_T_Loop0_TestCase0, TRUE, 3400)</t>
  </si>
  <si>
    <t>(Reusing_Same_Loop_Iterator_2_NT_Loop16_TestCase1, TRUE, 2693)
(Reusing_Same_Loop_Iterator_2_NT_Loop16_TestCase3, TRUE, 2684)
(Reusing_Same_Loop_Iterator_2_NT_Loop16_TestCase2, TRUE, 2643)
(Reusing_Same_Loop_Iterator_2_NT_Loop16_TestCase6, FALSE, 3373)
(Reusing_Same_Loop_Iterator_2_NT_Loop16_TestCase7, FALSE, 3425)
(Reusing_Same_Loop_Iterator_2_NT_Loop16_TestCase5, TRUE, 2590)
(Reusing_Same_Loop_Iterator_2_NT_Loop16_TestCase4, TRUE, 2565)
(Reusing_Same_Loop_Iterator_2_NT_Loop18_TestCase5, TRUE, 2648)
(Reusing_Same_Loop_Iterator_2_NT_Loop18_TestCase4, TRUE, 2619)
(Reusing_Same_Loop_Iterator_2_NT_Loop18_TestCase6, FALSE, 3281)
(Reusing_Same_Loop_Iterator_2_NT_Loop18_TestCase7, FALSE, 3316)
(Reusing_Same_Loop_Iterator_2_NT_Loop16_TestCase10, FALSE, 3462)
(Reusing_Same_Loop_Iterator_2_NT_Loop18_TestCase3, TRUE, 2672)
(Reusing_Same_Loop_Iterator_2_NT_Loop18_TestCase2, TRUE, 2694)
(Reusing_Same_Loop_Iterator_2_NT_Loop18_TestCase10, FALSE, 3375)
(Reusing_Same_Loop_Iterator_2_NT_Loop18_TestCase1, TRUE, 2679)
(Reusing_Same_Loop_Iterator_2_NT_Loop18_TestCase9, FALSE, 11690)
(Reusing_Same_Loop_Iterator_2_NT_Loop18_TestCase8, FALSE, 3522)
(Reusing_Same_Loop_Iterator_2_NT_Loop16_TestCase9, FALSE, 11717)
(Reusing_Same_Loop_Iterator_2_NT_Loop16_TestCase8, FALSE, 3656)</t>
  </si>
  <si>
    <t>(Reusing_Same_Loop_Iterator_2_NT_Loop0_TestCase1, TRUE, 2714)
(Reusing_Same_Loop_Iterator_2_NT_Loop0_TestCase3, TRUE, 2672)
(Reusing_Same_Loop_Iterator_2_NT_Loop0_TestCase2, TRUE, 2702)
(Reusing_Same_Loop_Iterator_2_NT_Loop0_TestCase6, FALSE, 3456)
(Reusing_Same_Loop_Iterator_2_NT_Loop0_TestCase7, FALSE, 3458)
(Reusing_Same_Loop_Iterator_2_NT_Loop0_TestCase5, TRUE, 2591)
(Reusing_Same_Loop_Iterator_2_NT_Loop0_TestCase10, FALSE, 3546)
(Reusing_Same_Loop_Iterator_2_NT_Loop0_TestCase4, TRUE, 2607)
(Reusing_Same_Loop_Iterator_2_NT_Loop0_TestCase9, FALSE, 11825)
(Reusing_Same_Loop_Iterator_2_NT_Loop0_TestCase8, FALSE, 3702)</t>
  </si>
  <si>
    <t>(Reusing_Same_Loop_Iterator_2_NT_Loop16_TestCase0, FALSE, 11835)
(Reusing_Same_Loop_Iterator_2_NT_Loop18_TestCase0, FALSE, 11910)</t>
  </si>
  <si>
    <t>(Reusing_Same_Loop_Iterator_2_NT_Loop0_TestCase0, FALSE, 11766)</t>
  </si>
  <si>
    <t>(Reusing_Same_Loop_Iterator_1_T_Loop19_TestCase5, TRUE, 3473)
(Reusing_Same_Loop_Iterator_1_T_Loop19_TestCase4, TRUE, 2902)
(Reusing_Same_Loop_Iterator_1_T_Loop19_TestCase6, TRUE, 3698)
(Reusing_Same_Loop_Iterator_1_T_Loop19_TestCase7, TRUE, 3672)
(Reusing_Same_Loop_Iterator_1_T_Loop19_TestCase3, TRUE, 2883)
(Reusing_Same_Loop_Iterator_1_T_Loop19_TestCase2, TRUE, 4120)
(Reusing_Same_Loop_Iterator_1_T_Loop19_TestCase1, TRUE, 2685)
(Reusing_Same_Loop_Iterator_1_T_Loop17_TestCase1, TRUE, 2787)
(Reusing_Same_Loop_Iterator_1_T_Loop17_TestCase3, TRUE, 2735)
(Reusing_Same_Loop_Iterator_1_T_Loop17_TestCase2, TRUE, 2752)
(Reusing_Same_Loop_Iterator_1_T_Loop17_TestCase6, TRUE, 2739)
(Reusing_Same_Loop_Iterator_1_T_Loop17_TestCase7, TRUE, 2496)
(Reusing_Same_Loop_Iterator_1_T_Loop17_TestCase5, TRUE, 2494)
(Reusing_Same_Loop_Iterator_1_T_Loop17_TestCase4, TRUE, 2763)
(Reusing_Same_Loop_Iterator_1_T_Loop17_TestCase9, TRUE, 2740)
(Reusing_Same_Loop_Iterator_1_T_Loop17_TestCase8, TRUE, 2548)
(Reusing_Same_Loop_Iterator_1_T_Loop17_TestCase10, TRUE, 2535)
(Reusing_Same_Loop_Iterator_1_T_Loop19_TestCase10, TRUE, 3680)
(Reusing_Same_Loop_Iterator_1_T_Loop19_TestCase9, TRUE, 3289)
(Reusing_Same_Loop_Iterator_1_T_Loop19_TestCase8, TRUE, 3813)</t>
  </si>
  <si>
    <t>(Reusing_Same_Loop_Iterator_1_T_Loop0_TestCase8, TRUE, 3187)
(Reusing_Same_Loop_Iterator_1_T_Loop0_TestCase9, TRUE, 3077)
(Reusing_Same_Loop_Iterator_1_T_Loop0_TestCase7, TRUE, 3551)
(Reusing_Same_Loop_Iterator_1_T_Loop0_TestCase6, TRUE, 3545)
(Reusing_Same_Loop_Iterator_1_T_Loop0_TestCase4, TRUE, 2758)
(Reusing_Same_Loop_Iterator_1_T_Loop0_TestCase5, TRUE, 3498)
(Reusing_Same_Loop_Iterator_1_T_Loop0_TestCase1, TRUE, 2851)
(Reusing_Same_Loop_Iterator_1_T_Loop0_TestCase2, TRUE, 3517)
(Reusing_Same_Loop_Iterator_1_T_Loop0_TestCase3, TRUE, 2819)
(Reusing_Same_Loop_Iterator_1_T_Loop0_TestCase10, TRUE, 3909)</t>
  </si>
  <si>
    <t>(Reusing_Same_Loop_Iterator_1_T_Loop19_TestCase0, TRUE, 3639)
(Reusing_Same_Loop_Iterator_1_T_Loop17_TestCase0, TRUE, 2666)</t>
  </si>
  <si>
    <t>(Reusing_Same_Loop_Iterator_1_T_Loop0_TestCase0, TRUE, 3412)</t>
  </si>
  <si>
    <t>(Reusing_Same_Loop_Iterator_1_NT_Loop19_TestCase8, FALSE, 4925)
(Reusing_Same_Loop_Iterator_1_NT_Loop19_TestCase9, FALSE, 3367)
(Reusing_Same_Loop_Iterator_1_NT_Loop17_TestCase8, FALSE, 4929)
(Reusing_Same_Loop_Iterator_1_NT_Loop17_TestCase9, FALSE, 3444)
(Reusing_Same_Loop_Iterator_1_NT_Loop17_TestCase2, TRUE, 8024)
(Reusing_Same_Loop_Iterator_1_NT_Loop17_TestCase3, TRUE, 2351)
(Reusing_Same_Loop_Iterator_1_NT_Loop17_TestCase1, TRUE, 2385)
(Reusing_Same_Loop_Iterator_1_NT_Loop17_TestCase4, TRUE, 2300)
(Reusing_Same_Loop_Iterator_1_NT_Loop17_TestCase5, Error, 300347)
(Reusing_Same_Loop_Iterator_1_NT_Loop17_TestCase7, FALSE, 14152)
(Reusing_Same_Loop_Iterator_1_NT_Loop17_TestCase6, FALSE, 4202)
(Reusing_Same_Loop_Iterator_1_NT_Loop19_TestCase7, FALSE, 14124)
(Reusing_Same_Loop_Iterator_1_NT_Loop19_TestCase6, FALSE, 4218)
(Reusing_Same_Loop_Iterator_1_NT_Loop19_TestCase4, TRUE, 2359)
(Reusing_Same_Loop_Iterator_1_NT_Loop17_TestCase10, FALSE, 4569)
(Reusing_Same_Loop_Iterator_1_NT_Loop19_TestCase5, Error, 300336)
(Reusing_Same_Loop_Iterator_1_NT_Loop19_TestCase1, TRUE, 2381)
(Reusing_Same_Loop_Iterator_1_NT_Loop19_TestCase2, TRUE, 8168)
(Reusing_Same_Loop_Iterator_1_NT_Loop19_TestCase10, FALSE, 4906)
(Reusing_Same_Loop_Iterator_1_NT_Loop19_TestCase3, TRUE, 2384)</t>
  </si>
  <si>
    <t>(Reusing_Same_Loop_Iterator_1_NT_Loop0_TestCase10, FALSE, 4639)
(Reusing_Same_Loop_Iterator_1_NT_Loop0_TestCase5, Error, 300329)
(Reusing_Same_Loop_Iterator_1_NT_Loop0_TestCase4, TRUE, 2364)
(Reusing_Same_Loop_Iterator_1_NT_Loop0_TestCase6, FALSE, 4298)
(Reusing_Same_Loop_Iterator_1_NT_Loop0_TestCase7, FALSE, 14566)
(Reusing_Same_Loop_Iterator_1_NT_Loop0_TestCase3, TRUE, 2336)
(Reusing_Same_Loop_Iterator_1_NT_Loop0_TestCase2, TRUE, 7618)
(Reusing_Same_Loop_Iterator_1_NT_Loop0_TestCase1, TRUE, 2395)
(Reusing_Same_Loop_Iterator_1_NT_Loop0_TestCase9, FALSE, 3368)
(Reusing_Same_Loop_Iterator_1_NT_Loop0_TestCase8, FALSE, 5844)</t>
  </si>
  <si>
    <t>(Reusing_Same_Loop_Iterator_1_NT_Loop17_TestCase0, FALSE, 8866)
(Reusing_Same_Loop_Iterator_1_NT_Loop19_TestCase0, FALSE, 8962)</t>
  </si>
  <si>
    <t>(Reusing_Same_Loop_Iterator_1_NT_Loop0_TestCase0, Error, 300323)</t>
  </si>
  <si>
    <t>(Misusing_Variable_Type_2_T_Loop23_TestCase10, TRUE, 2732)
(Misusing_Variable_Type_2_T_Loop23_TestCase8, TRUE, 2608)
(Misusing_Variable_Type_2_T_Loop23_TestCase9, TRUE, 2772)
(Misusing_Variable_Type_2_T_Loop23_TestCase4, TRUE, 2779)
(Misusing_Variable_Type_2_T_Loop23_TestCase5, TRUE, 2772)
(Misusing_Variable_Type_2_T_Loop23_TestCase7, TRUE, 2775)
(Misusing_Variable_Type_2_T_Loop23_TestCase6, TRUE, 2599)
(Misusing_Variable_Type_2_T_Loop23_TestCase2, TRUE, 2743)
(Misusing_Variable_Type_2_T_Loop23_TestCase3, TRUE, 2810)
(Misusing_Variable_Type_2_T_Loop23_TestCase1, TRUE, 2810)</t>
  </si>
  <si>
    <t>(Misusing_Variable_Type_2_T_Loop0_TestCase6, TRUE, 2747)
(Misusing_Variable_Type_2_T_Loop0_TestCase7, TRUE, 2796)
(Misusing_Variable_Type_2_T_Loop0_TestCase5, TRUE, 2674)
(Misusing_Variable_Type_2_T_Loop0_TestCase4, TRUE, 2704)
(Misusing_Variable_Type_2_T_Loop0_TestCase10, TRUE, 2782)
(Misusing_Variable_Type_2_T_Loop0_TestCase1, TRUE, 2788)
(Misusing_Variable_Type_2_T_Loop0_TestCase3, TRUE, 2762)
(Misusing_Variable_Type_2_T_Loop0_TestCase2, TRUE, 2751)
(Misusing_Variable_Type_2_T_Loop0_TestCase9, TRUE, 2766)
(Misusing_Variable_Type_2_T_Loop0_TestCase8, TRUE, 2520)</t>
  </si>
  <si>
    <t>(Misusing_Variable_Type_2_T_Loop23_TestCase0, TRUE, 2707)</t>
  </si>
  <si>
    <t>(Misusing_Variable_Type_2_T_Loop0_TestCase0, TRUE, 2500)</t>
  </si>
  <si>
    <t>(Misusing_Variable_Type_2_NT_Loop24_TestCase9, UNKNOWN, 7789)
(Misusing_Variable_Type_2_NT_Loop24_TestCase8, UNKNOWN, 7749)
(Misusing_Variable_Type_2_NT_Loop24_TestCase10, UNKNOWN, 8354)
(Misusing_Variable_Type_2_NT_Loop24_TestCase5, UNKNOWN, 7805)
(Misusing_Variable_Type_2_NT_Loop24_TestCase4, UNKNOWN, 7747)
(Misusing_Variable_Type_2_NT_Loop24_TestCase6, UNKNOWN, 8248)
(Misusing_Variable_Type_2_NT_Loop24_TestCase7, UNKNOWN, 7801)
(Misusing_Variable_Type_2_NT_Loop24_TestCase3, UNKNOWN, 7795)
(Misusing_Variable_Type_2_NT_Loop24_TestCase2, TRUE, 4112)
(Misusing_Variable_Type_2_NT_Loop24_TestCase1, TRUE, 2811)</t>
  </si>
  <si>
    <t>(Misusing_Variable_Type_2_NT_Loop0_TestCase8, UNKNOWN, 8466)
(Misusing_Variable_Type_2_NT_Loop0_TestCase9, UNKNOWN, 8883)
(Misusing_Variable_Type_2_NT_Loop0_TestCase10, UNKNOWN, 9103)
(Misusing_Variable_Type_2_NT_Loop0_TestCase1, TRUE, 2749)
(Misusing_Variable_Type_2_NT_Loop0_TestCase2, TRUE, 4331)
(Misusing_Variable_Type_2_NT_Loop0_TestCase3, UNKNOWN, 8431)
(Misusing_Variable_Type_2_NT_Loop0_TestCase7, UNKNOWN, 8501)
(Misusing_Variable_Type_2_NT_Loop0_TestCase6, UNKNOWN, 8420)
(Misusing_Variable_Type_2_NT_Loop0_TestCase4, UNKNOWN, 8486)
(Misusing_Variable_Type_2_NT_Loop0_TestCase5, UNKNOWN, 8417)</t>
  </si>
  <si>
    <t>(Misusing_Variable_Type_2_NT_Loop24_TestCase0, UNKNOWN, 8246)</t>
  </si>
  <si>
    <t>(Misusing_Variable_Type_2_NT_Loop0_TestCase0, UNKNOWN, 9359)</t>
  </si>
  <si>
    <t>(Misusing_Variable_Type_1_T_Loop16_TestCase0, TRUE, 4017)
(Misusing_Variable_Type_1_T_Loop18_TestCase0, Error, 300280)
(Misusing_Variable_Type_1_T_Loop14_TestCase0, TRUE, 2545)</t>
  </si>
  <si>
    <t>(Misusing_Variable_Type_1_T_Loop0_TestCase0, Error, 300294)</t>
  </si>
  <si>
    <t>(Misusing_Variable_Type_1_T_Loop16_TestCase0, TRUE, 3977)
(Misusing_Variable_Type_1_T_Loop18_TestCase0, Error, 300276)
(Misusing_Variable_Type_1_T_Loop14_TestCase0, TRUE, 2687)</t>
  </si>
  <si>
    <t>(Misusing_Variable_Type_1_T_Loop0_TestCase0, Error, 300264)</t>
  </si>
  <si>
    <t>(Misusing_Variable_Type_1_NT_Loop16_TestCase0, FALSE, 2781)
(Misusing_Variable_Type_1_NT_Loop18_TestCase0, Error, 300364)
(Misusing_Variable_Type_1_NT_Loop14_TestCase0, TRUE, 2512)</t>
  </si>
  <si>
    <t>(Misusing_Variable_Type_1_NT_Loop0_TestCase0, Error, 300285)</t>
  </si>
  <si>
    <t>(Misusing_Variable_Type_1_NT_Loop16_TestCase0, FALSE, 2381)
(Misusing_Variable_Type_1_NT_Loop18_TestCase0, Error, 300340)
(Misusing_Variable_Type_1_NT_Loop14_TestCase0, TRUE, 2071)</t>
  </si>
  <si>
    <t>(Misusing_Variable_Type_1_NT_Loop0_TestCase0, Error, 300280)</t>
  </si>
  <si>
    <t>(Missing_Iterator_Update_5_T_Loop22_TestCase3, TRUE, 3114)
(Missing_Iterator_Update_5_T_Loop22_TestCase2, TRUE, 3996)
(Missing_Iterator_Update_5_T_Loop22_TestCase1, TRUE, 2519)
(Missing_Iterator_Update_5_T_Loop22_TestCase5, TRUE, 2381)
(Missing_Iterator_Update_5_T_Loop22_TestCase4, TRUE, 4783)
(Missing_Iterator_Update_5_T_Loop22_TestCase6, TRUE, 4735)
(Missing_Iterator_Update_5_T_Loop22_TestCase10, Error, 300329)
(Missing_Iterator_Update_5_T_Loop22_TestCase7, TRUE, 4704)
(Missing_Iterator_Update_5_T_Loop17_TestCase8, TRUE, 4797)
(Missing_Iterator_Update_5_T_Loop17_TestCase9, TRUE, 4788)
(Missing_Iterator_Update_5_T_Loop17_TestCase4, TRUE, 4756)
(Missing_Iterator_Update_5_T_Loop17_TestCase5, TRUE, 2353)
(Missing_Iterator_Update_5_T_Loop17_TestCase7, TRUE, 4787)
(Missing_Iterator_Update_5_T_Loop17_TestCase6, TRUE, 4680)
(Missing_Iterator_Update_5_T_Loop17_TestCase2, TRUE, 4092)
(Missing_Iterator_Update_5_T_Loop17_TestCase3, TRUE, 2843)
(Missing_Iterator_Update_5_T_Loop17_TestCase1, TRUE, 2362)
(Missing_Iterator_Update_5_T_Loop22_TestCase9, TRUE, 4732)
(Missing_Iterator_Update_5_T_Loop22_TestCase8, TRUE, 4750)
(Missing_Iterator_Update_5_T_Loop17_TestCase10, Error, 300364)</t>
  </si>
  <si>
    <t>(Missing_Iterator_Update_5_T_Loop0_TestCase10, UNKNOWN, 3023)
(Missing_Iterator_Update_5_T_Loop0_TestCase1, UNKNOWN, 2977)
(Missing_Iterator_Update_5_T_Loop0_TestCase2, TRUE, 3915)
(Missing_Iterator_Update_5_T_Loop0_TestCase3, TRUE, 2939)
(Missing_Iterator_Update_5_T_Loop0_TestCase7, TRUE, 3700)
(Missing_Iterator_Update_5_T_Loop0_TestCase6, TRUE, 3716)
(Missing_Iterator_Update_5_T_Loop0_TestCase4, TRUE, 4480)
(Missing_Iterator_Update_5_T_Loop0_TestCase5, UNKNOWN, 3005)
(Missing_Iterator_Update_5_T_Loop0_TestCase8, TRUE, 3680)
(Missing_Iterator_Update_5_T_Loop0_TestCase9, TRUE, 3669)</t>
  </si>
  <si>
    <t>(Missing_Iterator_Update_5_T_Loop22_TestCase0, TRUE, 3481)
(Missing_Iterator_Update_5_T_Loop17_TestCase0, TRUE, 3601)</t>
  </si>
  <si>
    <t>(Missing_Iterator_Update_5_T_Loop0_TestCase0, TRUE, 3634)</t>
  </si>
  <si>
    <t>(Missing_Iterator_Update_5_NT_Loop18_TestCase4, FALSE, 4119)
(Missing_Iterator_Update_5_NT_Loop18_TestCase5, TRUE, 2405)
(Missing_Iterator_Update_5_NT_Loop18_TestCase7, FALSE, 4118)
(Missing_Iterator_Update_5_NT_Loop18_TestCase6, FALSE, 4097)
(Missing_Iterator_Update_5_NT_Loop18_TestCase2, FALSE, 3426)
(Missing_Iterator_Update_5_NT_Loop23_TestCase9, FALSE, 4068)
(Missing_Iterator_Update_5_NT_Loop23_TestCase8, FALSE, 4075)
(Missing_Iterator_Update_5_NT_Loop18_TestCase3, TRUE, 3132)
(Missing_Iterator_Update_5_NT_Loop18_TestCase1, TRUE, 2376)
(Missing_Iterator_Update_5_NT_Loop18_TestCase10, Error, 300370)
(Missing_Iterator_Update_5_NT_Loop23_TestCase10, Error, 300416)
(Missing_Iterator_Update_5_NT_Loop23_TestCase6, FALSE, 4033)
(Missing_Iterator_Update_5_NT_Loop23_TestCase7, FALSE, 4021)
(Missing_Iterator_Update_5_NT_Loop23_TestCase5, TRUE, 2398)
(Missing_Iterator_Update_5_NT_Loop23_TestCase4, FALSE, 4136)
(Missing_Iterator_Update_5_NT_Loop23_TestCase1, TRUE, 2662)
(Missing_Iterator_Update_5_NT_Loop18_TestCase8, FALSE, 4041)
(Missing_Iterator_Update_5_NT_Loop23_TestCase3, TRUE, 3084)
(Missing_Iterator_Update_5_NT_Loop23_TestCase2, FALSE, 3357)
(Missing_Iterator_Update_5_NT_Loop18_TestCase9, FALSE, 4092)</t>
  </si>
  <si>
    <t>(Missing_Iterator_Update_5_NT_Loop0_TestCase10, UNKNOWN, 3048)
(Missing_Iterator_Update_5_NT_Loop0_TestCase8, FALSE, 3989)
(Missing_Iterator_Update_5_NT_Loop0_TestCase9, FALSE, 3979)
(Missing_Iterator_Update_5_NT_Loop0_TestCase1, UNKNOWN, 3044)
(Missing_Iterator_Update_5_NT_Loop0_TestCase2, TRUE, 4839)
(Missing_Iterator_Update_5_NT_Loop0_TestCase3, TRUE, 2957)
(Missing_Iterator_Update_5_NT_Loop0_TestCase7, FALSE, 3991)
(Missing_Iterator_Update_5_NT_Loop0_TestCase6, FALSE, 3954)
(Missing_Iterator_Update_5_NT_Loop0_TestCase4, TRUE, 6911)
(Missing_Iterator_Update_5_NT_Loop0_TestCase5, UNKNOWN, 2968)</t>
  </si>
  <si>
    <t>(Missing_Iterator_Update_5_NT_Loop18_TestCase0, FALSE, 3184)
(Missing_Iterator_Update_5_NT_Loop23_TestCase0, FALSE, 3092)</t>
  </si>
  <si>
    <t>(Missing_Iterator_Update_5_NT_Loop0_TestCase0, FALSE, 3823)</t>
  </si>
  <si>
    <t>(Missing_Iterator_Update_4_T_Loop21_TestCase2, TRUE, 2871)
(Missing_Iterator_Update_4_T_Loop21_TestCase3, TRUE, 2798)
(Missing_Iterator_Update_4_T_Loop21_TestCase1, TRUE, 2881)
(Missing_Iterator_Update_4_T_Loop21_TestCase4, TRUE, 2827)
(Missing_Iterator_Update_4_T_Loop19_TestCase10, TRUE, 2748)
(Missing_Iterator_Update_4_T_Loop21_TestCase5, TRUE, 2843)
(Missing_Iterator_Update_4_T_Loop21_TestCase7, TRUE, 3733)
(Missing_Iterator_Update_4_T_Loop19_TestCase9, TRUE, 2701)
(Missing_Iterator_Update_4_T_Loop19_TestCase8, TRUE, 2746)
(Missing_Iterator_Update_4_T_Loop21_TestCase6, TRUE, 3834)
(Missing_Iterator_Update_4_T_Loop19_TestCase5, TRUE, 2740)
(Missing_Iterator_Update_4_T_Loop19_TestCase4, TRUE, 2571)
(Missing_Iterator_Update_4_T_Loop21_TestCase8, TRUE, 3486)
(Missing_Iterator_Update_4_T_Loop19_TestCase6, TRUE, 2496)
(Missing_Iterator_Update_4_T_Loop19_TestCase7, TRUE, 2746)
(Missing_Iterator_Update_4_T_Loop21_TestCase9, TRUE, 3910)
(Missing_Iterator_Update_4_T_Loop19_TestCase3, TRUE, 2565)
(Missing_Iterator_Update_4_T_Loop19_TestCase2, TRUE, 2625)
(Missing_Iterator_Update_4_T_Loop19_TestCase1, TRUE, 2769)
(Missing_Iterator_Update_4_T_Loop21_TestCase10, TRUE, 3937)</t>
  </si>
  <si>
    <t>(Missing_Iterator_Update_4_T_Loop0_TestCase8, TRUE, 3833)
(Missing_Iterator_Update_4_T_Loop0_TestCase9, TRUE, 3829)
(Missing_Iterator_Update_4_T_Loop0_TestCase10, TRUE, 3669)
(Missing_Iterator_Update_4_T_Loop0_TestCase2, TRUE, 2936)
(Missing_Iterator_Update_4_T_Loop0_TestCase3, TRUE, 2949)
(Missing_Iterator_Update_4_T_Loop0_TestCase1, TRUE, 2923)
(Missing_Iterator_Update_4_T_Loop0_TestCase4, TRUE, 2887)
(Missing_Iterator_Update_4_T_Loop0_TestCase5, TRUE, 2703)
(Missing_Iterator_Update_4_T_Loop0_TestCase7, TRUE, 4089)
(Missing_Iterator_Update_4_T_Loop0_TestCase6, TRUE, 3546)</t>
  </si>
  <si>
    <t>(Missing_Iterator_Update_4_T_Loop21_TestCase0, TRUE, 3661)
(Missing_Iterator_Update_4_T_Loop19_TestCase0, TRUE, 2684)</t>
  </si>
  <si>
    <t>(Missing_Iterator_Update_4_T_Loop0_TestCase0, TRUE, 3917)</t>
  </si>
  <si>
    <t>(Missing_Iterator_Update_4_NT_Loop19_TestCase10, FALSE, 2335)
(Missing_Iterator_Update_4_NT_Loop19_TestCase7, FALSE, 2377)
(Missing_Iterator_Update_4_NT_Loop21_TestCase9, FALSE, 11385)
(Missing_Iterator_Update_4_NT_Loop21_TestCase8, FALSE, 3472)
(Missing_Iterator_Update_4_NT_Loop19_TestCase6, FALSE, 2239)
(Missing_Iterator_Update_4_NT_Loop19_TestCase4, TRUE, 2370)
(Missing_Iterator_Update_4_NT_Loop19_TestCase5, TRUE, 2326)
(Missing_Iterator_Update_4_NT_Loop19_TestCase1, TRUE, 2287)
(Missing_Iterator_Update_4_NT_Loop19_TestCase2, TRUE, 2355)
(Missing_Iterator_Update_4_NT_Loop19_TestCase3, TRUE, 2305)
(Missing_Iterator_Update_4_NT_Loop21_TestCase1, TRUE, 2331)
(Missing_Iterator_Update_4_NT_Loop21_TestCase3, TRUE, 2339)
(Missing_Iterator_Update_4_NT_Loop21_TestCase2, TRUE, 2352)
(Missing_Iterator_Update_4_NT_Loop19_TestCase8, FALSE, 2312)
(Missing_Iterator_Update_4_NT_Loop21_TestCase6, FALSE, 2436)
(Missing_Iterator_Update_4_NT_Loop21_TestCase7, FALSE, 3370)
(Missing_Iterator_Update_4_NT_Loop19_TestCase9, FALSE, 2316)
(Missing_Iterator_Update_4_NT_Loop21_TestCase10, Error, 300355)
(Missing_Iterator_Update_4_NT_Loop21_TestCase5, TRUE, 2394)
(Missing_Iterator_Update_4_NT_Loop21_TestCase4, TRUE, 2312)</t>
  </si>
  <si>
    <t>(Missing_Iterator_Update_4_NT_Loop0_TestCase9, FALSE, 13112)
(Missing_Iterator_Update_4_NT_Loop0_TestCase8, FALSE, 4215)
(Missing_Iterator_Update_4_NT_Loop0_TestCase10, Error, 300325)
(Missing_Iterator_Update_4_NT_Loop0_TestCase5, TRUE, 2465)
(Missing_Iterator_Update_4_NT_Loop0_TestCase4, TRUE, 2447)
(Missing_Iterator_Update_4_NT_Loop0_TestCase6, FALSE, 3058)
(Missing_Iterator_Update_4_NT_Loop0_TestCase7, FALSE, 4011)
(Missing_Iterator_Update_4_NT_Loop0_TestCase3, TRUE, 2491)
(Missing_Iterator_Update_4_NT_Loop0_TestCase2, TRUE, 2468)
(Missing_Iterator_Update_4_NT_Loop0_TestCase1, TRUE, 2443)</t>
  </si>
  <si>
    <t>(Missing_Iterator_Update_4_NT_Loop19_TestCase0, FALSE, 2282)
(Missing_Iterator_Update_4_NT_Loop21_TestCase0, FALSE, 2327)</t>
  </si>
  <si>
    <t>(Missing_Iterator_Update_4_NT_Loop0_TestCase0, FALSE, 2591)</t>
  </si>
  <si>
    <t>(Missing_Iterator_Update_3_T_Loop36_TestCase1, TRUE, 3920)
(Missing_Iterator_Update_3_T_Loop36_TestCase2, TRUE, 3899)
(Missing_Iterator_Update_3_T_Loop30_TestCase8, TRUE, 2909)
(Missing_Iterator_Update_3_T_Loop30_TestCase9, TRUE, 2951)
(Missing_Iterator_Update_3_T_Loop36_TestCase3, TRUE, 4278)
(Missing_Iterator_Update_3_T_Loop36_TestCase7, TRUE, 4059)
(Missing_Iterator_Update_3_T_Loop36_TestCase6, TRUE, 3880)
(Missing_Iterator_Update_3_T_Loop36_TestCase4, TRUE, 3972)
(Missing_Iterator_Update_3_T_Loop36_TestCase5, TRUE, 4424)
(Missing_Iterator_Update_3_T_Loop36_TestCase8, TRUE, 4369)
(Missing_Iterator_Update_3_T_Loop30_TestCase2, TRUE, 2882)
(Missing_Iterator_Update_3_T_Loop30_TestCase3, TRUE, 3336)
(Missing_Iterator_Update_3_T_Loop36_TestCase9, TRUE, 4485)
(Missing_Iterator_Update_3_T_Loop30_TestCase1, TRUE, 2906)
(Missing_Iterator_Update_3_T_Loop30_TestCase4, TRUE, 2912)
(Missing_Iterator_Update_3_T_Loop30_TestCase5, TRUE, 2915)
(Missing_Iterator_Update_3_T_Loop30_TestCase7, TRUE, 2929)
(Missing_Iterator_Update_3_T_Loop30_TestCase6, TRUE, 2892)
(Missing_Iterator_Update_3_T_Loop30_TestCase10, TRUE, 2954)
(Missing_Iterator_Update_3_T_Loop36_TestCase10, TRUE, 4930)</t>
  </si>
  <si>
    <t>(Missing_Iterator_Update_3_T_Loop0_TestCase5, TRUE, 4335)
(Missing_Iterator_Update_3_T_Loop0_TestCase4, TRUE, 4275)
(Missing_Iterator_Update_3_T_Loop0_TestCase6, TRUE, 3757)
(Missing_Iterator_Update_3_T_Loop0_TestCase7, TRUE, 4062)
(Missing_Iterator_Update_3_T_Loop0_TestCase3, TRUE, 4310)
(Missing_Iterator_Update_3_T_Loop0_TestCase2, TRUE, 3761)
(Missing_Iterator_Update_3_T_Loop0_TestCase1, TRUE, 3066)
(Missing_Iterator_Update_3_T_Loop0_TestCase10, TRUE, 4694)
(Missing_Iterator_Update_3_T_Loop0_TestCase9, TRUE, 4150)
(Missing_Iterator_Update_3_T_Loop0_TestCase8, TRUE, 4155)</t>
  </si>
  <si>
    <t>(Missing_Iterator_Update_3_T_Loop36_TestCase0, TRUE, 3819)
(Missing_Iterator_Update_3_T_Loop30_TestCase0, TRUE, 2859)</t>
  </si>
  <si>
    <t>(Missing_Iterator_Update_3_T_Loop0_TestCase0, TRUE, 4208)</t>
  </si>
  <si>
    <t>14/15</t>
  </si>
  <si>
    <t>(Missing_Iterator_Update_3_NT_Loop29_TestCase10, TRUE, 2913)
(Missing_Iterator_Update_3_NT_Loop35_TestCase8, UNKNOWN, 29619)
(Missing_Iterator_Update_3_NT_Loop35_TestCase9, UNKNOWN, 31833)
(Missing_Iterator_Update_3_NT_Loop35_TestCase10, UNKNOWN, 36122)
(Missing_Iterator_Update_3_NT_Loop29_TestCase4, TRUE, 2908)
(Missing_Iterator_Update_3_NT_Loop29_TestCase5, TRUE, 2897)
(Missing_Iterator_Update_3_NT_Loop29_TestCase7, TRUE, 2914)
(Missing_Iterator_Update_3_NT_Loop29_TestCase6, TRUE, 2910)
(Missing_Iterator_Update_3_NT_Loop29_TestCase2, TRUE, 2908)
(Missing_Iterator_Update_3_NT_Loop29_TestCase3, TRUE, 2682)
(Missing_Iterator_Update_3_NT_Loop29_TestCase1, TRUE, 2928)
(Missing_Iterator_Update_3_NT_Loop29_TestCase8, TRUE, 2938)
(Missing_Iterator_Update_3_NT_Loop29_TestCase9, TRUE, 2901)
(Missing_Iterator_Update_3_NT_Loop35_TestCase7, UNKNOWN, 28098)
(Missing_Iterator_Update_3_NT_Loop35_TestCase6, UNKNOWN, 26272)
(Missing_Iterator_Update_3_NT_Loop35_TestCase4, TRUE, 5548)
(Missing_Iterator_Update_3_NT_Loop35_TestCase5, TRUE, 5743)
(Missing_Iterator_Update_3_NT_Loop35_TestCase1, UNKNOWN, 26286)
(Missing_Iterator_Update_3_NT_Loop35_TestCase2, TRUE, 5209)
(Missing_Iterator_Update_3_NT_Loop35_TestCase3, TRUE, 5586)</t>
  </si>
  <si>
    <t>(Missing_Iterator_Update_3_NT_Loop0_TestCase9, UNKNOWN, 26787)
(Missing_Iterator_Update_3_NT_Loop0_TestCase8, UNKNOWN, 26283)
(Missing_Iterator_Update_3_NT_Loop0_TestCase6, UNKNOWN, 24485)
(Missing_Iterator_Update_3_NT_Loop0_TestCase7, UNKNOWN, 25503)
(Missing_Iterator_Update_3_NT_Loop0_TestCase5, TRUE, 4189)
(Missing_Iterator_Update_3_NT_Loop0_TestCase4, TRUE, 4294)
(Missing_Iterator_Update_3_NT_Loop0_TestCase10, UNKNOWN, 28603)
(Missing_Iterator_Update_3_NT_Loop0_TestCase1, TRUE, 2879)
(Missing_Iterator_Update_3_NT_Loop0_TestCase3, TRUE, 5869)
(Missing_Iterator_Update_3_NT_Loop0_TestCase2, TRUE, 4562)</t>
  </si>
  <si>
    <t>(Missing_Iterator_Update_3_NT_Loop29_TestCase0, TRUE, 2879)
(Missing_Iterator_Update_3_NT_Loop35_TestCase0, UNKNOWN, 27420)</t>
  </si>
  <si>
    <t>(Missing_Iterator_Update_3_NT_Loop0_TestCase0, UNKNOWN, 27135)</t>
  </si>
  <si>
    <t>(Missing_Iterator_Update_2_T_Loop28_TestCase10, TRUE, 5583)
(Missing_Iterator_Update_2_T_Loop28_TestCase4, TRUE, 3465)
(Missing_Iterator_Update_2_T_Loop28_TestCase5, TRUE, 5436)
(Missing_Iterator_Update_2_T_Loop28_TestCase7, TRUE, 5639)
(Missing_Iterator_Update_2_T_Loop28_TestCase6, TRUE, 5624)
(Missing_Iterator_Update_2_T_Loop28_TestCase2, TRUE, 5610)
(Missing_Iterator_Update_2_T_Loop28_TestCase3, TRUE, 5796)
(Missing_Iterator_Update_2_T_Loop28_TestCase1, TRUE, 3474)
(Missing_Iterator_Update_2_T_Loop28_TestCase8, TRUE, 5870)
(Missing_Iterator_Update_2_T_Loop28_TestCase9, TRUE, 5814)</t>
  </si>
  <si>
    <t>(Missing_Iterator_Update_2_T_Loop0_TestCase10, TRUE, 5384)
(Missing_Iterator_Update_2_T_Loop0_TestCase9, TRUE, 5225)
(Missing_Iterator_Update_2_T_Loop0_TestCase8, TRUE, 5468)
(Missing_Iterator_Update_2_T_Loop0_TestCase6, TRUE, 5025)
(Missing_Iterator_Update_2_T_Loop0_TestCase7, TRUE, 5196)
(Missing_Iterator_Update_2_T_Loop0_TestCase5, TRUE, 5462)
(Missing_Iterator_Update_2_T_Loop0_TestCase4, TRUE, 2890)
(Missing_Iterator_Update_2_T_Loop0_TestCase1, TRUE, 3073)
(Missing_Iterator_Update_2_T_Loop0_TestCase3, TRUE, 5219)
(Missing_Iterator_Update_2_T_Loop0_TestCase2, TRUE, 5436)</t>
  </si>
  <si>
    <t>(Missing_Iterator_Update_2_T_Loop28_TestCase0, TRUE, 5347)</t>
  </si>
  <si>
    <t>(Missing_Iterator_Update_2_T_Loop0_TestCase0, TRUE, 5343)</t>
  </si>
  <si>
    <t>(Missing_Iterator_Update_2_NT_Loop28_TestCase7, FALSE, 3299)
(Missing_Iterator_Update_2_NT_Loop28_TestCase6, FALSE, 3263)
(Missing_Iterator_Update_2_NT_Loop28_TestCase4, TRUE, 3270)
(Missing_Iterator_Update_2_NT_Loop28_TestCase5, TRUE, 5679)
(Missing_Iterator_Update_2_NT_Loop28_TestCase1, TRUE, 3548)
(Missing_Iterator_Update_2_NT_Loop28_TestCase2, TRUE, 5729)
(Missing_Iterator_Update_2_NT_Loop28_TestCase3, TRUE, 5723)
(Missing_Iterator_Update_2_NT_Loop28_TestCase10, FALSE, 3532)
(Missing_Iterator_Update_2_NT_Loop28_TestCase8, FALSE, 3540)
(Missing_Iterator_Update_2_NT_Loop28_TestCase9, FALSE, 3322)</t>
  </si>
  <si>
    <t>(Missing_Iterator_Update_2_NT_Loop0_TestCase8, FALSE, 3105)
(Missing_Iterator_Update_2_NT_Loop0_TestCase9, FALSE, 3048)
(Missing_Iterator_Update_2_NT_Loop0_TestCase10, FALSE, 2888)
(Missing_Iterator_Update_2_NT_Loop0_TestCase2, TRUE, 5164)
(Missing_Iterator_Update_2_NT_Loop0_TestCase3, TRUE, 5015)
(Missing_Iterator_Update_2_NT_Loop0_TestCase1, TRUE, 3026)
(Missing_Iterator_Update_2_NT_Loop0_TestCase4, TRUE, 2829)
(Missing_Iterator_Update_2_NT_Loop0_TestCase5, TRUE, 5218)
(Missing_Iterator_Update_2_NT_Loop0_TestCase7, FALSE, 3096)
(Missing_Iterator_Update_2_NT_Loop0_TestCase6, FALSE, 3096)</t>
  </si>
  <si>
    <t>(Missing_Iterator_Update_2_NT_Loop28_TestCase0, FALSE, 5680)</t>
  </si>
  <si>
    <t>(Missing_Iterator_Update_2_NT_Loop0_TestCase0, FALSE, 5224)</t>
  </si>
  <si>
    <t>(Missing_Iterator_Update_1_T_Loop35_TestCase5, TRUE, 2351)
(Missing_Iterator_Update_1_T_Loop35_TestCase4, TRUE, 2387)
(Missing_Iterator_Update_1_T_Loop35_TestCase6, TRUE, 2899)
(Missing_Iterator_Update_1_T_Loop35_TestCase7, TRUE, 2908)
(Missing_Iterator_Update_1_T_Loop35_TestCase3, TRUE, 2348)
(Missing_Iterator_Update_1_T_Loop35_TestCase2, TRUE, 2404)
(Missing_Iterator_Update_1_T_Loop35_TestCase1, TRUE, 2367)
(Missing_Iterator_Update_1_T_Loop17_TestCase8, UNKNOWN, 2888)
(Missing_Iterator_Update_1_T_Loop17_TestCase9, UNKNOWN, 2913)
(Missing_Iterator_Update_1_T_Loop35_TestCase10, TRUE, 2913)
(Missing_Iterator_Update_1_T_Loop17_TestCase2, UNKNOWN, 2832)
(Missing_Iterator_Update_1_T_Loop17_TestCase3, UNKNOWN, 2855)
(Missing_Iterator_Update_1_T_Loop17_TestCase1, UNKNOWN, 2838)
(Missing_Iterator_Update_1_T_Loop17_TestCase4, UNKNOWN, 2868)
(Missing_Iterator_Update_1_T_Loop17_TestCase5, UNKNOWN, 2895)
(Missing_Iterator_Update_1_T_Loop17_TestCase7, UNKNOWN, 2879)
(Missing_Iterator_Update_1_T_Loop17_TestCase6, UNKNOWN, 2868)
(Missing_Iterator_Update_1_T_Loop17_TestCase10, UNKNOWN, 2914)
(Missing_Iterator_Update_1_T_Loop35_TestCase9, TRUE, 2907)
(Missing_Iterator_Update_1_T_Loop35_TestCase8, TRUE, 2901)</t>
  </si>
  <si>
    <t>(Missing_Iterator_Update_1_T_Loop0_TestCase10, TRUE, 2880)
(Missing_Iterator_Update_1_T_Loop0_TestCase2, TRUE, 2301)
(Missing_Iterator_Update_1_T_Loop0_TestCase3, TRUE, 2373)
(Missing_Iterator_Update_1_T_Loop0_TestCase1, TRUE, 2354)
(Missing_Iterator_Update_1_T_Loop0_TestCase4, TRUE, 2378)
(Missing_Iterator_Update_1_T_Loop0_TestCase5, TRUE, 2378)
(Missing_Iterator_Update_1_T_Loop0_TestCase7, TRUE, 2831)
(Missing_Iterator_Update_1_T_Loop0_TestCase6, TRUE, 2905)
(Missing_Iterator_Update_1_T_Loop0_TestCase8, TRUE, 2848)
(Missing_Iterator_Update_1_T_Loop0_TestCase9, TRUE, 2836)</t>
  </si>
  <si>
    <t>(Missing_Iterator_Update_1_T_Loop35_TestCase0, TRUE, 4847)
(Missing_Iterator_Update_1_T_Loop17_TestCase0, UNKNOWN, 2816)</t>
  </si>
  <si>
    <t>(Missing_Iterator_Update_1_T_Loop0_TestCase0, TRUE, 4767)</t>
  </si>
  <si>
    <t>(Missing_Iterator_Update_1_NT_Loop18_TestCase3, UNKNOWN, 2908)
(Missing_Iterator_Update_1_NT_Loop18_TestCase2, UNKNOWN, 2895)
(Missing_Iterator_Update_1_NT_Loop18_TestCase1, UNKNOWN, 2942)
(Missing_Iterator_Update_1_NT_Loop18_TestCase5, UNKNOWN, 2846)
(Missing_Iterator_Update_1_NT_Loop18_TestCase4, UNKNOWN, 2886)
(Missing_Iterator_Update_1_NT_Loop18_TestCase6, UNKNOWN, 2865)
(Missing_Iterator_Update_1_NT_Loop18_TestCase7, UNKNOWN, 2893)
(Missing_Iterator_Update_1_NT_Loop18_TestCase10, UNKNOWN, 2801)
(Missing_Iterator_Update_1_NT_Loop18_TestCase9, UNKNOWN, 2998)
(Missing_Iterator_Update_1_NT_Loop18_TestCase8, UNKNOWN, 2858)</t>
  </si>
  <si>
    <t>(Missing_Iterator_Update_1_NT_Loop0_TestCase10, FALSE, 2387)
(Missing_Iterator_Update_1_NT_Loop0_TestCase8, FALSE, 2426)
(Missing_Iterator_Update_1_NT_Loop0_TestCase9, FALSE, 2392)
(Missing_Iterator_Update_1_NT_Loop0_TestCase7, FALSE, 2360)
(Missing_Iterator_Update_1_NT_Loop0_TestCase6, FALSE, 2421)
(Missing_Iterator_Update_1_NT_Loop0_TestCase4, TRUE, 2379)
(Missing_Iterator_Update_1_NT_Loop0_TestCase5, TRUE, 2359)
(Missing_Iterator_Update_1_NT_Loop0_TestCase1, TRUE, 2360)
(Missing_Iterator_Update_1_NT_Loop0_TestCase2, TRUE, 2468)
(Missing_Iterator_Update_1_NT_Loop0_TestCase3, TRUE, 2367)</t>
  </si>
  <si>
    <t>(Missing_Iterator_Update_1_NT_Loop18_TestCase0, UNKNOWN, 2813)</t>
  </si>
  <si>
    <t>(Missing_Iterator_Update_1_NT_Loop0_TestCase0, FALSE, 2345)</t>
  </si>
  <si>
    <t>(Missing_Initialization_1_T_Loop14_TestCase10, TRUE, 2834)
(Missing_Initialization_1_T_Loop14_TestCase9, TRUE, 2809)
(Missing_Initialization_1_T_Loop14_TestCase8, TRUE, 2741)
(Missing_Initialization_1_T_Loop17_TestCase10, TRUE, 2813)
(Missing_Initialization_1_T_Loop17_TestCase9, TRUE, 2798)
(Missing_Initialization_1_T_Loop17_TestCase8, TRUE, 2778)
(Missing_Initialization_1_T_Loop17_TestCase5, TRUE, 2824)
(Missing_Initialization_1_T_Loop14_TestCase1, TRUE, 2788)
(Missing_Initialization_1_T_Loop17_TestCase4, TRUE, 2856)
(Missing_Initialization_1_T_Loop17_TestCase6, TRUE, 2861)
(Missing_Initialization_1_T_Loop14_TestCase3, TRUE, 2855)
(Missing_Initialization_1_T_Loop14_TestCase2, TRUE, 2861)
(Missing_Initialization_1_T_Loop17_TestCase7, TRUE, 2851)
(Missing_Initialization_1_T_Loop17_TestCase3, TRUE, 2832)
(Missing_Initialization_1_T_Loop14_TestCase6, TRUE, 2856)
(Missing_Initialization_1_T_Loop14_TestCase7, TRUE, 2848)
(Missing_Initialization_1_T_Loop17_TestCase2, TRUE, 2864)
(Missing_Initialization_1_T_Loop14_TestCase5, TRUE, 2821)
(Missing_Initialization_1_T_Loop14_TestCase4, TRUE, 2846)
(Missing_Initialization_1_T_Loop17_TestCase1, TRUE, 2792)</t>
  </si>
  <si>
    <t>(Missing_Initialization_1_T_Loop0_TestCase9, TRUE, 2789)
(Missing_Initialization_1_T_Loop0_TestCase8, TRUE, 2760)
(Missing_Initialization_1_T_Loop0_TestCase10, TRUE, 2760)
(Missing_Initialization_1_T_Loop0_TestCase1, TRUE, 2815)
(Missing_Initialization_1_T_Loop0_TestCase3, TRUE, 2862)
(Missing_Initialization_1_T_Loop0_TestCase2, TRUE, 2835)
(Missing_Initialization_1_T_Loop0_TestCase6, TRUE, 2804)
(Missing_Initialization_1_T_Loop0_TestCase7, TRUE, 2827)
(Missing_Initialization_1_T_Loop0_TestCase5, TRUE, 2858)
(Missing_Initialization_1_T_Loop0_TestCase4, TRUE, 2845)</t>
  </si>
  <si>
    <t>(Missing_Initialization_1_T_Loop14_TestCase0, TRUE, 3053)
(Missing_Initialization_1_T_Loop17_TestCase0, TRUE, 3140)</t>
  </si>
  <si>
    <t>(Missing_Initialization_1_T_Loop0_TestCase0, TRUE, 3033)</t>
  </si>
  <si>
    <t>(Missing_Initialization_1_NT_Loop14_TestCase7, FALSE, 2598)
(Missing_Initialization_1_NT_Loop14_TestCase6, FALSE, 2843)
(Missing_Initialization_1_NT_Loop14_TestCase4, TRUE, 2272)
(Missing_Initialization_1_NT_Loop14_TestCase5, TRUE, 2799)
(Missing_Initialization_1_NT_Loop14_TestCase1, TRUE, 2271)
(Missing_Initialization_1_NT_Loop16_TestCase9, FALSE, 2553)
(Missing_Initialization_1_NT_Loop14_TestCase2, TRUE, 2270)
(Missing_Initialization_1_NT_Loop14_TestCase3, TRUE, 2288)
(Missing_Initialization_1_NT_Loop16_TestCase10, FALSE, 2849)
(Missing_Initialization_1_NT_Loop16_TestCase8, FALSE, 2565)
(Missing_Initialization_1_NT_Loop14_TestCase10, FALSE, 2604)
(Missing_Initialization_1_NT_Loop16_TestCase5, TRUE, 2811)
(Missing_Initialization_1_NT_Loop16_TestCase4, TRUE, 2284)
(Missing_Initialization_1_NT_Loop16_TestCase6, FALSE, 2812)
(Missing_Initialization_1_NT_Loop16_TestCase7, FALSE, 2853)
(Missing_Initialization_1_NT_Loop16_TestCase3, TRUE, 2310)
(Missing_Initialization_1_NT_Loop14_TestCase8, FALSE, 2561)
(Missing_Initialization_1_NT_Loop14_TestCase9, FALSE, 2553)
(Missing_Initialization_1_NT_Loop16_TestCase2, TRUE, 2271)
(Missing_Initialization_1_NT_Loop16_TestCase1, TRUE, 2314)</t>
  </si>
  <si>
    <t>(Missing_Initialization_1_NT_Loop0_TestCase9, FALSE, 2560)
(Missing_Initialization_1_NT_Loop0_TestCase8, FALSE, 2523)
(Missing_Initialization_1_NT_Loop0_TestCase10, FALSE, 2852)
(Missing_Initialization_1_NT_Loop0_TestCase1, TRUE, 2277)
(Missing_Initialization_1_NT_Loop0_TestCase3, TRUE, 2285)
(Missing_Initialization_1_NT_Loop0_TestCase2, TRUE, 2266)
(Missing_Initialization_1_NT_Loop0_TestCase6, FALSE, 2570)
(Missing_Initialization_1_NT_Loop0_TestCase7, FALSE, 2863)
(Missing_Initialization_1_NT_Loop0_TestCase5, TRUE, 2588)
(Missing_Initialization_1_NT_Loop0_TestCase4, TRUE, 2250)</t>
  </si>
  <si>
    <t>(Missing_Initialization_1_NT_Loop14_TestCase0, FALSE, 2518)
(Missing_Initialization_1_NT_Loop16_TestCase0, FALSE, 2539)</t>
  </si>
  <si>
    <t>(Missing_Initialization_1_NT_Loop0_TestCase0, FALSE, 2581)</t>
  </si>
  <si>
    <t>22/30</t>
  </si>
  <si>
    <t>(Missing_Corner-case_Handling_4_T_Loop36_TestCase3, TRUE, 2787)
(Missing_Corner-case_Handling_4_T_Loop23_TestCase8, TRUE, 3198)
(Missing_Corner-case_Handling_4_T_Loop23_TestCase9, TRUE, 3048)
(Missing_Corner-case_Handling_4_T_Loop36_TestCase2, TRUE, 2542)
(Missing_Corner-case_Handling_4_T_Loop36_TestCase1, TRUE, 2531)
(Missing_Corner-case_Handling_4_T_Loop36_TestCase5, TRUE, 2530)
(Missing_Corner-case_Handling_4_T_Loop50_TestCase8, UNKNOWN, 115522)
(Missing_Corner-case_Handling_4_T_Loop50_TestCase10, Error, 300352)
(Missing_Corner-case_Handling_4_T_Loop50_TestCase9, Error, 300330)
(Missing_Corner-case_Handling_4_T_Loop36_TestCase4, TRUE, 2620)
(Missing_Corner-case_Handling_4_T_Loop36_TestCase6, TRUE, 2842)
(Missing_Corner-case_Handling_4_T_Loop36_TestCase7, Error, 300349)
(Missing_Corner-case_Handling_4_T_Loop23_TestCase10, TRUE, 3203)
(Missing_Corner-case_Handling_4_T_Loop36_TestCase10, Error, 300298)
(Missing_Corner-case_Handling_4_T_Loop50_TestCase7, Error, 300433)
(Missing_Corner-case_Handling_4_T_Loop23_TestCase1, TRUE, 2392)
(Missing_Corner-case_Handling_4_T_Loop50_TestCase6, TRUE, 3278)
(Missing_Corner-case_Handling_4_T_Loop36_TestCase9, Error, 300331)
(Missing_Corner-case_Handling_4_T_Loop50_TestCase4, TRUE, 3087)
(Missing_Corner-case_Handling_4_T_Loop23_TestCase2, TRUE, 2421)
(Missing_Corner-case_Handling_4_T_Loop23_TestCase3, TRUE, 2377)
(Missing_Corner-case_Handling_4_T_Loop50_TestCase5, TRUE, 2691)
(Missing_Corner-case_Handling_4_T_Loop36_TestCase8, UNKNOWN, 81414)
(Missing_Corner-case_Handling_4_T_Loop23_TestCase7, TRUE, 3233)
(Missing_Corner-case_Handling_4_T_Loop50_TestCase1, TRUE, 2684)
(Missing_Corner-case_Handling_4_T_Loop23_TestCase6, TRUE, 2519)
(Missing_Corner-case_Handling_4_T_Loop23_TestCase4, TRUE, 2427)
(Missing_Corner-case_Handling_4_T_Loop50_TestCase2, TRUE, 2648)
(Missing_Corner-case_Handling_4_T_Loop50_TestCase3, TRUE, 2673)
(Missing_Corner-case_Handling_4_T_Loop23_TestCase5, TRUE, 2395)</t>
  </si>
  <si>
    <t>(Missing_Corner-case_Handling_4_T_Loop0_TestCase10, Error, 300299)
(Missing_Corner-case_Handling_4_T_Loop0_TestCase1, TRUE, 2685)
(Missing_Corner-case_Handling_4_T_Loop0_TestCase2, TRUE, 2668)
(Missing_Corner-case_Handling_4_T_Loop0_TestCase3, TRUE, 2746)
(Missing_Corner-case_Handling_4_T_Loop0_TestCase7, TRUE, 170907)
(Missing_Corner-case_Handling_4_T_Loop0_TestCase6, TRUE, 3078)
(Missing_Corner-case_Handling_4_T_Loop0_TestCase4, TRUE, 2679)
(Missing_Corner-case_Handling_4_T_Loop0_TestCase5, TRUE, 2776)
(Missing_Corner-case_Handling_4_T_Loop0_TestCase8, UNKNOWN, 127740)
(Missing_Corner-case_Handling_4_T_Loop0_TestCase9, Error, 300421)</t>
  </si>
  <si>
    <t>(Missing_Corner-case_Handling_4_T_Loop36_TestCase0, Error, 300291)
(Missing_Corner-case_Handling_4_T_Loop23_TestCase0, TRUE, 3421)
(Missing_Corner-case_Handling_4_T_Loop50_TestCase0, Error, 300368)</t>
  </si>
  <si>
    <t>(Missing_Corner-case_Handling_4_T_Loop0_TestCase0, Error, 300314)</t>
  </si>
  <si>
    <t>21/30</t>
  </si>
  <si>
    <t>21/25</t>
  </si>
  <si>
    <t>(Missing_Corner-case_Handling_4_NT_Loop51_TestCase5, TRUE, 2704)
(Missing_Corner-case_Handling_4_NT_Loop37_TestCase8, UNKNOWN, 81380)
(Missing_Corner-case_Handling_4_NT_Loop24_TestCase9, TRUE, 3170)
(Missing_Corner-case_Handling_4_NT_Loop24_TestCase8, TRUE, 3196)
(Missing_Corner-case_Handling_4_NT_Loop37_TestCase9, Error, 300313)
(Missing_Corner-case_Handling_4_NT_Loop51_TestCase4, TRUE, 2707)
(Missing_Corner-case_Handling_4_NT_Loop51_TestCase6, UNKNOWN, 6053)
(Missing_Corner-case_Handling_4_NT_Loop51_TestCase7, UNKNOWN, 51067)
(Missing_Corner-case_Handling_4_NT_Loop51_TestCase3, TRUE, 2692)
(Missing_Corner-case_Handling_4_NT_Loop51_TestCase2, TRUE, 2649)
(Missing_Corner-case_Handling_4_NT_Loop51_TestCase1, TRUE, 2660)
(Missing_Corner-case_Handling_4_NT_Loop37_TestCase1, TRUE, 2572)
(Missing_Corner-case_Handling_4_NT_Loop51_TestCase10, Error, 300353)
(Missing_Corner-case_Handling_4_NT_Loop24_TestCase1, TRUE, 2436)
(Missing_Corner-case_Handling_4_NT_Loop37_TestCase2, TRUE, 2536)
(Missing_Corner-case_Handling_4_NT_Loop24_TestCase3, TRUE, 2444)
(Missing_Corner-case_Handling_4_NT_Loop24_TestCase2, TRUE, 2436)
(Missing_Corner-case_Handling_4_NT_Loop37_TestCase3, TRUE, 2512)
(Missing_Corner-case_Handling_4_NT_Loop37_TestCase7, Error, 300404)
(Missing_Corner-case_Handling_4_NT_Loop24_TestCase6, TRUE, 2432)
(Missing_Corner-case_Handling_4_NT_Loop24_TestCase7, TRUE, 3221)
(Missing_Corner-case_Handling_4_NT_Loop37_TestCase6, TRUE, 2761)
(Missing_Corner-case_Handling_4_NT_Loop51_TestCase9, Error, 300323)
(Missing_Corner-case_Handling_4_NT_Loop37_TestCase4, TRUE, 2551)
(Missing_Corner-case_Handling_4_NT_Loop24_TestCase5, TRUE, 2416)
(Missing_Corner-case_Handling_4_NT_Loop24_TestCase4, TRUE, 2446)
(Missing_Corner-case_Handling_4_NT_Loop37_TestCase5, TRUE, 2568)
(Missing_Corner-case_Handling_4_NT_Loop51_TestCase8, UNKNOWN, 75412)
(Missing_Corner-case_Handling_4_NT_Loop24_TestCase10, TRUE, 3382)
(Missing_Corner-case_Handling_4_NT_Loop37_TestCase10, Error, 300344)</t>
  </si>
  <si>
    <t>(Missing_Corner-case_Handling_4_NT_Loop0_TestCase10, Error, 300406)
(Missing_Corner-case_Handling_4_NT_Loop0_TestCase8, UNKNOWN, 128171)
(Missing_Corner-case_Handling_4_NT_Loop0_TestCase9, Error, 300330)
(Missing_Corner-case_Handling_4_NT_Loop0_TestCase4, TRUE, 2760)
(Missing_Corner-case_Handling_4_NT_Loop0_TestCase5, TRUE, 2702)
(Missing_Corner-case_Handling_4_NT_Loop0_TestCase7, Error, 300392)
(Missing_Corner-case_Handling_4_NT_Loop0_TestCase6, UNKNOWN, 6819)
(Missing_Corner-case_Handling_4_NT_Loop0_TestCase2, TRUE, 2696)
(Missing_Corner-case_Handling_4_NT_Loop0_TestCase3, TRUE, 2692)
(Missing_Corner-case_Handling_4_NT_Loop0_TestCase1, TRUE, 2667)</t>
  </si>
  <si>
    <t>(Missing_Corner-case_Handling_4_NT_Loop51_TestCase0, UNKNOWN, 8035)
(Missing_Corner-case_Handling_4_NT_Loop24_TestCase0, TRUE, 3247)
(Missing_Corner-case_Handling_4_NT_Loop37_TestCase0, Error, 300296)</t>
  </si>
  <si>
    <t>(Missing_Corner-case_Handling_4_NT_Loop0_TestCase0, Error, 300276)</t>
  </si>
  <si>
    <t>8/40</t>
  </si>
  <si>
    <t>(Missing_Corner-case_Handling_3_T_Loop31_TestCase4, Error, 300351)
(Missing_Corner-case_Handling_3_T_Loop31_TestCase5, Error, 300400)
(Missing_Corner-case_Handling_3_T_Loop21_TestCase1, TRUE, 9003)
(Missing_Corner-case_Handling_3_T_Loop31_TestCase10, Error, 300470)
(Missing_Corner-case_Handling_3_T_Loop21_TestCase3, Error, 300382)
(Missing_Corner-case_Handling_3_T_Loop31_TestCase7, Error, 300443)
(Missing_Corner-case_Handling_3_T_Loop31_TestCase6, Error, 300380)
(Missing_Corner-case_Handling_3_T_Loop21_TestCase2, TRUE, 254230)
(Missing_Corner-case_Handling_3_T_Loop21_TestCase6, Error, 300368)
(Missing_Corner-case_Handling_3_T_Loop33_TestCase9, Error, 300364)
(Missing_Corner-case_Handling_3_T_Loop19_TestCase8, Error, 300475)
(Missing_Corner-case_Handling_3_T_Loop31_TestCase2, TRUE, 195337)
(Missing_Corner-case_Handling_3_T_Loop31_TestCase3, Error, 300344)
(Missing_Corner-case_Handling_3_T_Loop19_TestCase9, Error, 300352)
(Missing_Corner-case_Handling_3_T_Loop33_TestCase8, Error, 300432)
(Missing_Corner-case_Handling_3_T_Loop21_TestCase7, Error, 300399)
(Missing_Corner-case_Handling_3_T_Loop21_TestCase5, Error, 300445)
(Missing_Corner-case_Handling_3_T_Loop31_TestCase1, TRUE, 9028)
(Missing_Corner-case_Handling_3_T_Loop21_TestCase4, Error, 300392)
(Missing_Corner-case_Handling_3_T_Loop33_TestCase10, Error, 300407)
(Missing_Corner-case_Handling_3_T_Loop21_TestCase10, Error, 300377)
(Missing_Corner-case_Handling_3_T_Loop21_TestCase9, Error, 300403)
(Missing_Corner-case_Handling_3_T_Loop33_TestCase6, Error, 300388)
(Missing_Corner-case_Handling_3_T_Loop19_TestCase7, Error, 300452)
(Missing_Corner-case_Handling_3_T_Loop19_TestCase6, Error, 300291)
(Missing_Corner-case_Handling_3_T_Loop33_TestCase7, Error, 300428)
(Missing_Corner-case_Handling_3_T_Loop21_TestCase8, Error, 300398)
(Missing_Corner-case_Handling_3_T_Loop33_TestCase5, Error, 300378)
(Missing_Corner-case_Handling_3_T_Loop19_TestCase4, Error, 300381)
(Missing_Corner-case_Handling_3_T_Loop19_TestCase10, Error, 300374)
(Missing_Corner-case_Handling_3_T_Loop19_TestCase5, Error, 300494)
(Missing_Corner-case_Handling_3_T_Loop33_TestCase4, Error, 300422)
(Missing_Corner-case_Handling_3_T_Loop19_TestCase1, TRUE, 9024)
(Missing_Corner-case_Handling_3_T_Loop33_TestCase1, TRUE, 9089)
(Missing_Corner-case_Handling_3_T_Loop33_TestCase3, Error, 300380)
(Missing_Corner-case_Handling_3_T_Loop19_TestCase2, TRUE, 110876)
(Missing_Corner-case_Handling_3_T_Loop31_TestCase8, Error, 300388)
(Missing_Corner-case_Handling_3_T_Loop31_TestCase9, Error, 300439)
(Missing_Corner-case_Handling_3_T_Loop19_TestCase3, Error, 300386)
(Missing_Corner-case_Handling_3_T_Loop33_TestCase2, TRUE, 120445)</t>
  </si>
  <si>
    <t>(Missing_Corner-case_Handling_3_T_Loop0_TestCase10, Error, 300354)
(Missing_Corner-case_Handling_3_T_Loop0_TestCase9, Error, 300356)
(Missing_Corner-case_Handling_3_T_Loop0_TestCase8, Error, 300360)
(Missing_Corner-case_Handling_3_T_Loop0_TestCase6, Error, 300359)
(Missing_Corner-case_Handling_3_T_Loop0_TestCase7, Error, 300390)
(Missing_Corner-case_Handling_3_T_Loop0_TestCase5, Error, 300349)
(Missing_Corner-case_Handling_3_T_Loop0_TestCase4, Error, 300366)
(Missing_Corner-case_Handling_3_T_Loop0_TestCase1, TRUE, 9112)
(Missing_Corner-case_Handling_3_T_Loop0_TestCase3, Error, 300351)
(Missing_Corner-case_Handling_3_T_Loop0_TestCase2, TRUE, 150468)</t>
  </si>
  <si>
    <t>(Missing_Corner-case_Handling_3_T_Loop21_TestCase0, TRUE, 15431)
(Missing_Corner-case_Handling_3_T_Loop31_TestCase0, TRUE, 15303)
(Missing_Corner-case_Handling_3_T_Loop33_TestCase0, TRUE, 15478)
(Missing_Corner-case_Handling_3_T_Loop19_TestCase0, TRUE, 15486)</t>
  </si>
  <si>
    <t>(Missing_Corner-case_Handling_3_T_Loop0_TestCase0, TRUE, 15450)</t>
  </si>
  <si>
    <t>4/40</t>
  </si>
  <si>
    <t>4/20</t>
  </si>
  <si>
    <t>(Missing_Corner-case_Handling_3_NT_Loop21_TestCase10, Error, 300401)
(Missing_Corner-case_Handling_3_NT_Loop21_TestCase4, Error, 300415)
(Missing_Corner-case_Handling_3_NT_Loop21_TestCase5, Error, 300355)
(Missing_Corner-case_Handling_3_NT_Loop31_TestCase1, TRUE, 15067)
(Missing_Corner-case_Handling_3_NT_Loop33_TestCase10, Error, 300401)
(Missing_Corner-case_Handling_3_NT_Loop33_TestCase8, Error, 300437)
(Missing_Corner-case_Handling_3_NT_Loop31_TestCase3, Error, 300426)
(Missing_Corner-case_Handling_3_NT_Loop19_TestCase9, Error, 300409)
(Missing_Corner-case_Handling_3_NT_Loop21_TestCase7, Error, 300408)
(Missing_Corner-case_Handling_3_NT_Loop21_TestCase6, Error, 300463)
(Missing_Corner-case_Handling_3_NT_Loop19_TestCase8, Error, 300429)
(Missing_Corner-case_Handling_3_NT_Loop31_TestCase2, Error, 300432)
(Missing_Corner-case_Handling_3_NT_Loop33_TestCase9, Error, 300391)
(Missing_Corner-case_Handling_3_NT_Loop31_TestCase6, Error, 300460)
(Missing_Corner-case_Handling_3_NT_Loop21_TestCase2, Error, 300408)
(Missing_Corner-case_Handling_3_NT_Loop21_TestCase3, Error, 300403)
(Missing_Corner-case_Handling_3_NT_Loop31_TestCase7, Error, 300431)
(Missing_Corner-case_Handling_3_NT_Loop31_TestCase5, Error, 300369)
(Missing_Corner-case_Handling_3_NT_Loop21_TestCase1, TRUE, 15441)
(Missing_Corner-case_Handling_3_NT_Loop31_TestCase4, Error, 300452)
(Missing_Corner-case_Handling_3_NT_Loop31_TestCase10, Error, 300390)
(Missing_Corner-case_Handling_3_NT_Loop19_TestCase10, Error, 300409)
(Missing_Corner-case_Handling_3_NT_Loop33_TestCase2, Error, 300386)
(Missing_Corner-case_Handling_3_NT_Loop31_TestCase9, Error, 300378)
(Missing_Corner-case_Handling_3_NT_Loop19_TestCase3, Error, 300412)
(Missing_Corner-case_Handling_3_NT_Loop19_TestCase2, Error, 300367)
(Missing_Corner-case_Handling_3_NT_Loop31_TestCase8, Error, 300374)
(Missing_Corner-case_Handling_3_NT_Loop33_TestCase3, Error, 300420)
(Missing_Corner-case_Handling_3_NT_Loop33_TestCase1, TRUE, 14945)
(Missing_Corner-case_Handling_3_NT_Loop19_TestCase1, TRUE, 15108)
(Missing_Corner-case_Handling_3_NT_Loop33_TestCase4, Error, 300494)
(Missing_Corner-case_Handling_3_NT_Loop19_TestCase5, Error, 300416)
(Missing_Corner-case_Handling_3_NT_Loop19_TestCase4, Error, 300441)
(Missing_Corner-case_Handling_3_NT_Loop33_TestCase5, Error, 300394)
(Missing_Corner-case_Handling_3_NT_Loop33_TestCase7, Error, 300413)
(Missing_Corner-case_Handling_3_NT_Loop19_TestCase6, Error, 300386)
(Missing_Corner-case_Handling_3_NT_Loop21_TestCase8, Error, 300287)
(Missing_Corner-case_Handling_3_NT_Loop21_TestCase9, Error, 300431)
(Missing_Corner-case_Handling_3_NT_Loop19_TestCase7, Error, 300400)
(Missing_Corner-case_Handling_3_NT_Loop33_TestCase6, Error, 300419)</t>
  </si>
  <si>
    <t>(Missing_Corner-case_Handling_3_NT_Loop0_TestCase10, Error, 300412)
(Missing_Corner-case_Handling_3_NT_Loop0_TestCase8, Error, 300370)
(Missing_Corner-case_Handling_3_NT_Loop0_TestCase9, Error, 300404)
(Missing_Corner-case_Handling_3_NT_Loop0_TestCase7, Error, 300448)
(Missing_Corner-case_Handling_3_NT_Loop0_TestCase6, Error, 300373)
(Missing_Corner-case_Handling_3_NT_Loop0_TestCase4, Error, 300416)
(Missing_Corner-case_Handling_3_NT_Loop0_TestCase5, Error, 300357)
(Missing_Corner-case_Handling_3_NT_Loop0_TestCase1, TRUE, 14846)
(Missing_Corner-case_Handling_3_NT_Loop0_TestCase2, Error, 300405)
(Missing_Corner-case_Handling_3_NT_Loop0_TestCase3, Error, 300378)</t>
  </si>
  <si>
    <t>(Missing_Corner-case_Handling_3_NT_Loop31_TestCase0, UNKNOWN, 50246)
(Missing_Corner-case_Handling_3_NT_Loop21_TestCase0, UNKNOWN, 50344)
(Missing_Corner-case_Handling_3_NT_Loop19_TestCase0, UNKNOWN, 50624)
(Missing_Corner-case_Handling_3_NT_Loop33_TestCase0, UNKNOWN, 50391)</t>
  </si>
  <si>
    <t>(Missing_Corner-case_Handling_3_NT_Loop0_TestCase0, UNKNOWN, 50453)</t>
  </si>
  <si>
    <t>(Missing_Corner-case_Handling_2_T_Loop16_TestCase1, TRUE, 2244)
(Missing_Corner-case_Handling_2_T_Loop16_TestCase2, TRUE, 2836)
(Missing_Corner-case_Handling_2_T_Loop16_TestCase3, TRUE, 2815)
(Missing_Corner-case_Handling_2_T_Loop16_TestCase7, TRUE, 2245)
(Missing_Corner-case_Handling_2_T_Loop16_TestCase6, TRUE, 2198)
(Missing_Corner-case_Handling_2_T_Loop16_TestCase4, TRUE, 2852)
(Missing_Corner-case_Handling_2_T_Loop16_TestCase5, TRUE, 2852)
(Missing_Corner-case_Handling_2_T_Loop16_TestCase10, TRUE, 2321)
(Missing_Corner-case_Handling_2_T_Loop16_TestCase8, TRUE, 2255)
(Missing_Corner-case_Handling_2_T_Loop16_TestCase9, TRUE, 2260)</t>
  </si>
  <si>
    <t>(Missing_Corner-case_Handling_2_T_Loop0_TestCase5, TRUE, 3047)
(Missing_Corner-case_Handling_2_T_Loop0_TestCase4, TRUE, 3037)
(Missing_Corner-case_Handling_2_T_Loop0_TestCase6, TRUE, 2415)
(Missing_Corner-case_Handling_2_T_Loop0_TestCase7, TRUE, 2429)
(Missing_Corner-case_Handling_2_T_Loop0_TestCase3, TRUE, 3101)
(Missing_Corner-case_Handling_2_T_Loop0_TestCase2, TRUE, 3014)
(Missing_Corner-case_Handling_2_T_Loop0_TestCase1, TRUE, 2395)
(Missing_Corner-case_Handling_2_T_Loop0_TestCase10, TRUE, 2451)
(Missing_Corner-case_Handling_2_T_Loop0_TestCase9, TRUE, 2424)
(Missing_Corner-case_Handling_2_T_Loop0_TestCase8, TRUE, 2414)</t>
  </si>
  <si>
    <t>(Missing_Corner-case_Handling_2_T_Loop16_TestCase0, TRUE, 2526)</t>
  </si>
  <si>
    <t>(Missing_Corner-case_Handling_2_T_Loop0_TestCase0, TRUE, 3026)</t>
  </si>
  <si>
    <t>(Missing_Corner-case_Handling_2_NT_Loop17_TestCase2, TRUE, 2795)
(Missing_Corner-case_Handling_2_NT_Loop17_TestCase3, TRUE, 2846)
(Missing_Corner-case_Handling_2_NT_Loop17_TestCase1, TRUE, 2251)
(Missing_Corner-case_Handling_2_NT_Loop17_TestCase4, TRUE, 2609)
(Missing_Corner-case_Handling_2_NT_Loop17_TestCase5, TRUE, 2845)
(Missing_Corner-case_Handling_2_NT_Loop17_TestCase7, FALSE, 2932)
(Missing_Corner-case_Handling_2_NT_Loop17_TestCase6, FALSE, 2190)
(Missing_Corner-case_Handling_2_NT_Loop17_TestCase8, UNKNOWN, 6186)
(Missing_Corner-case_Handling_2_NT_Loop17_TestCase9, UNKNOWN, 6204)
(Missing_Corner-case_Handling_2_NT_Loop17_TestCase10, UNKNOWN, 6348)</t>
  </si>
  <si>
    <t>(Missing_Corner-case_Handling_2_NT_Loop0_TestCase9, UNKNOWN, 7479)
(Missing_Corner-case_Handling_2_NT_Loop0_TestCase8, UNKNOWN, 7478)
(Missing_Corner-case_Handling_2_NT_Loop0_TestCase10, UNKNOWN, 7657)
(Missing_Corner-case_Handling_2_NT_Loop0_TestCase3, TRUE, 2854)
(Missing_Corner-case_Handling_2_NT_Loop0_TestCase2, TRUE, 3030)
(Missing_Corner-case_Handling_2_NT_Loop0_TestCase1, TRUE, 2406)
(Missing_Corner-case_Handling_2_NT_Loop0_TestCase5, TRUE, 3091)
(Missing_Corner-case_Handling_2_NT_Loop0_TestCase4, TRUE, 3059)
(Missing_Corner-case_Handling_2_NT_Loop0_TestCase6, FALSE, 2490)
(Missing_Corner-case_Handling_2_NT_Loop0_TestCase7, FALSE, 3441)</t>
  </si>
  <si>
    <t>(Missing_Corner-case_Handling_2_NT_Loop17_TestCase0, FALSE, 2179)</t>
  </si>
  <si>
    <t>(Missing_Corner-case_Handling_2_NT_Loop0_TestCase0, FALSE, 2470)</t>
  </si>
  <si>
    <t>(Missing_Corner-case_Handling_1_T_Loop40_TestCase8, TRUE, 2968)
(Missing_Corner-case_Handling_1_T_Loop40_TestCase9, TRUE, 2434)
(Missing_Corner-case_Handling_1_T_Loop40_TestCase1, TRUE, 2338)
(Missing_Corner-case_Handling_1_T_Loop40_TestCase2, TRUE, 2376)
(Missing_Corner-case_Handling_1_T_Loop40_TestCase3, TRUE, 2340)
(Missing_Corner-case_Handling_1_T_Loop40_TestCase7, TRUE, 3018)
(Missing_Corner-case_Handling_1_T_Loop40_TestCase6, TRUE, 3014)
(Missing_Corner-case_Handling_1_T_Loop40_TestCase4, TRUE, 2413)
(Missing_Corner-case_Handling_1_T_Loop40_TestCase5, TRUE, 2388)
(Missing_Corner-case_Handling_1_T_Loop40_TestCase10, TRUE, 2465)</t>
  </si>
  <si>
    <t>(Missing_Corner-case_Handling_1_T_Loop0_TestCase8, TRUE, 2911)
(Missing_Corner-case_Handling_1_T_Loop0_TestCase9, TRUE, 2384)
(Missing_Corner-case_Handling_1_T_Loop0_TestCase10, TRUE, 2430)
(Missing_Corner-case_Handling_1_T_Loop0_TestCase1, TRUE, 2361)
(Missing_Corner-case_Handling_1_T_Loop0_TestCase2, TRUE, 2356)
(Missing_Corner-case_Handling_1_T_Loop0_TestCase3, TRUE, 2331)
(Missing_Corner-case_Handling_1_T_Loop0_TestCase7, TRUE, 2891)
(Missing_Corner-case_Handling_1_T_Loop0_TestCase6, TRUE, 2965)
(Missing_Corner-case_Handling_1_T_Loop0_TestCase4, TRUE, 2337)
(Missing_Corner-case_Handling_1_T_Loop0_TestCase5, TRUE, 2341)</t>
  </si>
  <si>
    <t>(Missing_Corner-case_Handling_1_T_Loop40_TestCase0, TRUE, 2953)</t>
  </si>
  <si>
    <t>(Missing_Corner-case_Handling_1_T_Loop0_TestCase0, TRUE, 2991)</t>
  </si>
  <si>
    <t>(Incorrect_Update_for_Loop_Iterator_3_NT_Loop18_TestCase4, TRUE, 4029)
(Incorrect_Update_for_Loop_Iterator_3_NT_Loop18_TestCase5, TRUE, 4151)
(Incorrect_Update_for_Loop_Iterator_3_NT_Loop18_TestCase7, FALSE, 4291)
(Incorrect_Update_for_Loop_Iterator_3_NT_Loop18_TestCase6, FALSE, 3894)
(Incorrect_Update_for_Loop_Iterator_3_NT_Loop18_TestCase2, TRUE, 3943)
(Incorrect_Update_for_Loop_Iterator_3_NT_Loop18_TestCase3, TRUE, 2280)
(Incorrect_Update_for_Loop_Iterator_3_NT_Loop18_TestCase1, TRUE, 3669)
(Incorrect_Update_for_Loop_Iterator_3_NT_Loop18_TestCase8, FALSE, 4528)
(Incorrect_Update_for_Loop_Iterator_3_NT_Loop18_TestCase10, FALSE, 6244)
(Incorrect_Update_for_Loop_Iterator_3_NT_Loop18_TestCase9, FALSE, 5168)</t>
  </si>
  <si>
    <t>(Incorrect_Update_for_Loop_Iterator_3_NT_Loop0_TestCase8, FALSE, 5047)
(Incorrect_Update_for_Loop_Iterator_3_NT_Loop0_TestCase9, FALSE, 5671)
(Incorrect_Update_for_Loop_Iterator_3_NT_Loop0_TestCase10, FALSE, 12046)
(Incorrect_Update_for_Loop_Iterator_3_NT_Loop0_TestCase2, TRUE, 4173)
(Incorrect_Update_for_Loop_Iterator_3_NT_Loop0_TestCase3, TRUE, 2315)
(Incorrect_Update_for_Loop_Iterator_3_NT_Loop0_TestCase1, TRUE, 3683)
(Incorrect_Update_for_Loop_Iterator_3_NT_Loop0_TestCase4, TRUE, 4060)
(Incorrect_Update_for_Loop_Iterator_3_NT_Loop0_TestCase5, TRUE, 4202)
(Incorrect_Update_for_Loop_Iterator_3_NT_Loop0_TestCase7, FALSE, 4594)
(Incorrect_Update_for_Loop_Iterator_3_NT_Loop0_TestCase6, FALSE, 3864)</t>
  </si>
  <si>
    <t>(Incorrect_Update_for_Loop_Iterator_3_NT_Loop18_TestCase0, FALSE, 2180)</t>
  </si>
  <si>
    <t>(Incorrect_Update_for_Loop_Iterator_3_NT_Loop0_TestCase0, FALSE, 2214)</t>
  </si>
  <si>
    <t>(Incorrect_Update_for_Loop_Iterator_2_T_Loop14_TestCase9, UNKNOWN, 13931)
(Incorrect_Update_for_Loop_Iterator_2_T_Loop14_TestCase8, UNKNOWN, 15986)
(Incorrect_Update_for_Loop_Iterator_2_T_Loop14_TestCase10, UNKNOWN, 14032)
(Incorrect_Update_for_Loop_Iterator_2_T_Loop14_TestCase6, TRUE, 4557)
(Incorrect_Update_for_Loop_Iterator_2_T_Loop14_TestCase7, TRUE, 14426)
(Incorrect_Update_for_Loop_Iterator_2_T_Loop14_TestCase5, Error, 300368)
(Incorrect_Update_for_Loop_Iterator_2_T_Loop14_TestCase4, UNKNOWN, 41177)
(Incorrect_Update_for_Loop_Iterator_2_T_Loop14_TestCase1, TRUE, 3393)
(Incorrect_Update_for_Loop_Iterator_2_T_Loop14_TestCase3, UNKNOWN, 18543)
(Incorrect_Update_for_Loop_Iterator_2_T_Loop14_TestCase2, TRUE, 12041)</t>
  </si>
  <si>
    <t>(Incorrect_Update_for_Loop_Iterator_2_T_Loop0_TestCase8, UNKNOWN, 21978)
(Incorrect_Update_for_Loop_Iterator_2_T_Loop0_TestCase9, UNKNOWN, 20095)
(Incorrect_Update_for_Loop_Iterator_2_T_Loop0_TestCase10, Error, 300380)
(Incorrect_Update_for_Loop_Iterator_2_T_Loop0_TestCase1, TRUE, 3681)
(Incorrect_Update_for_Loop_Iterator_2_T_Loop0_TestCase2, TRUE, 5451)
(Incorrect_Update_for_Loop_Iterator_2_T_Loop0_TestCase3, TRUE, 6901)
(Incorrect_Update_for_Loop_Iterator_2_T_Loop0_TestCase7, TRUE, 9160)
(Incorrect_Update_for_Loop_Iterator_2_T_Loop0_TestCase6, TRUE, 7640)
(Incorrect_Update_for_Loop_Iterator_2_T_Loop0_TestCase4, Error, 300324)
(Incorrect_Update_for_Loop_Iterator_2_T_Loop0_TestCase5, Error, 300410)</t>
  </si>
  <si>
    <t>(Incorrect_Update_for_Loop_Iterator_2_T_Loop14_TestCase0, UNKNOWN, 15958)</t>
  </si>
  <si>
    <t>(Incorrect_Update_for_Loop_Iterator_2_T_Loop0_TestCase0, UNKNOWN, 24436)</t>
  </si>
  <si>
    <t>(Incorrect_Update_for_Loop_Iterator_2_NT_Loop15_TestCase9, Error, 300384)
(Incorrect_Update_for_Loop_Iterator_2_NT_Loop15_TestCase8, Error, 300370)
(Incorrect_Update_for_Loop_Iterator_2_NT_Loop15_TestCase1, Error, 300370)
(Incorrect_Update_for_Loop_Iterator_2_NT_Loop15_TestCase3, Error, 300364)
(Incorrect_Update_for_Loop_Iterator_2_NT_Loop15_TestCase2, Error, 300297)
(Incorrect_Update_for_Loop_Iterator_2_NT_Loop15_TestCase6, Error, 300435)
(Incorrect_Update_for_Loop_Iterator_2_NT_Loop15_TestCase7, Error, 300381)
(Incorrect_Update_for_Loop_Iterator_2_NT_Loop15_TestCase5, Error, 300389)
(Incorrect_Update_for_Loop_Iterator_2_NT_Loop15_TestCase4, Error, 300412)
(Incorrect_Update_for_Loop_Iterator_2_NT_Loop15_TestCase10, Error, 300372)</t>
  </si>
  <si>
    <t>(Incorrect_Update_for_Loop_Iterator_2_NT_Loop0_TestCase9, Error, 300332)
(Incorrect_Update_for_Loop_Iterator_2_NT_Loop0_TestCase8, Error, 300351)
(Incorrect_Update_for_Loop_Iterator_2_NT_Loop0_TestCase6, Error, 300325)
(Incorrect_Update_for_Loop_Iterator_2_NT_Loop0_TestCase10, Error, 300342)
(Incorrect_Update_for_Loop_Iterator_2_NT_Loop0_TestCase7, Error, 300327)
(Incorrect_Update_for_Loop_Iterator_2_NT_Loop0_TestCase5, Error, 300267)
(Incorrect_Update_for_Loop_Iterator_2_NT_Loop0_TestCase4, TRUE, 10267)
(Incorrect_Update_for_Loop_Iterator_2_NT_Loop0_TestCase1, TRUE, 3344)
(Incorrect_Update_for_Loop_Iterator_2_NT_Loop0_TestCase3, TRUE, 5246)
(Incorrect_Update_for_Loop_Iterator_2_NT_Loop0_TestCase2, TRUE, 4271)</t>
  </si>
  <si>
    <t>(Incorrect_Update_for_Loop_Iterator_2_NT_Loop15_TestCase0, Error, 300315)</t>
  </si>
  <si>
    <t>(Incorrect_Update_for_Loop_Iterator_2_NT_Loop0_TestCase0, UNKNOWN, 22376)</t>
  </si>
  <si>
    <t>(Incorrect_Update_for_Loop_Iterator_1_T_Loop19_TestCase9, TRUE, 6833)
(Incorrect_Update_for_Loop_Iterator_1_T_Loop19_TestCase10, TRUE, 6492)
(Incorrect_Update_for_Loop_Iterator_1_T_Loop19_TestCase8, TRUE, 8511)
(Incorrect_Update_for_Loop_Iterator_1_T_Loop19_TestCase3, TRUE, 4628)
(Incorrect_Update_for_Loop_Iterator_1_T_Loop19_TestCase2, TRUE, 4801)
(Incorrect_Update_for_Loop_Iterator_1_T_Loop19_TestCase1, TRUE, 3893)
(Incorrect_Update_for_Loop_Iterator_1_T_Loop19_TestCase5, Error, 300352)
(Incorrect_Update_for_Loop_Iterator_1_T_Loop19_TestCase4, Error, 300394)
(Incorrect_Update_for_Loop_Iterator_1_T_Loop19_TestCase6, TRUE, 8555)
(Incorrect_Update_for_Loop_Iterator_1_T_Loop19_TestCase7, Error, 300302)</t>
  </si>
  <si>
    <t>(Incorrect_Update_for_Loop_Iterator_1_T_Loop0_TestCase5, Error, 300372)
(Incorrect_Update_for_Loop_Iterator_1_T_Loop0_TestCase4, Error, 300340)
(Incorrect_Update_for_Loop_Iterator_1_T_Loop0_TestCase6, TRUE, 8733)
(Incorrect_Update_for_Loop_Iterator_1_T_Loop0_TestCase7, Error, 300424)
(Incorrect_Update_for_Loop_Iterator_1_T_Loop0_TestCase3, TRUE, 3992)
(Incorrect_Update_for_Loop_Iterator_1_T_Loop0_TestCase2, TRUE, 3954)
(Incorrect_Update_for_Loop_Iterator_1_T_Loop0_TestCase10, TRUE, 6988)
(Incorrect_Update_for_Loop_Iterator_1_T_Loop0_TestCase1, TRUE, 5401)
(Incorrect_Update_for_Loop_Iterator_1_T_Loop0_TestCase9, TRUE, 7501)
(Incorrect_Update_for_Loop_Iterator_1_T_Loop0_TestCase8, TRUE, 9555)</t>
  </si>
  <si>
    <t>(Incorrect_Update_for_Loop_Iterator_1_T_Loop19_TestCase0, TRUE, 3971)</t>
  </si>
  <si>
    <t>(Incorrect_Update_for_Loop_Iterator_1_T_Loop0_TestCase0, TRUE, 5307)</t>
  </si>
  <si>
    <t>(Incorrect_Update_for_Loop_Iterator_1_NT_Loop19_TestCase2, TRUE, 8723)
(Incorrect_Update_for_Loop_Iterator_1_NT_Loop19_TestCase3, TRUE, 6332)
(Incorrect_Update_for_Loop_Iterator_1_NT_Loop19_TestCase1, TRUE, 3593)
(Incorrect_Update_for_Loop_Iterator_1_NT_Loop19_TestCase10, FALSE, 3926)
(Incorrect_Update_for_Loop_Iterator_1_NT_Loop19_TestCase4, TRUE, 4884)
(Incorrect_Update_for_Loop_Iterator_1_NT_Loop19_TestCase5, TRUE, 4808)
(Incorrect_Update_for_Loop_Iterator_1_NT_Loop19_TestCase7, FALSE, 11111)
(Incorrect_Update_for_Loop_Iterator_1_NT_Loop19_TestCase6, Error, 300367)
(Incorrect_Update_for_Loop_Iterator_1_NT_Loop19_TestCase8, FALSE, 13805)
(Incorrect_Update_for_Loop_Iterator_1_NT_Loop19_TestCase9, FALSE, 8813)</t>
  </si>
  <si>
    <t>(Incorrect_Update_for_Loop_Iterator_1_NT_Loop0_TestCase9, FALSE, 17052)
(Incorrect_Update_for_Loop_Iterator_1_NT_Loop0_TestCase8, FALSE, 5457)
(Incorrect_Update_for_Loop_Iterator_1_NT_Loop0_TestCase10, FALSE, 4699)
(Incorrect_Update_for_Loop_Iterator_1_NT_Loop0_TestCase3, TRUE, 5895)
(Incorrect_Update_for_Loop_Iterator_1_NT_Loop0_TestCase2, TRUE, 8396)
(Incorrect_Update_for_Loop_Iterator_1_NT_Loop0_TestCase1, TRUE, 3795)
(Incorrect_Update_for_Loop_Iterator_1_NT_Loop0_TestCase5, TRUE, 4638)
(Incorrect_Update_for_Loop_Iterator_1_NT_Loop0_TestCase4, TRUE, 4752)
(Incorrect_Update_for_Loop_Iterator_1_NT_Loop0_TestCase6, Error, 300358)
(Incorrect_Update_for_Loop_Iterator_1_NT_Loop0_TestCase7, FALSE, 4998)</t>
  </si>
  <si>
    <t>(Incorrect_Update_for_Loop_Iterator_1_NT_Loop19_TestCase0, FALSE, 4097)</t>
  </si>
  <si>
    <t>(Incorrect_Update_for_Loop_Iterator_1_NT_Loop0_TestCase0, FALSE, 2308)</t>
  </si>
  <si>
    <t>(Incorrect_Initialization_4_NT_Loop19_TestCase2, TRUE, 2859)
(Incorrect_Initialization_4_NT_Loop19_TestCase3, TRUE, 2853)
(Incorrect_Initialization_4_NT_Loop19_TestCase1, TRUE, 2795)
(Incorrect_Initialization_4_NT_Loop19_TestCase4, TRUE, 2855)
(Incorrect_Initialization_4_NT_Loop19_TestCase5, TRUE, 2859)
(Incorrect_Initialization_4_NT_Loop19_TestCase7, FALSE, 3110)
(Incorrect_Initialization_4_NT_Loop19_TestCase6, FALSE, 3106)
(Incorrect_Initialization_4_NT_Loop19_TestCase10, FALSE, 3102)
(Incorrect_Initialization_4_NT_Loop19_TestCase8, FALSE, 3109)
(Incorrect_Initialization_4_NT_Loop19_TestCase9, FALSE, 3074)</t>
  </si>
  <si>
    <t>(Incorrect_Initialization_4_NT_Loop0_TestCase7, FALSE, 3125)
(Incorrect_Initialization_4_NT_Loop0_TestCase6, FALSE, 3086)
(Incorrect_Initialization_4_NT_Loop0_TestCase4, TRUE, 2882)
(Incorrect_Initialization_4_NT_Loop0_TestCase5, TRUE, 2881)
(Incorrect_Initialization_4_NT_Loop0_TestCase1, TRUE, 2858)
(Incorrect_Initialization_4_NT_Loop0_TestCase2, TRUE, 2886)
(Incorrect_Initialization_4_NT_Loop0_TestCase3, TRUE, 2850)
(Incorrect_Initialization_4_NT_Loop0_TestCase8, FALSE, 3124)
(Incorrect_Initialization_4_NT_Loop0_TestCase9, FALSE, 3118)
(Incorrect_Initialization_4_NT_Loop0_TestCase10, FALSE, 3068)</t>
  </si>
  <si>
    <t>(Incorrect_Initialization_4_NT_Loop19_TestCase0, FALSE, 3078)</t>
  </si>
  <si>
    <t>(Incorrect_Initialization_4_NT_Loop0_TestCase0, FALSE, 3096)</t>
  </si>
  <si>
    <t>(Incorrect_Initialization_3_T_Loop10_TestCase0, Error, 300354)
(Incorrect_Initialization_3_T_Loop21_TestCase0, TRUE, 2689)
(Incorrect_Initialization_3_T_Loop25_TestCase0, Error, 300353)</t>
  </si>
  <si>
    <t>(Incorrect_Initialization_3_T_Loop0_TestCase0, Error, 300292)</t>
  </si>
  <si>
    <t>(Incorrect_Initialization_3_T_Loop10_TestCase0, Error, 300332)
(Incorrect_Initialization_3_T_Loop21_TestCase0, TRUE, 2402)
(Incorrect_Initialization_3_T_Loop25_TestCase0, Error, 300356)</t>
  </si>
  <si>
    <t>(Incorrect_Initialization_3_T_Loop0_TestCase0, Error, 300269)</t>
  </si>
  <si>
    <t>(Incorrect_Initialization_3_NT_Loop10_TestCase0, Error, 300294)
(Incorrect_Initialization_3_NT_Loop25_TestCase0, Error, 300354)
(Incorrect_Initialization_3_NT_Loop21_TestCase0, TRUE, 2632)</t>
  </si>
  <si>
    <t>(Incorrect_Initialization_3_NT_Loop0_TestCase0, Error, 300277)</t>
  </si>
  <si>
    <t>(Incorrect_Initialization_3_NT_Loop10_TestCase0, Error, 300254)
(Incorrect_Initialization_3_NT_Loop25_TestCase0, Error, 300332)
(Incorrect_Initialization_3_NT_Loop21_TestCase0, TRUE, 2686)</t>
  </si>
  <si>
    <t>(Incorrect_Initialization_3_NT_Loop0_TestCase0, Error, 300297)</t>
  </si>
  <si>
    <t>(Incorrect_Initialization_2_T_Loop26_TestCase9, Error, 300366)
(Incorrect_Initialization_2_T_Loop26_TestCase8, Error, 300359)
(Incorrect_Initialization_2_T_Loop29_TestCase1, TRUE, 3295)
(Incorrect_Initialization_2_T_Loop26_TestCase10, Error, 300378)
(Incorrect_Initialization_2_T_Loop29_TestCase10, Error, 300340)
(Incorrect_Initialization_2_T_Loop29_TestCase2, Error, 300347)
(Incorrect_Initialization_2_T_Loop29_TestCase3, Error, 300420)
(Incorrect_Initialization_2_T_Loop29_TestCase7, Error, 300350)
(Incorrect_Initialization_2_T_Loop29_TestCase6, Error, 300326)
(Incorrect_Initialization_2_T_Loop29_TestCase4, Error, 300386)
(Incorrect_Initialization_2_T_Loop29_TestCase5, Error, 300378)
(Incorrect_Initialization_2_T_Loop29_TestCase8, Error, 300349)
(Incorrect_Initialization_2_T_Loop29_TestCase9, Error, 300338)
(Incorrect_Initialization_2_T_Loop26_TestCase3, Error, 300345)
(Incorrect_Initialization_2_T_Loop26_TestCase2, Error, 300352)
(Incorrect_Initialization_2_T_Loop26_TestCase1, TRUE, 3407)
(Incorrect_Initialization_2_T_Loop26_TestCase5, Error, 300415)
(Incorrect_Initialization_2_T_Loop26_TestCase4, Error, 300380)
(Incorrect_Initialization_2_T_Loop26_TestCase6, Error, 300274)
(Incorrect_Initialization_2_T_Loop26_TestCase7, Error, 300325)</t>
  </si>
  <si>
    <t>(Incorrect_Initialization_2_T_Loop0_TestCase9, Error, 300339)
(Incorrect_Initialization_2_T_Loop0_TestCase8, Error, 300332)
(Incorrect_Initialization_2_T_Loop0_TestCase3, FALSE, 205941)
(Incorrect_Initialization_2_T_Loop0_TestCase2, FALSE, 206163)
(Incorrect_Initialization_2_T_Loop0_TestCase1, TRUE, 4279)
(Incorrect_Initialization_2_T_Loop0_TestCase5, FALSE, 65437)
(Incorrect_Initialization_2_T_Loop0_TestCase4, FALSE, 122298)
(Incorrect_Initialization_2_T_Loop0_TestCase10, Error, 300362)
(Incorrect_Initialization_2_T_Loop0_TestCase6, Error, 300362)
(Incorrect_Initialization_2_T_Loop0_TestCase7, Error, 300367)</t>
  </si>
  <si>
    <t>(Incorrect_Initialization_2_T_Loop29_TestCase0, FALSE, 121080)
(Incorrect_Initialization_2_T_Loop26_TestCase0, FALSE, 121408)</t>
  </si>
  <si>
    <t>(Incorrect_Initialization_2_T_Loop0_TestCase0, FALSE, 138274)</t>
  </si>
  <si>
    <t>(Incorrect_Initialization_2_NT_Loop31_TestCase7, FALSE, 6563)
(Incorrect_Initialization_2_NT_Loop31_TestCase6, FALSE, 6588)
(Incorrect_Initialization_2_NT_Loop31_TestCase4, FALSE, 7434)
(Incorrect_Initialization_2_NT_Loop31_TestCase5, FALSE, 92084)
(Incorrect_Initialization_2_NT_Loop31_TestCase1, TRUE, 6370)
(Incorrect_Initialization_2_NT_Loop31_TestCase2, FALSE, 6591)
(Incorrect_Initialization_2_NT_Loop31_TestCase3, FALSE, 6627)
(Incorrect_Initialization_2_NT_Loop29_TestCase9, FALSE, 6612)
(Incorrect_Initialization_2_NT_Loop29_TestCase8, FALSE, 6590)
(Incorrect_Initialization_2_NT_Loop29_TestCase5, FALSE, 91925)
(Incorrect_Initialization_2_NT_Loop29_TestCase4, FALSE, 7463)
(Incorrect_Initialization_2_NT_Loop29_TestCase6, FALSE, 6596)
(Incorrect_Initialization_2_NT_Loop31_TestCase10, FALSE, 6526)
(Incorrect_Initialization_2_NT_Loop29_TestCase7, FALSE, 6653)
(Incorrect_Initialization_2_NT_Loop29_TestCase3, FALSE, 6650)
(Incorrect_Initialization_2_NT_Loop29_TestCase2, FALSE, 6579)
(Incorrect_Initialization_2_NT_Loop29_TestCase1, TRUE, 6316)
(Incorrect_Initialization_2_NT_Loop31_TestCase8, FALSE, 6594)
(Incorrect_Initialization_2_NT_Loop31_TestCase9, FALSE, 6602)
(Incorrect_Initialization_2_NT_Loop29_TestCase10, FALSE, 6611)</t>
  </si>
  <si>
    <t>(Incorrect_Initialization_2_NT_Loop0_TestCase10, FALSE, 7381)
(Incorrect_Initialization_2_NT_Loop0_TestCase1, TRUE, 7872)
(Incorrect_Initialization_2_NT_Loop0_TestCase3, FALSE, 7394)
(Incorrect_Initialization_2_NT_Loop0_TestCase2, FALSE, 7360)
(Incorrect_Initialization_2_NT_Loop0_TestCase6, FALSE, 7374)
(Incorrect_Initialization_2_NT_Loop0_TestCase7, FALSE, 7355)
(Incorrect_Initialization_2_NT_Loop0_TestCase5, FALSE, 68235)
(Incorrect_Initialization_2_NT_Loop0_TestCase4, FALSE, 7969)
(Incorrect_Initialization_2_NT_Loop0_TestCase9, FALSE, 7414)
(Incorrect_Initialization_2_NT_Loop0_TestCase8, FALSE, 7352)</t>
  </si>
  <si>
    <t>(Incorrect_Initialization_2_NT_Loop31_TestCase0, FALSE, 8009)
(Incorrect_Initialization_2_NT_Loop29_TestCase0, FALSE, 7971)</t>
  </si>
  <si>
    <t>(Incorrect_Initialization_2_NT_Loop0_TestCase0, FALSE, 8087)</t>
  </si>
  <si>
    <t>28/40</t>
  </si>
  <si>
    <t>(Incorrect_Initialization_1_T_Loop18_TestCase8, TRUE, 104739)
(Incorrect_Initialization_1_T_Loop35_TestCase10, Error, 300358)
(Incorrect_Initialization_1_T_Loop18_TestCase9, TRUE, 16942)
(Incorrect_Initialization_1_T_Loop35_TestCase8, TRUE, 105012)
(Incorrect_Initialization_1_T_Loop31_TestCase9, TRUE, 2467)
(Incorrect_Initialization_1_T_Loop31_TestCase8, TRUE, 2689)
(Incorrect_Initialization_1_T_Loop35_TestCase9, TRUE, 16867)
(Incorrect_Initialization_1_T_Loop31_TestCase10, TRUE, 2531)
(Incorrect_Initialization_1_T_Loop15_TestCase8, TRUE, 104675)
(Incorrect_Initialization_1_T_Loop15_TestCase9, TRUE, 17035)
(Incorrect_Initialization_1_T_Loop15_TestCase2, Error, 300393)
(Incorrect_Initialization_1_T_Loop15_TestCase3, Error, 300353)
(Incorrect_Initialization_1_T_Loop15_TestCase1, TRUE, 16452)
(Incorrect_Initialization_1_T_Loop15_TestCase4, TRUE, 16889)
(Incorrect_Initialization_1_T_Loop15_TestCase5, Error, 300292)
(Incorrect_Initialization_1_T_Loop18_TestCase10, Error, 300374)
(Incorrect_Initialization_1_T_Loop15_TestCase7, TRUE, 16793)
(Incorrect_Initialization_1_T_Loop15_TestCase6, TRUE, 16896)
(Incorrect_Initialization_1_T_Loop35_TestCase7, TRUE, 16891)
(Incorrect_Initialization_1_T_Loop31_TestCase6, TRUE, 2656)
(Incorrect_Initialization_1_T_Loop18_TestCase2, Error, 300356)
(Incorrect_Initialization_1_T_Loop18_TestCase3, Error, 300366)
(Incorrect_Initialization_1_T_Loop31_TestCase7, TRUE, 2774)
(Incorrect_Initialization_1_T_Loop35_TestCase6, TRUE, 16836)
(Incorrect_Initialization_1_T_Loop35_TestCase4, TRUE, 16942)
(Incorrect_Initialization_1_T_Loop18_TestCase1, TRUE, 16563)
(Incorrect_Initialization_1_T_Loop31_TestCase5, TRUE, 2693)
(Incorrect_Initialization_1_T_Loop31_TestCase4, TRUE, 2741)
(Incorrect_Initialization_1_T_Loop35_TestCase5, Error, 300327)
(Incorrect_Initialization_1_T_Loop15_TestCase10, Error, 300374)
(Incorrect_Initialization_1_T_Loop35_TestCase1, TRUE, 16415)
(Incorrect_Initialization_1_T_Loop18_TestCase4, TRUE, 16958)
(Incorrect_Initialization_1_T_Loop31_TestCase1, TRUE, 2860)
(Incorrect_Initialization_1_T_Loop18_TestCase5, Error, 300353)
(Incorrect_Initialization_1_T_Loop35_TestCase2, Error, 300349)
(Incorrect_Initialization_1_T_Loop31_TestCase3, TRUE, 2540)
(Incorrect_Initialization_1_T_Loop18_TestCase7, TRUE, 17048)
(Incorrect_Initialization_1_T_Loop18_TestCase6, TRUE, 16948)
(Incorrect_Initialization_1_T_Loop31_TestCase2, TRUE, 2726)
(Incorrect_Initialization_1_T_Loop35_TestCase3, Error, 300371)</t>
  </si>
  <si>
    <t>(Incorrect_Initialization_1_T_Loop0_TestCase7, TRUE, 17925)
(Incorrect_Initialization_1_T_Loop0_TestCase6, TRUE, 17847)
(Incorrect_Initialization_1_T_Loop0_TestCase4, TRUE, 17895)
(Incorrect_Initialization_1_T_Loop0_TestCase5, Error, 300348)
(Incorrect_Initialization_1_T_Loop0_TestCase1, TRUE, 17248)
(Incorrect_Initialization_1_T_Loop0_TestCase2, TRUE, 290396)
(Incorrect_Initialization_1_T_Loop0_TestCase3, Error, 300393)
(Incorrect_Initialization_1_T_Loop0_TestCase8, TRUE, 107705)
(Incorrect_Initialization_1_T_Loop0_TestCase9, TRUE, 18104)
(Incorrect_Initialization_1_T_Loop0_TestCase10, Error, 300369)</t>
  </si>
  <si>
    <t>(Incorrect_Initialization_1_T_Loop15_TestCase0, Error, 300335)
(Incorrect_Initialization_1_T_Loop18_TestCase0, Error, 300344)
(Incorrect_Initialization_1_T_Loop31_TestCase0, TRUE, 2701)
(Incorrect_Initialization_1_T_Loop35_TestCase0, Error, 300260)</t>
  </si>
  <si>
    <t>(Incorrect_Initialization_1_T_Loop0_TestCase0, Error, 300275)</t>
  </si>
  <si>
    <t>16/40</t>
  </si>
  <si>
    <t>(Incorrect_Initialization_1_NT_Loop16_TestCase0, Error, 300337)
(Incorrect_Initialization_1_NT_Loop36_TestCase0, Error, 300401)
(Incorrect_Initialization_1_NT_Loop32_TestCase0, TRUE, 2423)
(Incorrect_Initialization_1_NT_Loop19_TestCase0, Error, 300345)</t>
  </si>
  <si>
    <t>(Incorrect_Initialization_1_NT_Loop0_TestCase0, Error, 300293)</t>
  </si>
  <si>
    <t>(Incorrect_Control_Statement_2_T_Loop17_TestCase9, TRUE, 2721)
(Incorrect_Control_Statement_2_T_Loop17_TestCase8, TRUE, 2677)
(Incorrect_Control_Statement_2_T_Loop17_TestCase10, TRUE, 2496)
(Incorrect_Control_Statement_2_T_Loop23_TestCase9, TRUE, 6714)
(Incorrect_Control_Statement_2_T_Loop23_TestCase8, TRUE, 8517)
(Incorrect_Control_Statement_2_T_Loop23_TestCase3, TRUE, 4035)
(Incorrect_Control_Statement_2_T_Loop23_TestCase2, TRUE, 3934)
(Incorrect_Control_Statement_2_T_Loop23_TestCase1, TRUE, 4126)
(Incorrect_Control_Statement_2_T_Loop23_TestCase5, TRUE, 6754)
(Incorrect_Control_Statement_2_T_Loop23_TestCase4, TRUE, 6684)
(Incorrect_Control_Statement_2_T_Loop23_TestCase6, TRUE, 5760)
(Incorrect_Control_Statement_2_T_Loop23_TestCase10, TRUE, 6688)
(Incorrect_Control_Statement_2_T_Loop23_TestCase7, TRUE, 5835)
(Incorrect_Control_Statement_2_T_Loop17_TestCase3, TRUE, 2480)
(Incorrect_Control_Statement_2_T_Loop17_TestCase2, TRUE, 2682)
(Incorrect_Control_Statement_2_T_Loop17_TestCase1, TRUE, 2708)
(Incorrect_Control_Statement_2_T_Loop17_TestCase5, TRUE, 2460)
(Incorrect_Control_Statement_2_T_Loop17_TestCase4, TRUE, 2489)
(Incorrect_Control_Statement_2_T_Loop17_TestCase6, TRUE, 2688)
(Incorrect_Control_Statement_2_T_Loop17_TestCase7, TRUE, 2682)</t>
  </si>
  <si>
    <t>(Incorrect_Control_Statement_2_T_Loop0_TestCase2, TRUE, 4107)
(Incorrect_Control_Statement_2_T_Loop0_TestCase3, TRUE, 4103)
(Incorrect_Control_Statement_2_T_Loop0_TestCase1, TRUE, 4304)
(Incorrect_Control_Statement_2_T_Loop0_TestCase4, TRUE, 6869)
(Incorrect_Control_Statement_2_T_Loop0_TestCase5, TRUE, 6902)
(Incorrect_Control_Statement_2_T_Loop0_TestCase7, TRUE, 5911)
(Incorrect_Control_Statement_2_T_Loop0_TestCase6, TRUE, 5872)
(Incorrect_Control_Statement_2_T_Loop0_TestCase10, TRUE, 6961)
(Incorrect_Control_Statement_2_T_Loop0_TestCase8, TRUE, 8301)
(Incorrect_Control_Statement_2_T_Loop0_TestCase9, TRUE, 6938)</t>
  </si>
  <si>
    <t>(Incorrect_Control_Statement_2_T_Loop23_TestCase0, TRUE, 17942)
(Incorrect_Control_Statement_2_T_Loop17_TestCase0, TRUE, 2764)</t>
  </si>
  <si>
    <t>(Incorrect_Control_Statement_2_T_Loop0_TestCase0, TRUE, 17963)</t>
  </si>
  <si>
    <t>(Incorrect_Control_Statement_2_NT_Loop17_TestCase3, TRUE, 2481)
(Incorrect_Control_Statement_2_NT_Loop17_TestCase2, TRUE, 2750)
(Incorrect_Control_Statement_2_NT_Loop17_TestCase1, TRUE, 2462)
(Incorrect_Control_Statement_2_NT_Loop17_TestCase10, TRUE, 2682)
(Incorrect_Control_Statement_2_NT_Loop17_TestCase5, TRUE, 2754)
(Incorrect_Control_Statement_2_NT_Loop17_TestCase4, TRUE, 2684)
(Incorrect_Control_Statement_2_NT_Loop17_TestCase6, TRUE, 2785)
(Incorrect_Control_Statement_2_NT_Loop17_TestCase7, TRUE, 2479)
(Incorrect_Control_Statement_2_NT_Loop23_TestCase3, TRUE, 4340)
(Incorrect_Control_Statement_2_NT_Loop23_TestCase2, TRUE, 4351)
(Incorrect_Control_Statement_2_NT_Loop23_TestCase1, TRUE, 4266)
(Incorrect_Control_Statement_2_NT_Loop23_TestCase5, TRUE, 8843)
(Incorrect_Control_Statement_2_NT_Loop23_TestCase4, TRUE, 7805)
(Incorrect_Control_Statement_2_NT_Loop23_TestCase6, FALSE, 4679)
(Incorrect_Control_Statement_2_NT_Loop23_TestCase7, FALSE, 4638)
(Incorrect_Control_Statement_2_NT_Loop23_TestCase9, FALSE, 7813)
(Incorrect_Control_Statement_2_NT_Loop23_TestCase8, FALSE, 7113)
(Incorrect_Control_Statement_2_NT_Loop17_TestCase9, TRUE, 2493)
(Incorrect_Control_Statement_2_NT_Loop23_TestCase10, FALSE, 17678)
(Incorrect_Control_Statement_2_NT_Loop17_TestCase8, TRUE, 2713)</t>
  </si>
  <si>
    <t>(Incorrect_Control_Statement_2_NT_Loop0_TestCase9, FALSE, 8336)
(Incorrect_Control_Statement_2_NT_Loop0_TestCase8, FALSE, 7572)
(Incorrect_Control_Statement_2_NT_Loop0_TestCase10, FALSE, 21335)
(Incorrect_Control_Statement_2_NT_Loop0_TestCase6, FALSE, 4863)
(Incorrect_Control_Statement_2_NT_Loop0_TestCase7, FALSE, 4831)
(Incorrect_Control_Statement_2_NT_Loop0_TestCase5, TRUE, 9851)
(Incorrect_Control_Statement_2_NT_Loop0_TestCase4, TRUE, 10062)
(Incorrect_Control_Statement_2_NT_Loop0_TestCase1, TRUE, 4369)
(Incorrect_Control_Statement_2_NT_Loop0_TestCase3, TRUE, 4514)
(Incorrect_Control_Statement_2_NT_Loop0_TestCase2, TRUE, 4381)</t>
  </si>
  <si>
    <t>(Incorrect_Control_Statement_2_NT_Loop17_TestCase0, TRUE, 2421)
(Incorrect_Control_Statement_2_NT_Loop23_TestCase0, FALSE, 33715)</t>
  </si>
  <si>
    <t>(Incorrect_Control_Statement_2_NT_Loop0_TestCase0, FALSE, 35880)</t>
  </si>
  <si>
    <t>(Incorrect_Control_Statement_1_T_Loop14_TestCase9, TRUE, 2711)
(Incorrect_Control_Statement_1_T_Loop14_TestCase8, TRUE, 2734)
(Incorrect_Control_Statement_1_T_Loop18_TestCase10, TRUE, 14994)
(Incorrect_Control_Statement_1_T_Loop18_TestCase4, TRUE, 14946)
(Incorrect_Control_Statement_1_T_Loop18_TestCase5, TRUE, 14976)
(Incorrect_Control_Statement_1_T_Loop18_TestCase7, TRUE, 15012)
(Incorrect_Control_Statement_1_T_Loop18_TestCase6, TRUE, 14988)
(Incorrect_Control_Statement_1_T_Loop18_TestCase2, TRUE, 16422)
(Incorrect_Control_Statement_1_T_Loop18_TestCase3, TRUE, 14869)
(Incorrect_Control_Statement_1_T_Loop18_TestCase1, TRUE, 14848)
(Incorrect_Control_Statement_1_T_Loop14_TestCase10, TRUE, 2480)
(Incorrect_Control_Statement_1_T_Loop18_TestCase8, TRUE, 26344)
(Incorrect_Control_Statement_1_T_Loop18_TestCase9, TRUE, 39017)
(Incorrect_Control_Statement_1_T_Loop14_TestCase3, TRUE, 2658)
(Incorrect_Control_Statement_1_T_Loop14_TestCase2, TRUE, 2698)
(Incorrect_Control_Statement_1_T_Loop14_TestCase1, TRUE, 2670)
(Incorrect_Control_Statement_1_T_Loop14_TestCase5, TRUE, 2464)
(Incorrect_Control_Statement_1_T_Loop14_TestCase4, TRUE, 2676)
(Incorrect_Control_Statement_1_T_Loop14_TestCase6, TRUE, 2443)
(Incorrect_Control_Statement_1_T_Loop14_TestCase7, TRUE, 2475)</t>
  </si>
  <si>
    <t>(Incorrect_Control_Statement_1_T_Loop0_TestCase9, TRUE, 33028)
(Incorrect_Control_Statement_1_T_Loop0_TestCase8, TRUE, 30236)
(Incorrect_Control_Statement_1_T_Loop0_TestCase10, TRUE, 16068)
(Incorrect_Control_Statement_1_T_Loop0_TestCase6, TRUE, 16069)
(Incorrect_Control_Statement_1_T_Loop0_TestCase7, TRUE, 15941)
(Incorrect_Control_Statement_1_T_Loop0_TestCase5, TRUE, 16053)
(Incorrect_Control_Statement_1_T_Loop0_TestCase4, TRUE, 16048)
(Incorrect_Control_Statement_1_T_Loop0_TestCase1, TRUE, 16086)
(Incorrect_Control_Statement_1_T_Loop0_TestCase3, TRUE, 16103)
(Incorrect_Control_Statement_1_T_Loop0_TestCase2, TRUE, 16105)</t>
  </si>
  <si>
    <t>(Incorrect_Control_Statement_1_T_Loop18_TestCase0, Error, 300261)
(Incorrect_Control_Statement_1_T_Loop14_TestCase0, TRUE, 2491)</t>
  </si>
  <si>
    <t>(Incorrect_Control_Statement_1_T_Loop0_TestCase0, Error, 300272)</t>
  </si>
  <si>
    <t>(Incorrect_Control_Statement_1_NT_Loop20_TestCase3, TRUE, 14920)
(Incorrect_Control_Statement_1_NT_Loop20_TestCase2, TRUE, 15230)
(Incorrect_Control_Statement_1_NT_Loop20_TestCase1, TRUE, 15022)
(Incorrect_Control_Statement_1_NT_Loop20_TestCase5, TRUE, 14851)
(Incorrect_Control_Statement_1_NT_Loop20_TestCase10, TRUE, 15447)
(Incorrect_Control_Statement_1_NT_Loop20_TestCase4, TRUE, 14890)
(Incorrect_Control_Statement_1_NT_Loop20_TestCase6, TRUE, 14945)
(Incorrect_Control_Statement_1_NT_Loop20_TestCase7, TRUE, 15015)
(Incorrect_Control_Statement_1_NT_Loop16_TestCase8, TRUE, 2497)
(Incorrect_Control_Statement_1_NT_Loop16_TestCase9, TRUE, 2492)
(Incorrect_Control_Statement_1_NT_Loop16_TestCase1, TRUE, 2682)
(Incorrect_Control_Statement_1_NT_Loop16_TestCase2, TRUE, 2695)
(Incorrect_Control_Statement_1_NT_Loop16_TestCase3, TRUE, 2519)
(Incorrect_Control_Statement_1_NT_Loop16_TestCase7, TRUE, 2718)
(Incorrect_Control_Statement_1_NT_Loop16_TestCase6, TRUE, 2487)
(Incorrect_Control_Statement_1_NT_Loop16_TestCase10, TRUE, 2449)
(Incorrect_Control_Statement_1_NT_Loop16_TestCase4, TRUE, 2478)
(Incorrect_Control_Statement_1_NT_Loop16_TestCase5, TRUE, 2445)
(Incorrect_Control_Statement_1_NT_Loop20_TestCase9, FALSE, 18187)
(Incorrect_Control_Statement_1_NT_Loop20_TestCase8, FALSE, 18322)</t>
  </si>
  <si>
    <t>(Incorrect_Control_Statement_1_NT_Loop0_TestCase9, FALSE, 19232)
(Incorrect_Control_Statement_1_NT_Loop0_TestCase8, FALSE, 18944)
(Incorrect_Control_Statement_1_NT_Loop0_TestCase3, TRUE, 16043)
(Incorrect_Control_Statement_1_NT_Loop0_TestCase2, TRUE, 16240)
(Incorrect_Control_Statement_1_NT_Loop0_TestCase1, TRUE, 16091)
(Incorrect_Control_Statement_1_NT_Loop0_TestCase5, TRUE, 16062)
(Incorrect_Control_Statement_1_NT_Loop0_TestCase4, TRUE, 15986)
(Incorrect_Control_Statement_1_NT_Loop0_TestCase6, TRUE, 15959)
(Incorrect_Control_Statement_1_NT_Loop0_TestCase10, TRUE, 16035)
(Incorrect_Control_Statement_1_NT_Loop0_TestCase7, TRUE, 16057)</t>
  </si>
  <si>
    <t>(Incorrect_Control_Statement_1_NT_Loop20_TestCase0, Error, 300264)
(Incorrect_Control_Statement_1_NT_Loop16_TestCase0, TRUE, 2675)</t>
  </si>
  <si>
    <t>(Incorrect_Control_Statement_1_NT_Loop0_TestCase0, Error, 300307)</t>
  </si>
  <si>
    <t>(Incorrect_Bit_Calculation_3_T_Loop15_TestCase3, UNKNOWN, 3900)
(Incorrect_Bit_Calculation_3_T_Loop15_TestCase2, UNKNOWN, 3883)
(Incorrect_Bit_Calculation_3_T_Loop15_TestCase10, UNKNOWN, 3849)
(Incorrect_Bit_Calculation_3_T_Loop15_TestCase1, UNKNOWN, 4063)
(Incorrect_Bit_Calculation_3_T_Loop15_TestCase5, UNKNOWN, 3785)
(Incorrect_Bit_Calculation_3_T_Loop15_TestCase4, UNKNOWN, 3916)
(Incorrect_Bit_Calculation_3_T_Loop15_TestCase6, UNKNOWN, 3884)
(Incorrect_Bit_Calculation_3_T_Loop15_TestCase7, UNKNOWN, 3832)
(Incorrect_Bit_Calculation_3_T_Loop15_TestCase9, UNKNOWN, 3868)
(Incorrect_Bit_Calculation_3_T_Loop15_TestCase8, UNKNOWN, 3887)</t>
  </si>
  <si>
    <t>(Incorrect_Bit_Calculation_3_T_Loop0_TestCase2, UNKNOWN, 3865)
(Incorrect_Bit_Calculation_3_T_Loop0_TestCase3, UNKNOWN, 3831)
(Incorrect_Bit_Calculation_3_T_Loop0_TestCase1, UNKNOWN, 4107)
(Incorrect_Bit_Calculation_3_T_Loop0_TestCase10, UNKNOWN, 3857)
(Incorrect_Bit_Calculation_3_T_Loop0_TestCase4, UNKNOWN, 4134)
(Incorrect_Bit_Calculation_3_T_Loop0_TestCase5, UNKNOWN, 3895)
(Incorrect_Bit_Calculation_3_T_Loop0_TestCase7, UNKNOWN, 3895)
(Incorrect_Bit_Calculation_3_T_Loop0_TestCase6, UNKNOWN, 4006)
(Incorrect_Bit_Calculation_3_T_Loop0_TestCase8, UNKNOWN, 3904)
(Incorrect_Bit_Calculation_3_T_Loop0_TestCase9, UNKNOWN, 3894)</t>
  </si>
  <si>
    <t>(Incorrect_Bit_Calculation_3_T_Loop15_TestCase0, UNKNOWN, 3753)</t>
  </si>
  <si>
    <t>(Incorrect_Bit_Calculation_3_T_Loop0_TestCase0, UNKNOWN, 3831)</t>
  </si>
  <si>
    <t>(Incorrect_Bit_Calculation_3_NT_Loop18_TestCase8, FALSE, 2872)
(Incorrect_Bit_Calculation_3_NT_Loop18_TestCase9, UNKNOWN, 6400)
(Incorrect_Bit_Calculation_3_NT_Loop18_TestCase10, UNKNOWN, 6531)
(Incorrect_Bit_Calculation_3_NT_Loop18_TestCase7, FALSE, 2859)
(Incorrect_Bit_Calculation_3_NT_Loop18_TestCase6, FALSE, 2257)
(Incorrect_Bit_Calculation_3_NT_Loop18_TestCase4, TRUE, 2873)
(Incorrect_Bit_Calculation_3_NT_Loop18_TestCase5, TRUE, 2690)
(Incorrect_Bit_Calculation_3_NT_Loop18_TestCase1, TRUE, 2300)
(Incorrect_Bit_Calculation_3_NT_Loop18_TestCase2, TRUE, 2302)
(Incorrect_Bit_Calculation_3_NT_Loop18_TestCase3, TRUE, 2306)</t>
  </si>
  <si>
    <t>(Incorrect_Bit_Calculation_3_NT_Loop0_TestCase8, FALSE, 2952)
(Incorrect_Bit_Calculation_3_NT_Loop0_TestCase9, UNKNOWN, 6769)
(Incorrect_Bit_Calculation_3_NT_Loop0_TestCase4, TRUE, 2877)
(Incorrect_Bit_Calculation_3_NT_Loop0_TestCase5, TRUE, 2864)
(Incorrect_Bit_Calculation_3_NT_Loop0_TestCase7, FALSE, 2940)
(Incorrect_Bit_Calculation_3_NT_Loop0_TestCase6, FALSE, 2256)
(Incorrect_Bit_Calculation_3_NT_Loop0_TestCase2, TRUE, 2266)
(Incorrect_Bit_Calculation_3_NT_Loop0_TestCase3, TRUE, 2306)
(Incorrect_Bit_Calculation_3_NT_Loop0_TestCase1, TRUE, 2314)
(Incorrect_Bit_Calculation_3_NT_Loop0_TestCase10, UNKNOWN, 6836)</t>
  </si>
  <si>
    <t>(Incorrect_Bit_Calculation_3_NT_Loop18_TestCase0, FALSE, 2230)</t>
  </si>
  <si>
    <t>(Incorrect_Bit_Calculation_3_NT_Loop0_TestCase0, FALSE, 2247)</t>
  </si>
  <si>
    <t>(Incorrect_Bit_Calculation_2_T_Loop16_TestCase2, UNKNOWN, 5089)
(Incorrect_Bit_Calculation_2_T_Loop16_TestCase3, UNKNOWN, 6230)
(Incorrect_Bit_Calculation_2_T_Loop16_TestCase1, UNKNOWN, 3905)
(Incorrect_Bit_Calculation_2_T_Loop16_TestCase4, UNKNOWN, 5776)
(Incorrect_Bit_Calculation_2_T_Loop16_TestCase5, UNKNOWN, 5761)
(Incorrect_Bit_Calculation_2_T_Loop16_TestCase7, UNKNOWN, 3896)
(Incorrect_Bit_Calculation_2_T_Loop16_TestCase6, UNKNOWN, 3915)
(Incorrect_Bit_Calculation_2_T_Loop16_TestCase10, UNKNOWN, 3014)
(Incorrect_Bit_Calculation_2_T_Loop16_TestCase8, UNKNOWN, 4288)
(Incorrect_Bit_Calculation_2_T_Loop16_TestCase9, UNKNOWN, 3942)</t>
  </si>
  <si>
    <t>(Incorrect_Bit_Calculation_2_T_Loop0_TestCase8, UNKNOWN, 3875)
(Incorrect_Bit_Calculation_2_T_Loop0_TestCase9, UNKNOWN, 3908)
(Incorrect_Bit_Calculation_2_T_Loop0_TestCase10, UNKNOWN, 2980)
(Incorrect_Bit_Calculation_2_T_Loop0_TestCase1, UNKNOWN, 3898)
(Incorrect_Bit_Calculation_2_T_Loop0_TestCase2, UNKNOWN, 5036)
(Incorrect_Bit_Calculation_2_T_Loop0_TestCase3, UNKNOWN, 5732)
(Incorrect_Bit_Calculation_2_T_Loop0_TestCase7, UNKNOWN, 3918)
(Incorrect_Bit_Calculation_2_T_Loop0_TestCase6, UNKNOWN, 3940)
(Incorrect_Bit_Calculation_2_T_Loop0_TestCase4, UNKNOWN, 5773)
(Incorrect_Bit_Calculation_2_T_Loop0_TestCase5, UNKNOWN, 5801)</t>
  </si>
  <si>
    <t>(Incorrect_Bit_Calculation_2_T_Loop16_TestCase0, UNKNOWN, 3814)</t>
  </si>
  <si>
    <t>(Incorrect_Bit_Calculation_2_T_Loop0_TestCase0, UNKNOWN, 5260)</t>
  </si>
  <si>
    <t>(Incorrect_Bit_Calculation_2_NT_Loop20_TestCase10, UNKNOWN, 2991)
(Incorrect_Bit_Calculation_2_NT_Loop20_TestCase8, UNKNOWN, 3879)
(Incorrect_Bit_Calculation_2_NT_Loop20_TestCase9, UNKNOWN, 3913)
(Incorrect_Bit_Calculation_2_NT_Loop20_TestCase4, UNKNOWN, 5424)
(Incorrect_Bit_Calculation_2_NT_Loop20_TestCase5, UNKNOWN, 5434)
(Incorrect_Bit_Calculation_2_NT_Loop20_TestCase7, UNKNOWN, 3880)
(Incorrect_Bit_Calculation_2_NT_Loop20_TestCase6, UNKNOWN, 3896)
(Incorrect_Bit_Calculation_2_NT_Loop20_TestCase2, UNKNOWN, 4876)
(Incorrect_Bit_Calculation_2_NT_Loop20_TestCase3, UNKNOWN, 5488)
(Incorrect_Bit_Calculation_2_NT_Loop20_TestCase1, UNKNOWN, 3846)</t>
  </si>
  <si>
    <t>(Incorrect_Bit_Calculation_2_NT_Loop0_TestCase9, UNKNOWN, 3895)
(Incorrect_Bit_Calculation_2_NT_Loop0_TestCase8, UNKNOWN, 3884)
(Incorrect_Bit_Calculation_2_NT_Loop0_TestCase10, UNKNOWN, 2963)
(Incorrect_Bit_Calculation_2_NT_Loop0_TestCase1, UNKNOWN, 3864)
(Incorrect_Bit_Calculation_2_NT_Loop0_TestCase3, UNKNOWN, 5769)
(Incorrect_Bit_Calculation_2_NT_Loop0_TestCase2, UNKNOWN, 5133)
(Incorrect_Bit_Calculation_2_NT_Loop0_TestCase6, UNKNOWN, 3913)
(Incorrect_Bit_Calculation_2_NT_Loop0_TestCase7, UNKNOWN, 3916)
(Incorrect_Bit_Calculation_2_NT_Loop0_TestCase5, UNKNOWN, 5772)
(Incorrect_Bit_Calculation_2_NT_Loop0_TestCase4, UNKNOWN, 6177)</t>
  </si>
  <si>
    <t>(Incorrect_Bit_Calculation_2_NT_Loop20_TestCase0, UNKNOWN, 3790)</t>
  </si>
  <si>
    <t>(Incorrect_Bit_Calculation_2_NT_Loop0_TestCase0, UNKNOWN, 4317)</t>
  </si>
  <si>
    <t>(Incorrect_Bit_Calculation_1_T_Loop14_TestCase9, TRUE, 2675)
(Incorrect_Bit_Calculation_1_T_Loop14_TestCase8, TRUE, 2481)
(Incorrect_Bit_Calculation_1_T_Loop14_TestCase10, UNKNOWN, 2980)
(Incorrect_Bit_Calculation_1_T_Loop14_TestCase5, TRUE, 2661)
(Incorrect_Bit_Calculation_1_T_Loop14_TestCase4, TRUE, 2666)
(Incorrect_Bit_Calculation_1_T_Loop14_TestCase6, TRUE, 2465)
(Incorrect_Bit_Calculation_1_T_Loop14_TestCase7, TRUE, 2716)
(Incorrect_Bit_Calculation_1_T_Loop14_TestCase3, TRUE, 2449)
(Incorrect_Bit_Calculation_1_T_Loop14_TestCase2, TRUE, 2451)
(Incorrect_Bit_Calculation_1_T_Loop14_TestCase1, TRUE, 2388)</t>
  </si>
  <si>
    <t>(Incorrect_Bit_Calculation_1_T_Loop0_TestCase5, TRUE, 2652)
(Incorrect_Bit_Calculation_1_T_Loop0_TestCase4, TRUE, 2683)
(Incorrect_Bit_Calculation_1_T_Loop0_TestCase6, TRUE, 2661)
(Incorrect_Bit_Calculation_1_T_Loop0_TestCase7, TRUE, 2669)
(Incorrect_Bit_Calculation_1_T_Loop0_TestCase3, TRUE, 2647)
(Incorrect_Bit_Calculation_1_T_Loop0_TestCase2, TRUE, 2641)
(Incorrect_Bit_Calculation_1_T_Loop0_TestCase1, TRUE, 2652)
(Incorrect_Bit_Calculation_1_T_Loop0_TestCase10, UNKNOWN, 2994)
(Incorrect_Bit_Calculation_1_T_Loop0_TestCase9, TRUE, 2666)
(Incorrect_Bit_Calculation_1_T_Loop0_TestCase8, TRUE, 2672)</t>
  </si>
  <si>
    <t>(Incorrect_Bit_Calculation_1_T_Loop14_TestCase0, TRUE, 2610)</t>
  </si>
  <si>
    <t>(Incorrect_Bit_Calculation_1_T_Loop0_TestCase0, TRUE, 2669)</t>
  </si>
  <si>
    <t>(Incorrect_Bit_Calculation_1_NT_Loop15_TestCase10, UNKNOWN, 2971)
(Incorrect_Bit_Calculation_1_NT_Loop15_TestCase6, UNKNOWN, 3832)
(Incorrect_Bit_Calculation_1_NT_Loop15_TestCase7, UNKNOWN, 3793)
(Incorrect_Bit_Calculation_1_NT_Loop15_TestCase5, UNKNOWN, 5109)
(Incorrect_Bit_Calculation_1_NT_Loop15_TestCase4, UNKNOWN, 5005)
(Incorrect_Bit_Calculation_1_NT_Loop15_TestCase1, UNKNOWN, 4521)
(Incorrect_Bit_Calculation_1_NT_Loop15_TestCase3, UNKNOWN, 5094)
(Incorrect_Bit_Calculation_1_NT_Loop15_TestCase2, UNKNOWN, 4998)
(Incorrect_Bit_Calculation_1_NT_Loop15_TestCase9, UNKNOWN, 3839)
(Incorrect_Bit_Calculation_1_NT_Loop15_TestCase8, UNKNOWN, 3808)</t>
  </si>
  <si>
    <t>(Incorrect_Bit_Calculation_1_NT_Loop0_TestCase10, UNKNOWN, 2998)
(Incorrect_Bit_Calculation_1_NT_Loop0_TestCase9, UNKNOWN, 3872)
(Incorrect_Bit_Calculation_1_NT_Loop0_TestCase8, UNKNOWN, 3926)
(Incorrect_Bit_Calculation_1_NT_Loop0_TestCase5, UNKNOWN, 5341)
(Incorrect_Bit_Calculation_1_NT_Loop0_TestCase4, UNKNOWN, 5389)
(Incorrect_Bit_Calculation_1_NT_Loop0_TestCase6, UNKNOWN, 3833)
(Incorrect_Bit_Calculation_1_NT_Loop0_TestCase7, UNKNOWN, 3863)
(Incorrect_Bit_Calculation_1_NT_Loop0_TestCase3, UNKNOWN, 5354)
(Incorrect_Bit_Calculation_1_NT_Loop0_TestCase2, UNKNOWN, 5307)
(Incorrect_Bit_Calculation_1_NT_Loop0_TestCase1, UNKNOWN, 4725)</t>
  </si>
  <si>
    <t>(Incorrect_Bit_Calculation_1_NT_Loop15_TestCase0, UNKNOWN, 3826)</t>
  </si>
  <si>
    <t>(Incorrect_Bit_Calculation_1_NT_Loop0_TestCase0, UNKNOWN, 4496)</t>
  </si>
  <si>
    <t>(Adding_Subtracting_Zero_5_T_Loop21_TestCase8, TRUE, 2731)
(Adding_Subtracting_Zero_5_T_Loop21_TestCase9, TRUE, 2573)
(Adding_Subtracting_Zero_5_T_Loop38_TestCase10, Error, 300359)
(Adding_Subtracting_Zero_5_T_Loop21_TestCase10, TRUE, 2772)
(Adding_Subtracting_Zero_5_T_Loop38_TestCase8, Error, 300345)
(Adding_Subtracting_Zero_5_T_Loop38_TestCase9, Error, 300350)
(Adding_Subtracting_Zero_5_T_Loop38_TestCase4, TRUE, 2532)
(Adding_Subtracting_Zero_5_T_Loop38_TestCase5, TRUE, 2546)
(Adding_Subtracting_Zero_5_T_Loop38_TestCase7, Error, 300383)
(Adding_Subtracting_Zero_5_T_Loop38_TestCase6, TRUE, 2858)
(Adding_Subtracting_Zero_5_T_Loop38_TestCase2, TRUE, 2525)
(Adding_Subtracting_Zero_5_T_Loop38_TestCase3, TRUE, 2646)
(Adding_Subtracting_Zero_5_T_Loop38_TestCase1, TRUE, 2423)
(Adding_Subtracting_Zero_5_T_Loop21_TestCase1, TRUE, 2766)
(Adding_Subtracting_Zero_5_T_Loop21_TestCase2, TRUE, 2941)
(Adding_Subtracting_Zero_5_T_Loop21_TestCase3, TRUE, 2592)
(Adding_Subtracting_Zero_5_T_Loop21_TestCase7, TRUE, 3035)
(Adding_Subtracting_Zero_5_T_Loop21_TestCase6, TRUE, 2789)
(Adding_Subtracting_Zero_5_T_Loop21_TestCase4, TRUE, 2811)
(Adding_Subtracting_Zero_5_T_Loop21_TestCase5, TRUE, 2775)</t>
  </si>
  <si>
    <t>(Adding_Subtracting_Zero_5_T_Loop0_TestCase3, TRUE, 2523)
(Adding_Subtracting_Zero_5_T_Loop0_TestCase2, TRUE, 2549)
(Adding_Subtracting_Zero_5_T_Loop0_TestCase1, TRUE, 2487)
(Adding_Subtracting_Zero_5_T_Loop0_TestCase5, TRUE, 2542)
(Adding_Subtracting_Zero_5_T_Loop0_TestCase4, TRUE, 2539)
(Adding_Subtracting_Zero_5_T_Loop0_TestCase6, TRUE, 2732)
(Adding_Subtracting_Zero_5_T_Loop0_TestCase7, Error, 300354)
(Adding_Subtracting_Zero_5_T_Loop0_TestCase10, Error, 300347)
(Adding_Subtracting_Zero_5_T_Loop0_TestCase9, Error, 300398)
(Adding_Subtracting_Zero_5_T_Loop0_TestCase8, Error, 300325)</t>
  </si>
  <si>
    <t>(Adding_Subtracting_Zero_5_T_Loop38_TestCase0, Error, 300323)
(Adding_Subtracting_Zero_5_T_Loop21_TestCase0, TRUE, 3390)</t>
  </si>
  <si>
    <t>(Adding_Subtracting_Zero_5_T_Loop0_TestCase0, Error, 300418)</t>
  </si>
  <si>
    <t>(Adding_Subtracting_Zero_5_NT_Loop21_TestCase7, TRUE, 2767)
(Adding_Subtracting_Zero_5_NT_Loop21_TestCase6, TRUE, 2813)
(Adding_Subtracting_Zero_5_NT_Loop21_TestCase4, TRUE, 2805)
(Adding_Subtracting_Zero_5_NT_Loop21_TestCase5, TRUE, 2764)
(Adding_Subtracting_Zero_5_NT_Loop21_TestCase1, TRUE, 2550)
(Adding_Subtracting_Zero_5_NT_Loop21_TestCase2, TRUE, 2548)
(Adding_Subtracting_Zero_5_NT_Loop21_TestCase3, TRUE, 2792)
(Adding_Subtracting_Zero_5_NT_Loop38_TestCase2, TRUE, 2555)
(Adding_Subtracting_Zero_5_NT_Loop38_TestCase3, TRUE, 2543)
(Adding_Subtracting_Zero_5_NT_Loop38_TestCase1, TRUE, 2529)
(Adding_Subtracting_Zero_5_NT_Loop38_TestCase4, TRUE, 2723)
(Adding_Subtracting_Zero_5_NT_Loop38_TestCase5, TRUE, 2493)
(Adding_Subtracting_Zero_5_NT_Loop38_TestCase7, FALSE, 12544)
(Adding_Subtracting_Zero_5_NT_Loop38_TestCase6, FALSE, 3022)
(Adding_Subtracting_Zero_5_NT_Loop38_TestCase8, Error, 300324)
(Adding_Subtracting_Zero_5_NT_Loop38_TestCase9, Error, 300350)
(Adding_Subtracting_Zero_5_NT_Loop38_TestCase10, Error, 300259)
(Adding_Subtracting_Zero_5_NT_Loop21_TestCase8, TRUE, 2768)
(Adding_Subtracting_Zero_5_NT_Loop21_TestCase9, TRUE, 2746)
(Adding_Subtracting_Zero_5_NT_Loop21_TestCase10, TRUE, 2787)</t>
  </si>
  <si>
    <t>(Adding_Subtracting_Zero_5_NT_Loop0_TestCase10, Error, 300394)
(Adding_Subtracting_Zero_5_NT_Loop0_TestCase6, FALSE, 2998)
(Adding_Subtracting_Zero_5_NT_Loop0_TestCase7, FALSE, 12939)
(Adding_Subtracting_Zero_5_NT_Loop0_TestCase5, TRUE, 2456)
(Adding_Subtracting_Zero_5_NT_Loop0_TestCase4, TRUE, 2509)
(Adding_Subtracting_Zero_5_NT_Loop0_TestCase1, TRUE, 2483)
(Adding_Subtracting_Zero_5_NT_Loop0_TestCase3, TRUE, 2485)
(Adding_Subtracting_Zero_5_NT_Loop0_TestCase2, TRUE, 2554)
(Adding_Subtracting_Zero_5_NT_Loop0_TestCase9, Error, 300339)
(Adding_Subtracting_Zero_5_NT_Loop0_TestCase8, Error, 300376)</t>
  </si>
  <si>
    <t>(Adding_Subtracting_Zero_5_NT_Loop21_TestCase0, TRUE, 2561)
(Adding_Subtracting_Zero_5_NT_Loop38_TestCase0, FALSE, 3734)</t>
  </si>
  <si>
    <t>(Adding_Subtracting_Zero_5_NT_Loop0_TestCase0, FALSE, 3995)</t>
  </si>
  <si>
    <t>(Adding_Subtracting_Zero_4_T_Loop16_TestCase9, TRUE, 10025)
(Adding_Subtracting_Zero_4_T_Loop16_TestCase8, TRUE, 9994)
(Adding_Subtracting_Zero_4_T_Loop51_TestCase9, TRUE, 9838)
(Adding_Subtracting_Zero_4_T_Loop16_TestCase10, TRUE, 9813)
(Adding_Subtracting_Zero_4_T_Loop51_TestCase8, TRUE, 10082)
(Adding_Subtracting_Zero_4_T_Loop51_TestCase6, TRUE, 10087)
(Adding_Subtracting_Zero_4_T_Loop51_TestCase7, TRUE, 10092)
(Adding_Subtracting_Zero_4_T_Loop51_TestCase5, TRUE, 12005)
(Adding_Subtracting_Zero_4_T_Loop51_TestCase4, TRUE, 11967)
(Adding_Subtracting_Zero_4_T_Loop51_TestCase1, TRUE, 2324)
(Adding_Subtracting_Zero_4_T_Loop51_TestCase3, TRUE, 11256)
(Adding_Subtracting_Zero_4_T_Loop51_TestCase2, TRUE, 3427)
(Adding_Subtracting_Zero_4_T_Loop16_TestCase1, TRUE, 2373)
(Adding_Subtracting_Zero_4_T_Loop16_TestCase3, TRUE, 11236)
(Adding_Subtracting_Zero_4_T_Loop16_TestCase2, TRUE, 3465)
(Adding_Subtracting_Zero_4_T_Loop51_TestCase10, TRUE, 10079)
(Adding_Subtracting_Zero_4_T_Loop16_TestCase6, TRUE, 9736)
(Adding_Subtracting_Zero_4_T_Loop16_TestCase7, TRUE, 10050)
(Adding_Subtracting_Zero_4_T_Loop16_TestCase5, TRUE, 13375)
(Adding_Subtracting_Zero_4_T_Loop16_TestCase4, TRUE, 12409)</t>
  </si>
  <si>
    <t>(Adding_Subtracting_Zero_4_T_Loop0_TestCase9, TRUE, 3996)
(Adding_Subtracting_Zero_4_T_Loop0_TestCase8, TRUE, 3955)
(Adding_Subtracting_Zero_4_T_Loop0_TestCase1, TRUE, 2348)
(Adding_Subtracting_Zero_4_T_Loop0_TestCase3, TRUE, 6666)
(Adding_Subtracting_Zero_4_T_Loop0_TestCase2, TRUE, 3066)
(Adding_Subtracting_Zero_4_T_Loop0_TestCase6, TRUE, 4181)
(Adding_Subtracting_Zero_4_T_Loop0_TestCase7, TRUE, 3763)
(Adding_Subtracting_Zero_4_T_Loop0_TestCase5, TRUE, 7423)
(Adding_Subtracting_Zero_4_T_Loop0_TestCase10, TRUE, 3979)
(Adding_Subtracting_Zero_4_T_Loop0_TestCase4, TRUE, 7624)</t>
  </si>
  <si>
    <t>(Adding_Subtracting_Zero_4_T_Loop51_TestCase0, TRUE, 11090)
(Adding_Subtracting_Zero_4_T_Loop16_TestCase0, TRUE, 11175)</t>
  </si>
  <si>
    <t>(Adding_Subtracting_Zero_4_T_Loop0_TestCase0, TRUE, 5123)</t>
  </si>
  <si>
    <t>13/20</t>
  </si>
  <si>
    <t>(Adding_Subtracting_Zero_3_T_Loop72_TestCase9, TRUE, 11005)
(Adding_Subtracting_Zero_3_T_Loop72_TestCase10, TRUE, 10964)
(Adding_Subtracting_Zero_3_T_Loop72_TestCase8, TRUE, 10866)
(Adding_Subtracting_Zero_3_T_Loop37_TestCase1, TRUE, 2333)
(Adding_Subtracting_Zero_3_T_Loop37_TestCase2, TRUE, 2280)
(Adding_Subtracting_Zero_3_T_Loop37_TestCase3, TRUE, 5408)
(Adding_Subtracting_Zero_3_T_Loop37_TestCase7, Error, 300328)
(Adding_Subtracting_Zero_3_T_Loop37_TestCase6, Error, 300393)
(Adding_Subtracting_Zero_3_T_Loop37_TestCase4, Error, 300387)
(Adding_Subtracting_Zero_3_T_Loop37_TestCase5, Error, 300395)
(Adding_Subtracting_Zero_3_T_Loop37_TestCase8, Error, 300405)
(Adding_Subtracting_Zero_3_T_Loop37_TestCase9, Error, 300355)
(Adding_Subtracting_Zero_3_T_Loop72_TestCase5, TRUE, 23607)
(Adding_Subtracting_Zero_3_T_Loop72_TestCase4, TRUE, 20189)
(Adding_Subtracting_Zero_3_T_Loop37_TestCase10, Error, 300391)
(Adding_Subtracting_Zero_3_T_Loop72_TestCase6, TRUE, 11113)
(Adding_Subtracting_Zero_3_T_Loop72_TestCase7, TRUE, 10786)
(Adding_Subtracting_Zero_3_T_Loop72_TestCase3, TRUE, 9138)
(Adding_Subtracting_Zero_3_T_Loop72_TestCase2, TRUE, 3786)
(Adding_Subtracting_Zero_3_T_Loop72_TestCase1, TRUE, 3723)</t>
  </si>
  <si>
    <t>(Adding_Subtracting_Zero_3_T_Loop0_TestCase7, TRUE, 11668)
(Adding_Subtracting_Zero_3_T_Loop0_TestCase6, TRUE, 11581)
(Adding_Subtracting_Zero_3_T_Loop0_TestCase4, TRUE, 22374)
(Adding_Subtracting_Zero_3_T_Loop0_TestCase5, TRUE, 26706)
(Adding_Subtracting_Zero_3_T_Loop0_TestCase1, TRUE, 4951)
(Adding_Subtracting_Zero_3_T_Loop0_TestCase2, TRUE, 4905)
(Adding_Subtracting_Zero_3_T_Loop0_TestCase3, TRUE, 9622)
(Adding_Subtracting_Zero_3_T_Loop0_TestCase8, TRUE, 11347)
(Adding_Subtracting_Zero_3_T_Loop0_TestCase10, TRUE, 11368)
(Adding_Subtracting_Zero_3_T_Loop0_TestCase9, TRUE, 11618)</t>
  </si>
  <si>
    <t>(Adding_Subtracting_Zero_3_T_Loop37_TestCase0, TRUE, 28295)
(Adding_Subtracting_Zero_3_T_Loop72_TestCase0, TRUE, 41502)</t>
  </si>
  <si>
    <t>(Adding_Subtracting_Zero_3_T_Loop0_TestCase0, TRUE, 41246)</t>
  </si>
  <si>
    <t>(Adding_Subtracting_Zero_3_NT_Loop40_TestCase1, TRUE, 2299)
(Adding_Subtracting_Zero_3_NT_Loop40_TestCase2, TRUE, 2315)
(Adding_Subtracting_Zero_3_NT_Loop40_TestCase3, TRUE, 4623)
(Adding_Subtracting_Zero_3_NT_Loop40_TestCase7, FALSE, 12073)
(Adding_Subtracting_Zero_3_NT_Loop40_TestCase6, FALSE, 9169)
(Adding_Subtracting_Zero_3_NT_Loop40_TestCase4, TRUE, 8010)
(Adding_Subtracting_Zero_3_NT_Loop40_TestCase5, TRUE, 9155)
(Adding_Subtracting_Zero_3_NT_Loop40_TestCase10, FALSE, 46583)
(Adding_Subtracting_Zero_3_NT_Loop75_TestCase9, FALSE, 5782)
(Adding_Subtracting_Zero_3_NT_Loop75_TestCase8, FALSE, 4792)
(Adding_Subtracting_Zero_3_NT_Loop75_TestCase6, FALSE, 4270)
(Adding_Subtracting_Zero_3_NT_Loop75_TestCase10, FALSE, 4623)
(Adding_Subtracting_Zero_3_NT_Loop75_TestCase7, FALSE, 4690)
(Adding_Subtracting_Zero_3_NT_Loop75_TestCase5, TRUE, 9561)
(Adding_Subtracting_Zero_3_NT_Loop75_TestCase4, TRUE, 7993)
(Adding_Subtracting_Zero_3_NT_Loop75_TestCase1, TRUE, 2429)
(Adding_Subtracting_Zero_3_NT_Loop75_TestCase3, TRUE, 4721)
(Adding_Subtracting_Zero_3_NT_Loop75_TestCase2, TRUE, 2455)
(Adding_Subtracting_Zero_3_NT_Loop40_TestCase8, FALSE, 19174)
(Adding_Subtracting_Zero_3_NT_Loop40_TestCase9, FALSE, 26821)</t>
  </si>
  <si>
    <t>(Adding_Subtracting_Zero_3_NT_Loop0_TestCase1, TRUE, 2361)
(Adding_Subtracting_Zero_3_NT_Loop0_TestCase2, TRUE, 2407)
(Adding_Subtracting_Zero_3_NT_Loop0_TestCase3, TRUE, 4345)
(Adding_Subtracting_Zero_3_NT_Loop0_TestCase7, FALSE, 4383)
(Adding_Subtracting_Zero_3_NT_Loop0_TestCase6, FALSE, 3985)
(Adding_Subtracting_Zero_3_NT_Loop0_TestCase4, TRUE, 8817)
(Adding_Subtracting_Zero_3_NT_Loop0_TestCase5, TRUE, 10196)
(Adding_Subtracting_Zero_3_NT_Loop0_TestCase8, FALSE, 4202)
(Adding_Subtracting_Zero_3_NT_Loop0_TestCase9, FALSE, 4250)
(Adding_Subtracting_Zero_3_NT_Loop0_TestCase10, FALSE, 6045)</t>
  </si>
  <si>
    <t>(Adding_Subtracting_Zero_2_T_Loop35_TestCase10, TRUE, 2421)
(Adding_Subtracting_Zero_2_T_Loop35_TestCase8, TRUE, 2480)
(Adding_Subtracting_Zero_2_T_Loop35_TestCase9, TRUE, 2415)
(Adding_Subtracting_Zero_2_T_Loop35_TestCase7, TRUE, 2413)
(Adding_Subtracting_Zero_2_T_Loop35_TestCase6, TRUE, 2407)
(Adding_Subtracting_Zero_2_T_Loop35_TestCase4, TRUE, 10033)
(Adding_Subtracting_Zero_2_T_Loop35_TestCase5, Error, 300399)
(Adding_Subtracting_Zero_2_T_Loop35_TestCase1, TRUE, 3020)
(Adding_Subtracting_Zero_2_T_Loop35_TestCase2, TRUE, 13988)
(Adding_Subtracting_Zero_2_T_Loop35_TestCase3, Error, 300390)</t>
  </si>
  <si>
    <t>(Adding_Subtracting_Zero_2_T_Loop0_TestCase8, TRUE, 2409)
(Adding_Subtracting_Zero_2_T_Loop0_TestCase9, TRUE, 2382)
(Adding_Subtracting_Zero_2_T_Loop0_TestCase4, TRUE, 10086)
(Adding_Subtracting_Zero_2_T_Loop0_TestCase5, TRUE, 13402)
(Adding_Subtracting_Zero_2_T_Loop0_TestCase7, TRUE, 2368)
(Adding_Subtracting_Zero_2_T_Loop0_TestCase10, TRUE, 2302)
(Adding_Subtracting_Zero_2_T_Loop0_TestCase6, TRUE, 2361)
(Adding_Subtracting_Zero_2_T_Loop0_TestCase2, TRUE, 7226)
(Adding_Subtracting_Zero_2_T_Loop0_TestCase3, TRUE, 9449)
(Adding_Subtracting_Zero_2_T_Loop0_TestCase1, TRUE, 2282)</t>
  </si>
  <si>
    <t>(Adding_Subtracting_Zero_2_T_Loop35_TestCase0, Error, 300316)</t>
  </si>
  <si>
    <t>(Adding_Subtracting_Zero_2_T_Loop0_TestCase0, Error, 300301)</t>
  </si>
  <si>
    <t>(Adding_Subtracting_Zero_2_NT_Loop34_TestCase0, Error, 300318)</t>
  </si>
  <si>
    <t>(Adding_Subtracting_Zero_2_NT_Loop0_TestCase0, Error, 300323)</t>
  </si>
  <si>
    <t>(Adding_Subtracting_Zero_1_T_Loop17_TestCase5, TRUE, 3132)
(Adding_Subtracting_Zero_1_T_Loop17_TestCase4, TRUE, 2634)
(Adding_Subtracting_Zero_1_T_Loop17_TestCase6, TRUE, 2416)
(Adding_Subtracting_Zero_1_T_Loop17_TestCase7, TRUE, 2396)
(Adding_Subtracting_Zero_1_T_Loop17_TestCase3, TRUE, 3125)
(Adding_Subtracting_Zero_1_T_Loop17_TestCase2, TRUE, 2401)
(Adding_Subtracting_Zero_1_T_Loop17_TestCase1, TRUE, 2403)
(Adding_Subtracting_Zero_1_T_Loop17_TestCase9, TRUE, 2447)
(Adding_Subtracting_Zero_1_T_Loop17_TestCase8, TRUE, 2420)
(Adding_Subtracting_Zero_1_T_Loop17_TestCase10, TRUE, 2403)</t>
  </si>
  <si>
    <t>(Adding_Subtracting_Zero_1_T_Loop0_TestCase1, TRUE, 2764)
(Adding_Subtracting_Zero_1_T_Loop0_TestCase3, TRUE, 3716)
(Adding_Subtracting_Zero_1_T_Loop0_TestCase2, TRUE, 2624)
(Adding_Subtracting_Zero_1_T_Loop0_TestCase6, TRUE, 2725)
(Adding_Subtracting_Zero_1_T_Loop0_TestCase7, TRUE, 2783)
(Adding_Subtracting_Zero_1_T_Loop0_TestCase5, TRUE, 3655)
(Adding_Subtracting_Zero_1_T_Loop0_TestCase4, TRUE, 3158)
(Adding_Subtracting_Zero_1_T_Loop0_TestCase9, TRUE, 2790)
(Adding_Subtracting_Zero_1_T_Loop0_TestCase8, TRUE, 2528)
(Adding_Subtracting_Zero_1_T_Loop0_TestCase10, TRUE, 2552)</t>
  </si>
  <si>
    <t>(Adding_Subtracting_Zero_1_T_Loop17_TestCase0, TRUE, 3045)</t>
  </si>
  <si>
    <t>(Adding_Subtracting_Zero_1_T_Loop0_TestCase0, TRUE, 3443)</t>
  </si>
  <si>
    <t>(Adding_Subtracting_Zero_1_NT_Loop17_TestCase8, FALSE, 2633)
(Adding_Subtracting_Zero_1_NT_Loop17_TestCase9, FALSE, 2881)
(Adding_Subtracting_Zero_1_NT_Loop17_TestCase10, FALSE, 2864)
(Adding_Subtracting_Zero_1_NT_Loop17_TestCase2, TRUE, 2792)
(Adding_Subtracting_Zero_1_NT_Loop17_TestCase3, TRUE, 3761)
(Adding_Subtracting_Zero_1_NT_Loop17_TestCase1, TRUE, 2489)
(Adding_Subtracting_Zero_1_NT_Loop17_TestCase4, TRUE, 2926)
(Adding_Subtracting_Zero_1_NT_Loop17_TestCase5, TRUE, 3741)
(Adding_Subtracting_Zero_1_NT_Loop17_TestCase7, FALSE, 2636)
(Adding_Subtracting_Zero_1_NT_Loop17_TestCase6, FALSE, 2858)</t>
  </si>
  <si>
    <t>(Adding_Subtracting_Zero_1_NT_Loop0_TestCase10, FALSE, 2856)
(Adding_Subtracting_Zero_1_NT_Loop0_TestCase1, TRUE, 2771)
(Adding_Subtracting_Zero_1_NT_Loop0_TestCase3, TRUE, 3394)
(Adding_Subtracting_Zero_1_NT_Loop0_TestCase2, TRUE, 2625)
(Adding_Subtracting_Zero_1_NT_Loop0_TestCase6, FALSE, 2637)
(Adding_Subtracting_Zero_1_NT_Loop0_TestCase7, FALSE, 2860)
(Adding_Subtracting_Zero_1_NT_Loop0_TestCase5, TRUE, 3375)
(Adding_Subtracting_Zero_1_NT_Loop0_TestCase4, TRUE, 3163)
(Adding_Subtracting_Zero_1_NT_Loop0_TestCase9, FALSE, 2855)
(Adding_Subtracting_Zero_1_NT_Loop0_TestCase8, FALSE, 2627)</t>
  </si>
  <si>
    <t>(Adding_Subtracting_Zero_1_NT_Loop17_TestCase0, FALSE, 2749)</t>
  </si>
  <si>
    <t>(Adding_Subtracting_Zero_1_NT_Loop0_TestCase0, FALSE, 3613)</t>
  </si>
  <si>
    <t>(Using_Erroneous_Condition_3_T_Loop24_TestCase1, YES, 7665)
(Using_Erroneous_Condition_3_T_Loop27_TestCase4, YES, 7316)
(Using_Erroneous_Condition_3_T_Loop27_TestCase5, YES, 16677)
(Using_Erroneous_Condition_3_T_Loop24_TestCase2, YES, 5768)
(Using_Erroneous_Condition_3_T_Loop27_TestCase7, YES, 7524)
(Using_Erroneous_Condition_3_T_Loop27_TestCase6, YES, 56614)
(Using_Erroneous_Condition_3_T_Loop24_TestCase3, YES, 5741)
(Using_Erroneous_Condition_3_T_Loop24_TestCase7, YES, 7553)
(Using_Erroneous_Condition_3_T_Loop27_TestCase2, YES, 5713)
(Using_Erroneous_Condition_3_T_Loop27_TestCase3, YES, 5659)
(Using_Erroneous_Condition_3_T_Loop24_TestCase6, YES, 57126)
(Using_Erroneous_Condition_3_T_Loop24_TestCase4, YES, 7300)
(Using_Erroneous_Condition_3_T_Loop27_TestCase1, YES, 7733)
(Using_Erroneous_Condition_3_T_Loop24_TestCase5, YES, 16505)
(Using_Erroneous_Condition_3_T_Loop17_TestCase5, YES, 4463)
(Using_Erroneous_Condition_3_T_Loop17_TestCase4, YES, 4553)
(Using_Erroneous_Condition_3_T_Loop17_TestCase10, YES, 4540)
(Using_Erroneous_Condition_3_T_Loop17_TestCase6, YES, 4573)
(Using_Erroneous_Condition_3_T_Loop17_TestCase7, YES, 4570)
(Using_Erroneous_Condition_3_T_Loop17_TestCase3, YES, 4526)
(Using_Erroneous_Condition_3_T_Loop17_TestCase2, YES, 4518)
(Using_Erroneous_Condition_3_T_Loop17_TestCase1, YES, 4592)
(Using_Erroneous_Condition_3_T_Loop24_TestCase10, YES, 15836)
(Using_Erroneous_Condition_3_T_Loop17_TestCase9, YES, 4658)
(Using_Erroneous_Condition_3_T_Loop17_TestCase8, YES, 4419)
(Using_Erroneous_Condition_3_T_Loop24_TestCase8, YES, 6603)
(Using_Erroneous_Condition_3_T_Loop24_TestCase9, YES, 6663)
(Using_Erroneous_Condition_3_T_Loop27_TestCase10, YES, 15546)
(Using_Erroneous_Condition_3_T_Loop27_TestCase8, YES, 6632)
(Using_Erroneous_Condition_3_T_Loop27_TestCase9, YES, 6608)</t>
  </si>
  <si>
    <t>(Using_Erroneous_Condition_3_T_Loop0_TestCase1, YES, 7821)
(Using_Erroneous_Condition_3_T_Loop0_TestCase3, YES, 5857)
(Using_Erroneous_Condition_3_T_Loop0_TestCase2, YES, 5866)
(Using_Erroneous_Condition_3_T_Loop0_TestCase6, YES, 58877)
(Using_Erroneous_Condition_3_T_Loop0_TestCase7, YES, 7949)
(Using_Erroneous_Condition_3_T_Loop0_TestCase5, YES, 17403)
(Using_Erroneous_Condition_3_T_Loop0_TestCase4, YES, 7398)
(Using_Erroneous_Condition_3_T_Loop0_TestCase9, YES, 66752)
(Using_Erroneous_Condition_3_T_Loop0_TestCase8, YES, 6970)
(Using_Erroneous_Condition_3_T_Loop0_TestCase10, YES, 15849)</t>
  </si>
  <si>
    <t>(Using_Erroneous_Condition_3_T_Loop24_TestCase0, ERROR, 300360)
(Using_Erroneous_Condition_3_T_Loop27_TestCase0, ERROR, 300322)
(Using_Erroneous_Condition_3_T_Loop17_TestCase0, YES, 5928)</t>
  </si>
  <si>
    <t>(Using_Erroneous_Condition_3_T_Loop0_TestCase0, ERROR, 300364)</t>
  </si>
  <si>
    <t>12/30</t>
  </si>
  <si>
    <t>(Using_Erroneous_Condition_3_NT_Loop17_TestCase2, YES, 4545)
(Using_Erroneous_Condition_3_NT_Loop17_TestCase3, YES, 4404)
(Using_Erroneous_Condition_3_NT_Loop17_TestCase1, YES, 4436)
(Using_Erroneous_Condition_3_NT_Loop17_TestCase4, YES, 4839)
(Using_Erroneous_Condition_3_NT_Loop17_TestCase5, YES, 4733)
(Using_Erroneous_Condition_3_NT_Loop17_TestCase7, YES, 4534)
(Using_Erroneous_Condition_3_NT_Loop17_TestCase6, YES, 4550)
(Using_Erroneous_Condition_3_NT_Loop27_TestCase3, NO, 9012)
(Using_Erroneous_Condition_3_NT_Loop24_TestCase6, YES, 7583)
(Using_Erroneous_Condition_3_NT_Loop24_TestCase7, YES, 7366)
(Using_Erroneous_Condition_3_NT_Loop27_TestCase2, NO, 9095)
(Using_Erroneous_Condition_3_NT_Loop24_TestCase5, ERROR, 300796)
(Using_Erroneous_Condition_3_NT_Loop17_TestCase10, YES, 4471)
(Using_Erroneous_Condition_3_NT_Loop24_TestCase4, ERROR, 300789)
(Using_Erroneous_Condition_3_NT_Loop27_TestCase1, YES, 7504)
(Using_Erroneous_Condition_3_NT_Loop27_TestCase5, ERROR, 300843)
(Using_Erroneous_Condition_3_NT_Loop24_TestCase1, YES, 7811)
(Using_Erroneous_Condition_3_NT_Loop27_TestCase4, ERROR, 300796)
(Using_Erroneous_Condition_3_NT_Loop27_TestCase6, YES, 7671)
(Using_Erroneous_Condition_3_NT_Loop24_TestCase3, NO, 9023)
(Using_Erroneous_Condition_3_NT_Loop24_TestCase2, NO, 9258)
(Using_Erroneous_Condition_3_NT_Loop27_TestCase7, YES, 7232)
(Using_Erroneous_Condition_3_NT_Loop27_TestCase9, YES, 6443)
(Using_Erroneous_Condition_3_NT_Loop27_TestCase8, YES, 6484)
(Using_Erroneous_Condition_3_NT_Loop24_TestCase9, YES, 6382)
(Using_Erroneous_Condition_3_NT_Loop24_TestCase8, YES, 6449)
(Using_Erroneous_Condition_3_NT_Loop24_TestCase10, YES, 7748)
(Using_Erroneous_Condition_3_NT_Loop17_TestCase8, YES, 4542)
(Using_Erroneous_Condition_3_NT_Loop17_TestCase9, YES, 4533)
(Using_Erroneous_Condition_3_NT_Loop27_TestCase10, YES, 7839)</t>
  </si>
  <si>
    <t>(Using_Erroneous_Condition_3_NT_Loop0_TestCase1, YES, 68560)
(Using_Erroneous_Condition_3_NT_Loop0_TestCase3, NO, 9304)
(Using_Erroneous_Condition_3_NT_Loop0_TestCase2, NO, 9065)
(Using_Erroneous_Condition_3_NT_Loop0_TestCase6, YES, 7975)
(Using_Erroneous_Condition_3_NT_Loop0_TestCase7, YES, 8202)
(Using_Erroneous_Condition_3_NT_Loop0_TestCase5, ERROR, 300813)
(Using_Erroneous_Condition_3_NT_Loop0_TestCase4, ERROR, 300786)
(Using_Erroneous_Condition_3_NT_Loop0_TestCase10, YES, 8115)
(Using_Erroneous_Condition_3_NT_Loop0_TestCase9, YES, 6799)
(Using_Erroneous_Condition_3_NT_Loop0_TestCase8, YES, 7295)</t>
  </si>
  <si>
    <t>(Using_Erroneous_Condition_3_NT_Loop17_TestCase0, YES, 5944)
(Using_Erroneous_Condition_3_NT_Loop27_TestCase0, MAYBE, 137914)
(Using_Erroneous_Condition_3_NT_Loop24_TestCase0, MAYBE, 137458)</t>
  </si>
  <si>
    <t>(Using_Erroneous_Condition_3_NT_Loop0_TestCase0, MAYBE, 145311)</t>
  </si>
  <si>
    <t>(Using_Erroneous_Condition_2_T_Loop15_TestCase9, YES, 4517)
(Using_Erroneous_Condition_2_T_Loop15_TestCase8, YES, 4293)
(Using_Erroneous_Condition_2_T_Loop15_TestCase10, YES, 4437)
(Using_Erroneous_Condition_2_T_Loop15_TestCase3, YES, 2692)
(Using_Erroneous_Condition_2_T_Loop15_TestCase2, YES, 2739)
(Using_Erroneous_Condition_2_T_Loop15_TestCase1, YES, 2763)
(Using_Erroneous_Condition_2_T_Loop15_TestCase5, YES, 2690)
(Using_Erroneous_Condition_2_T_Loop15_TestCase4, YES, 2727)
(Using_Erroneous_Condition_2_T_Loop15_TestCase6, YES, 2727)
(Using_Erroneous_Condition_2_T_Loop15_TestCase7, YES, 2732)</t>
  </si>
  <si>
    <t>(Using_Erroneous_Condition_2_T_Loop0_TestCase9, YES, 4492)
(Using_Erroneous_Condition_2_T_Loop0_TestCase8, YES, 4486)
(Using_Erroneous_Condition_2_T_Loop0_TestCase10, YES, 4536)
(Using_Erroneous_Condition_2_T_Loop0_TestCase3, YES, 2779)
(Using_Erroneous_Condition_2_T_Loop0_TestCase2, YES, 2732)
(Using_Erroneous_Condition_2_T_Loop0_TestCase1, YES, 2767)
(Using_Erroneous_Condition_2_T_Loop0_TestCase5, YES, 2736)
(Using_Erroneous_Condition_2_T_Loop0_TestCase4, YES, 2748)
(Using_Erroneous_Condition_2_T_Loop0_TestCase6, YES, 2744)
(Using_Erroneous_Condition_2_T_Loop0_TestCase7, YES, 2754)</t>
  </si>
  <si>
    <t>(Using_Erroneous_Condition_2_T_Loop15_TestCase0, YES, 4436)</t>
  </si>
  <si>
    <t>(Using_Erroneous_Condition_2_T_Loop0_TestCase0, YES, 4549)</t>
  </si>
  <si>
    <t>(Using_Erroneous_Condition_2_NT_Loop16_TestCase10, NO, 3832)
(Using_Erroneous_Condition_2_NT_Loop16_TestCase1, YES, 2563)
(Using_Erroneous_Condition_2_NT_Loop16_TestCase2, YES, 2630)
(Using_Erroneous_Condition_2_NT_Loop16_TestCase3, YES, 2624)
(Using_Erroneous_Condition_2_NT_Loop16_TestCase7, NO, 3749)
(Using_Erroneous_Condition_2_NT_Loop16_TestCase6, NO, 3646)
(Using_Erroneous_Condition_2_NT_Loop16_TestCase4, YES, 2773)
(Using_Erroneous_Condition_2_NT_Loop16_TestCase5, YES, 2620)
(Using_Erroneous_Condition_2_NT_Loop16_TestCase8, NO, 3673)
(Using_Erroneous_Condition_2_NT_Loop16_TestCase9, NO, 3785)</t>
  </si>
  <si>
    <t>(Using_Erroneous_Condition_2_NT_Loop0_TestCase4, YES, 2677)
(Using_Erroneous_Condition_2_NT_Loop0_TestCase5, YES, 2693)
(Using_Erroneous_Condition_2_NT_Loop0_TestCase7, NO, 5031)
(Using_Erroneous_Condition_2_NT_Loop0_TestCase6, NO, 5127)
(Using_Erroneous_Condition_2_NT_Loop0_TestCase2, YES, 2774)
(Using_Erroneous_Condition_2_NT_Loop0_TestCase3, YES, 2765)
(Using_Erroneous_Condition_2_NT_Loop0_TestCase1, YES, 2772)
(Using_Erroneous_Condition_2_NT_Loop0_TestCase10, NO, 5058)
(Using_Erroneous_Condition_2_NT_Loop0_TestCase8, NO, 5030)
(Using_Erroneous_Condition_2_NT_Loop0_TestCase9, NO, 4722)</t>
  </si>
  <si>
    <t>(Using_Erroneous_Condition_2_NT_Loop16_TestCase0, NO, 3746)</t>
  </si>
  <si>
    <t>(Using_Erroneous_Condition_2_NT_Loop0_TestCase0, NO, 4895)</t>
  </si>
  <si>
    <t>(Using_Erroneous_Condition_1_T_Loop39_TestCase4, MAYBE, 3455)
(Using_Erroneous_Condition_1_T_Loop39_TestCase5, MAYBE, 3436)
(Using_Erroneous_Condition_1_T_Loop39_TestCase7, MAYBE, 3321)
(Using_Erroneous_Condition_1_T_Loop39_TestCase6, MAYBE, 3535)
(Using_Erroneous_Condition_1_T_Loop39_TestCase2, MAYBE, 3495)
(Using_Erroneous_Condition_1_T_Loop39_TestCase3, MAYBE, 3476)
(Using_Erroneous_Condition_1_T_Loop39_TestCase1, MAYBE, 3522)
(Using_Erroneous_Condition_1_T_Loop39_TestCase10, MAYBE, 3492)
(Using_Erroneous_Condition_1_T_Loop39_TestCase8, MAYBE, 3537)
(Using_Erroneous_Condition_1_T_Loop39_TestCase9, MAYBE, 3382)</t>
  </si>
  <si>
    <t>(Using_Erroneous_Condition_1_T_Loop0_TestCase7, MAYBE, 3540)
(Using_Erroneous_Condition_1_T_Loop0_TestCase6, MAYBE, 3652)
(Using_Erroneous_Condition_1_T_Loop0_TestCase4, MAYBE, 3600)
(Using_Erroneous_Condition_1_T_Loop0_TestCase5, MAYBE, 3555)
(Using_Erroneous_Condition_1_T_Loop0_TestCase1, MAYBE, 3720)
(Using_Erroneous_Condition_1_T_Loop0_TestCase2, MAYBE, 3519)
(Using_Erroneous_Condition_1_T_Loop0_TestCase3, MAYBE, 3519)
(Using_Erroneous_Condition_1_T_Loop0_TestCase10, MAYBE, 3638)
(Using_Erroneous_Condition_1_T_Loop0_TestCase8, MAYBE, 3603)
(Using_Erroneous_Condition_1_T_Loop0_TestCase9, MAYBE, 3507)</t>
  </si>
  <si>
    <t>(Using_Erroneous_Condition_1_T_Loop39_TestCase0, MAYBE, 3650)</t>
  </si>
  <si>
    <t>(Using_Erroneous_Condition_1_T_Loop0_TestCase0, MAYBE, 3737)</t>
  </si>
  <si>
    <t>(Using_Erroneous_Condition_1_NT_Loop39_TestCase9, MAYBE, 3367)
(Using_Erroneous_Condition_1_NT_Loop39_TestCase8, MAYBE, 3359)
(Using_Erroneous_Condition_1_NT_Loop39_TestCase10, MAYBE, 3364)
(Using_Erroneous_Condition_1_NT_Loop39_TestCase3, MAYBE, 3326)
(Using_Erroneous_Condition_1_NT_Loop39_TestCase2, MAYBE, 3318)
(Using_Erroneous_Condition_1_NT_Loop39_TestCase1, MAYBE, 3346)
(Using_Erroneous_Condition_1_NT_Loop39_TestCase5, MAYBE, 3364)
(Using_Erroneous_Condition_1_NT_Loop39_TestCase4, MAYBE, 3322)
(Using_Erroneous_Condition_1_NT_Loop39_TestCase6, MAYBE, 3358)
(Using_Erroneous_Condition_1_NT_Loop39_TestCase7, MAYBE, 3356)</t>
  </si>
  <si>
    <t>(Using_Erroneous_Condition_1_NT_Loop0_TestCase1, MAYBE, 3454)
(Using_Erroneous_Condition_1_NT_Loop0_TestCase2, MAYBE, 3454)
(Using_Erroneous_Condition_1_NT_Loop0_TestCase3, MAYBE, 3527)
(Using_Erroneous_Condition_1_NT_Loop0_TestCase7, MAYBE, 3483)
(Using_Erroneous_Condition_1_NT_Loop0_TestCase6, MAYBE, 3372)
(Using_Erroneous_Condition_1_NT_Loop0_TestCase4, MAYBE, 3411)
(Using_Erroneous_Condition_1_NT_Loop0_TestCase5, MAYBE, 3390)
(Using_Erroneous_Condition_1_NT_Loop0_TestCase10, MAYBE, 3444)
(Using_Erroneous_Condition_1_NT_Loop0_TestCase8, MAYBE, 3523)
(Using_Erroneous_Condition_1_NT_Loop0_TestCase9, MAYBE, 3435)</t>
  </si>
  <si>
    <t>(Using_Erroneous_Condition_1_NT_Loop39_TestCase0, MAYBE, 3345)</t>
  </si>
  <si>
    <t>(Using_Erroneous_Condition_1_NT_Loop0_TestCase0, MAYBE, 3505)</t>
  </si>
  <si>
    <t>(Unsigned_Wraparound_Error_4_T_Loop13_TestCase9, YES, 4250)
(Unsigned_Wraparound_Error_4_T_Loop13_TestCase8, YES, 4192)
(Unsigned_Wraparound_Error_4_T_Loop13_TestCase6, YES, 2679)
(Unsigned_Wraparound_Error_4_T_Loop13_TestCase7, YES, 2625)
(Unsigned_Wraparound_Error_4_T_Loop13_TestCase5, MAYBE, 2520)
(Unsigned_Wraparound_Error_4_T_Loop13_TestCase4, YES, 4244)
(Unsigned_Wraparound_Error_4_T_Loop13_TestCase1, YES, 2664)
(Unsigned_Wraparound_Error_4_T_Loop13_TestCase3, YES, 4139)
(Unsigned_Wraparound_Error_4_T_Loop13_TestCase2, YES, 2680)
(Unsigned_Wraparound_Error_4_T_Loop13_TestCase10, YES, 4182)</t>
  </si>
  <si>
    <t>(Unsigned_Wraparound_Error_4_T_Loop0_TestCase8, YES, 4470)
(Unsigned_Wraparound_Error_4_T_Loop0_TestCase9, YES, 4462)
(Unsigned_Wraparound_Error_4_T_Loop0_TestCase10, YES, 4449)
(Unsigned_Wraparound_Error_4_T_Loop0_TestCase2, YES, 2818)
(Unsigned_Wraparound_Error_4_T_Loop0_TestCase3, YES, 4415)
(Unsigned_Wraparound_Error_4_T_Loop0_TestCase1, YES, 2688)
(Unsigned_Wraparound_Error_4_T_Loop0_TestCase4, YES, 4452)
(Unsigned_Wraparound_Error_4_T_Loop0_TestCase5, MAYBE, 2629)
(Unsigned_Wraparound_Error_4_T_Loop0_TestCase7, YES, 2706)
(Unsigned_Wraparound_Error_4_T_Loop0_TestCase6, YES, 2796)</t>
  </si>
  <si>
    <t>(Unsigned_Wraparound_Error_4_T_Loop13_TestCase0, YES, 4385)</t>
  </si>
  <si>
    <t>(Unsigned_Wraparound_Error_4_T_Loop0_TestCase0, YES, 4686)</t>
  </si>
  <si>
    <t>(Unsigned_Wraparound_Error_4_NT_Loop15_TestCase2, YES, 2701)
(Unsigned_Wraparound_Error_4_NT_Loop15_TestCase10, MAYBE, 2934)
(Unsigned_Wraparound_Error_4_NT_Loop15_TestCase3, MAYBE, 2944)
(Unsigned_Wraparound_Error_4_NT_Loop15_TestCase1, YES, 2628)
(Unsigned_Wraparound_Error_4_NT_Loop15_TestCase4, MAYBE, 2945)
(Unsigned_Wraparound_Error_4_NT_Loop15_TestCase5, MAYBE, 2548)
(Unsigned_Wraparound_Error_4_NT_Loop15_TestCase7, MAYBE, 2585)
(Unsigned_Wraparound_Error_4_NT_Loop15_TestCase6, MAYBE, 2428)
(Unsigned_Wraparound_Error_4_NT_Loop15_TestCase8, MAYBE, 2974)
(Unsigned_Wraparound_Error_4_NT_Loop15_TestCase9, MAYBE, 2922)</t>
  </si>
  <si>
    <t>(Unsigned_Wraparound_Error_4_NT_Loop0_TestCase8, MAYBE, 3323)
(Unsigned_Wraparound_Error_4_NT_Loop0_TestCase9, MAYBE, 3236)
(Unsigned_Wraparound_Error_4_NT_Loop0_TestCase10, MAYBE, 3303)
(Unsigned_Wraparound_Error_4_NT_Loop0_TestCase2, YES, 2698)
(Unsigned_Wraparound_Error_4_NT_Loop0_TestCase3, MAYBE, 3254)
(Unsigned_Wraparound_Error_4_NT_Loop0_TestCase1, YES, 2670)
(Unsigned_Wraparound_Error_4_NT_Loop0_TestCase4, MAYBE, 3367)
(Unsigned_Wraparound_Error_4_NT_Loop0_TestCase5, MAYBE, 2631)
(Unsigned_Wraparound_Error_4_NT_Loop0_TestCase7, MAYBE, 2631)
(Unsigned_Wraparound_Error_4_NT_Loop0_TestCase6, MAYBE, 2701)</t>
  </si>
  <si>
    <t>(Unsigned_Wraparound_Error_4_NT_Loop15_TestCase0, MAYBE, 2629)</t>
  </si>
  <si>
    <t>(Unsigned_Wraparound_Error_4_NT_Loop0_TestCase0, MAYBE, 2806)</t>
  </si>
  <si>
    <t>(Unsigned_Wraparound_Error_3_T_Loop19_TestCase8, MAYBE, 2750)
(Unsigned_Wraparound_Error_3_T_Loop19_TestCase9, MAYBE, 2720)
(Unsigned_Wraparound_Error_3_T_Loop19_TestCase1, MAYBE, 2728)
(Unsigned_Wraparound_Error_3_T_Loop19_TestCase2, MAYBE, 2729)
(Unsigned_Wraparound_Error_3_T_Loop19_TestCase3, YES, 2768)
(Unsigned_Wraparound_Error_3_T_Loop19_TestCase7, MAYBE, 2788)
(Unsigned_Wraparound_Error_3_T_Loop19_TestCase6, MAYBE, 2656)
(Unsigned_Wraparound_Error_3_T_Loop19_TestCase10, MAYBE, 2698)
(Unsigned_Wraparound_Error_3_T_Loop19_TestCase4, YES, 2808)
(Unsigned_Wraparound_Error_3_T_Loop19_TestCase5, YES, 2830)</t>
  </si>
  <si>
    <t>(Unsigned_Wraparound_Error_3_T_Loop0_TestCase5, YES, 2897)
(Unsigned_Wraparound_Error_3_T_Loop0_TestCase4, YES, 2761)
(Unsigned_Wraparound_Error_3_T_Loop0_TestCase6, MAYBE, 2754)
(Unsigned_Wraparound_Error_3_T_Loop0_TestCase7, MAYBE, 2743)
(Unsigned_Wraparound_Error_3_T_Loop0_TestCase10, MAYBE, 2720)
(Unsigned_Wraparound_Error_3_T_Loop0_TestCase3, YES, 2849)
(Unsigned_Wraparound_Error_3_T_Loop0_TestCase2, MAYBE, 2722)
(Unsigned_Wraparound_Error_3_T_Loop0_TestCase1, MAYBE, 2746)
(Unsigned_Wraparound_Error_3_T_Loop0_TestCase9, MAYBE, 2737)
(Unsigned_Wraparound_Error_3_T_Loop0_TestCase8, MAYBE, 2767)</t>
  </si>
  <si>
    <t>(Unsigned_Wraparound_Error_3_T_Loop19_TestCase0, MAYBE, 3594)</t>
  </si>
  <si>
    <t>(Unsigned_Wraparound_Error_3_T_Loop0_TestCase0, MAYBE, 3656)</t>
  </si>
  <si>
    <t>(Unsigned_Wraparound_Error_3_NT_Loop20_TestCase8, MAYBE, 2695)
(Unsigned_Wraparound_Error_3_NT_Loop20_TestCase9, MAYBE, 2707)
(Unsigned_Wraparound_Error_3_NT_Loop20_TestCase10, MAYBE, 2724)
(Unsigned_Wraparound_Error_3_NT_Loop20_TestCase7, MAYBE, 2717)
(Unsigned_Wraparound_Error_3_NT_Loop20_TestCase6, MAYBE, 2741)
(Unsigned_Wraparound_Error_3_NT_Loop20_TestCase4, YES, 2800)
(Unsigned_Wraparound_Error_3_NT_Loop20_TestCase5, YES, 2817)
(Unsigned_Wraparound_Error_3_NT_Loop20_TestCase1, YES, 4757)
(Unsigned_Wraparound_Error_3_NT_Loop20_TestCase2, YES, 3612)
(Unsigned_Wraparound_Error_3_NT_Loop20_TestCase3, YES, 2864)</t>
  </si>
  <si>
    <t>(Unsigned_Wraparound_Error_3_NT_Loop0_TestCase10, MAYBE, 2761)
(Unsigned_Wraparound_Error_3_NT_Loop0_TestCase8, MAYBE, 2727)
(Unsigned_Wraparound_Error_3_NT_Loop0_TestCase9, MAYBE, 2699)
(Unsigned_Wraparound_Error_3_NT_Loop0_TestCase1, YES, 4581)
(Unsigned_Wraparound_Error_3_NT_Loop0_TestCase2, YES, 3757)
(Unsigned_Wraparound_Error_3_NT_Loop0_TestCase3, YES, 2811)
(Unsigned_Wraparound_Error_3_NT_Loop0_TestCase7, MAYBE, 2830)
(Unsigned_Wraparound_Error_3_NT_Loop0_TestCase6, MAYBE, 2764)
(Unsigned_Wraparound_Error_3_NT_Loop0_TestCase4, YES, 2791)
(Unsigned_Wraparound_Error_3_NT_Loop0_TestCase5, YES, 2780)</t>
  </si>
  <si>
    <t>(Unsigned_Wraparound_Error_3_NT_Loop20_TestCase0, YES, 6488)</t>
  </si>
  <si>
    <t>(Unsigned_Wraparound_Error_3_NT_Loop0_TestCase0, YES, 6646)</t>
  </si>
  <si>
    <t>(Unsigned_Wraparound_Error_2_T_Loop18_TestCase2, MAYBE, 3138)
(Unsigned_Wraparound_Error_2_T_Loop18_TestCase3, MAYBE, 3219)
(Unsigned_Wraparound_Error_2_T_Loop18_TestCase1, YES, 2746)
(Unsigned_Wraparound_Error_2_T_Loop18_TestCase4, MAYBE, 3196)
(Unsigned_Wraparound_Error_2_T_Loop18_TestCase5, MAYBE, 2673)
(Unsigned_Wraparound_Error_2_T_Loop18_TestCase10, MAYBE, 2629)
(Unsigned_Wraparound_Error_2_T_Loop18_TestCase7, MAYBE, 2671)
(Unsigned_Wraparound_Error_2_T_Loop18_TestCase6, MAYBE, 2611)
(Unsigned_Wraparound_Error_2_T_Loop18_TestCase8, MAYBE, 2603)
(Unsigned_Wraparound_Error_2_T_Loop18_TestCase9, MAYBE, 2667)</t>
  </si>
  <si>
    <t>(Unsigned_Wraparound_Error_2_T_Loop0_TestCase10, MAYBE, 2723)
(Unsigned_Wraparound_Error_2_T_Loop0_TestCase9, MAYBE, 2725)
(Unsigned_Wraparound_Error_2_T_Loop0_TestCase8, MAYBE, 2736)
(Unsigned_Wraparound_Error_2_T_Loop0_TestCase6, MAYBE, 2746)
(Unsigned_Wraparound_Error_2_T_Loop0_TestCase7, MAYBE, 2791)
(Unsigned_Wraparound_Error_2_T_Loop0_TestCase5, MAYBE, 2734)
(Unsigned_Wraparound_Error_2_T_Loop0_TestCase4, MAYBE, 3157)
(Unsigned_Wraparound_Error_2_T_Loop0_TestCase1, YES, 2759)
(Unsigned_Wraparound_Error_2_T_Loop0_TestCase3, MAYBE, 3284)
(Unsigned_Wraparound_Error_2_T_Loop0_TestCase2, MAYBE, 3342)</t>
  </si>
  <si>
    <t>(Unsigned_Wraparound_Error_2_T_Loop18_TestCase0, MAYBE, 3736)</t>
  </si>
  <si>
    <t>(Unsigned_Wraparound_Error_2_T_Loop0_TestCase0, MAYBE, 3960)</t>
  </si>
  <si>
    <t>(Unsigned_Wraparound_Error_2_NT_Loop18_TestCase8, MAYBE, 2674)
(Unsigned_Wraparound_Error_2_NT_Loop18_TestCase9, MAYBE, 2614)
(Unsigned_Wraparound_Error_2_NT_Loop18_TestCase4, YES, 4253)
(Unsigned_Wraparound_Error_2_NT_Loop18_TestCase5, MAYBE, 2639)
(Unsigned_Wraparound_Error_2_NT_Loop18_TestCase7, MAYBE, 2571)
(Unsigned_Wraparound_Error_2_NT_Loop18_TestCase6, MAYBE, 2641)
(Unsigned_Wraparound_Error_2_NT_Loop18_TestCase2, YES, 4134)
(Unsigned_Wraparound_Error_2_NT_Loop18_TestCase3, YES, 4255)
(Unsigned_Wraparound_Error_2_NT_Loop18_TestCase1, YES, 2703)
(Unsigned_Wraparound_Error_2_NT_Loop18_TestCase10, MAYBE, 2674)</t>
  </si>
  <si>
    <t>(Unsigned_Wraparound_Error_2_NT_Loop0_TestCase9, MAYBE, 2679)
(Unsigned_Wraparound_Error_2_NT_Loop0_TestCase8, MAYBE, 2723)
(Unsigned_Wraparound_Error_2_NT_Loop0_TestCase10, MAYBE, 2730)
(Unsigned_Wraparound_Error_2_NT_Loop0_TestCase5, MAYBE, 2781)
(Unsigned_Wraparound_Error_2_NT_Loop0_TestCase4, YES, 4450)
(Unsigned_Wraparound_Error_2_NT_Loop0_TestCase6, MAYBE, 2674)
(Unsigned_Wraparound_Error_2_NT_Loop0_TestCase7, MAYBE, 2734)
(Unsigned_Wraparound_Error_2_NT_Loop0_TestCase3, YES, 4400)
(Unsigned_Wraparound_Error_2_NT_Loop0_TestCase2, YES, 4410)
(Unsigned_Wraparound_Error_2_NT_Loop0_TestCase1, YES, 2816)</t>
  </si>
  <si>
    <t>(Unsigned_Wraparound_Error_2_NT_Loop18_TestCase0, YES, 5586)</t>
  </si>
  <si>
    <t>(Unsigned_Wraparound_Error_2_NT_Loop0_TestCase0, YES, 5602)</t>
  </si>
  <si>
    <t>(Unsigned_Wraparound_Error_1_T_Loop22_TestCase2, YES, 2869)
(Unsigned_Wraparound_Error_1_T_Loop22_TestCase3, YES, 5083)
(Unsigned_Wraparound_Error_1_T_Loop22_TestCase1, YES, 2909)
(Unsigned_Wraparound_Error_1_T_Loop22_TestCase4, YES, 4788)
(Unsigned_Wraparound_Error_1_T_Loop22_TestCase5, YES, 4796)
(Unsigned_Wraparound_Error_1_T_Loop22_TestCase7, MAYBE, 2833)
(Unsigned_Wraparound_Error_1_T_Loop22_TestCase6, MAYBE, 2760)
(Unsigned_Wraparound_Error_1_T_Loop22_TestCase8, MAYBE, 2773)
(Unsigned_Wraparound_Error_1_T_Loop22_TestCase9, MAYBE, 2768)
(Unsigned_Wraparound_Error_1_T_Loop22_TestCase10, MAYBE, 2844)</t>
  </si>
  <si>
    <t>(Unsigned_Wraparound_Error_1_T_Loop0_TestCase2, YES, 3002)
(Unsigned_Wraparound_Error_1_T_Loop0_TestCase3, YES, 5216)
(Unsigned_Wraparound_Error_1_T_Loop0_TestCase1, YES, 2996)
(Unsigned_Wraparound_Error_1_T_Loop0_TestCase4, YES, 5056)
(Unsigned_Wraparound_Error_1_T_Loop0_TestCase5, YES, 5023)
(Unsigned_Wraparound_Error_1_T_Loop0_TestCase7, MAYBE, 2784)
(Unsigned_Wraparound_Error_1_T_Loop0_TestCase6, MAYBE, 2791)
(Unsigned_Wraparound_Error_1_T_Loop0_TestCase10, MAYBE, 2887)
(Unsigned_Wraparound_Error_1_T_Loop0_TestCase8, MAYBE, 2931)
(Unsigned_Wraparound_Error_1_T_Loop0_TestCase9, MAYBE, 2962)</t>
  </si>
  <si>
    <t>(Unsigned_Wraparound_Error_1_T_Loop22_TestCase0, ERROR, 300288)</t>
  </si>
  <si>
    <t>(Unsigned_Wraparound_Error_1_T_Loop0_TestCase0, ERROR, 300341)</t>
  </si>
  <si>
    <t>(Unsigned_Wraparound_Error_1_NT_Loop22_TestCase8, MAYBE, 2724)
(Unsigned_Wraparound_Error_1_NT_Loop22_TestCase9, MAYBE, 2767)
(Unsigned_Wraparound_Error_1_NT_Loop22_TestCase4, YES, 4406)
(Unsigned_Wraparound_Error_1_NT_Loop22_TestCase5, YES, 4466)
(Unsigned_Wraparound_Error_1_NT_Loop22_TestCase10, MAYBE, 2724)
(Unsigned_Wraparound_Error_1_NT_Loop22_TestCase7, MAYBE, 2765)
(Unsigned_Wraparound_Error_1_NT_Loop22_TestCase6, MAYBE, 2732)
(Unsigned_Wraparound_Error_1_NT_Loop22_TestCase2, YES, 2780)
(Unsigned_Wraparound_Error_1_NT_Loop22_TestCase3, YES, 4590)
(Unsigned_Wraparound_Error_1_NT_Loop22_TestCase1, YES, 2852)</t>
  </si>
  <si>
    <t>(Unsigned_Wraparound_Error_1_NT_Loop0_TestCase9, MAYBE, 2866)
(Unsigned_Wraparound_Error_1_NT_Loop0_TestCase8, MAYBE, 2908)
(Unsigned_Wraparound_Error_1_NT_Loop0_TestCase1, YES, 3037)
(Unsigned_Wraparound_Error_1_NT_Loop0_TestCase10, MAYBE, 2835)
(Unsigned_Wraparound_Error_1_NT_Loop0_TestCase3, YES, 5171)
(Unsigned_Wraparound_Error_1_NT_Loop0_TestCase2, YES, 2995)
(Unsigned_Wraparound_Error_1_NT_Loop0_TestCase6, MAYBE, 2808)
(Unsigned_Wraparound_Error_1_NT_Loop0_TestCase7, MAYBE, 2860)
(Unsigned_Wraparound_Error_1_NT_Loop0_TestCase5, YES, 4947)
(Unsigned_Wraparound_Error_1_NT_Loop0_TestCase4, YES, 4996)</t>
  </si>
  <si>
    <t>(Unsigned_Wraparound_Error_1_NT_Loop22_TestCase0, YES, 5582)</t>
  </si>
  <si>
    <t>(Unsigned_Wraparound_Error_1_NT_Loop0_TestCase0, ERROR, 300310)</t>
  </si>
  <si>
    <t>(Undefined_Behavior_3_T_Loop15_TestCase9, YES, 3843)
(Undefined_Behavior_3_T_Loop15_TestCase8, YES, 3833)
(Undefined_Behavior_3_T_Loop15_TestCase10, YES, 3910)
(Undefined_Behavior_3_T_Loop15_TestCase5, YES, 3875)
(Undefined_Behavior_3_T_Loop15_TestCase4, YES, 3834)
(Undefined_Behavior_3_T_Loop15_TestCase6, YES, 3870)
(Undefined_Behavior_3_T_Loop15_TestCase7, YES, 3839)
(Undefined_Behavior_3_T_Loop15_TestCase3, YES, 3919)
(Undefined_Behavior_3_T_Loop15_TestCase2, YES, 3828)
(Undefined_Behavior_3_T_Loop15_TestCase1, YES, 3957)</t>
  </si>
  <si>
    <t>(Undefined_Behavior_3_T_Loop0_TestCase8, YES, 4248)
(Undefined_Behavior_3_T_Loop0_TestCase9, YES, 4002)
(Undefined_Behavior_3_T_Loop0_TestCase10, YES, 4075)
(Undefined_Behavior_3_T_Loop0_TestCase7, YES, 4221)
(Undefined_Behavior_3_T_Loop0_TestCase6, YES, 3988)
(Undefined_Behavior_3_T_Loop0_TestCase4, YES, 4118)
(Undefined_Behavior_3_T_Loop0_TestCase5, YES, 3994)
(Undefined_Behavior_3_T_Loop0_TestCase1, YES, 3938)
(Undefined_Behavior_3_T_Loop0_TestCase2, YES, 4039)
(Undefined_Behavior_3_T_Loop0_TestCase3, YES, 4024)</t>
  </si>
  <si>
    <t>(Undefined_Behavior_3_T_Loop15_TestCase0, YES, 3940)</t>
  </si>
  <si>
    <t>(Undefined_Behavior_3_T_Loop0_TestCase0, YES, 4164)</t>
  </si>
  <si>
    <t>(Undefined_Behavior_3_Loop15_TestCase3, MAYBE, 4596)
(Undefined_Behavior_3_Loop15_TestCase2, MAYBE, 4652)
(Undefined_Behavior_3_Loop15_TestCase1, MAYBE, 4570)
(Undefined_Behavior_3_Loop15_TestCase5, MAYBE, 4584)
(Undefined_Behavior_3_Loop15_TestCase4, MAYBE, 4536)
(Undefined_Behavior_3_Loop15_TestCase6, MAYBE, 4619)
(Undefined_Behavior_3_Loop15_TestCase7, MAYBE, 4553)
(Undefined_Behavior_3_Loop15_TestCase10, MAYBE, 4733)
(Undefined_Behavior_3_Loop15_TestCase9, MAYBE, 4701)
(Undefined_Behavior_3_Loop15_TestCase8, MAYBE, 4670)</t>
  </si>
  <si>
    <t>(Undefined_Behavior_3_Loop0_TestCase6, MAYBE, 4784)
(Undefined_Behavior_3_Loop0_TestCase7, MAYBE, 4788)
(Undefined_Behavior_3_Loop0_TestCase5, MAYBE, 4953)
(Undefined_Behavior_3_Loop0_TestCase4, MAYBE, 4913)
(Undefined_Behavior_3_Loop0_TestCase1, MAYBE, 4930)
(Undefined_Behavior_3_Loop0_TestCase3, MAYBE, 4922)
(Undefined_Behavior_3_Loop0_TestCase2, MAYBE, 4856)
(Undefined_Behavior_3_Loop0_TestCase10, MAYBE, 4904)
(Undefined_Behavior_3_Loop0_TestCase9, MAYBE, 4923)
(Undefined_Behavior_3_Loop0_TestCase8, MAYBE, 4923)</t>
  </si>
  <si>
    <t>(Undefined_Behavior_3_Loop15_TestCase0, MAYBE, 4600)</t>
  </si>
  <si>
    <t>(Undefined_Behavior_3_Loop0_TestCase0, MAYBE, 4831)</t>
  </si>
  <si>
    <t>(Undefined_Behavior_2_T_Loop25_TestCase9, MAYBE, 193160)
(Undefined_Behavior_2_T_Loop25_TestCase8, MAYBE, 193329)
(Undefined_Behavior_2_T_Loop14_TestCase6, MAYBE, 192991)
(Undefined_Behavior_2_T_Loop14_TestCase7, MAYBE, 192718)
(Undefined_Behavior_2_T_Loop14_TestCase5, MAYBE, 71191)
(Undefined_Behavior_2_T_Loop25_TestCase10, MAYBE, 193882)
(Undefined_Behavior_2_T_Loop14_TestCase4, MAYBE, 193781)
(Undefined_Behavior_2_T_Loop14_TestCase1, MAYBE, 99526)
(Undefined_Behavior_2_T_Loop14_TestCase3, MAYBE, 70005)
(Undefined_Behavior_2_T_Loop14_TestCase2, MAYBE, 194686)
(Undefined_Behavior_2_T_Loop14_TestCase9, MAYBE, 193457)
(Undefined_Behavior_2_T_Loop14_TestCase8, MAYBE, 192795)
(Undefined_Behavior_2_T_Loop14_TestCase10, MAYBE, 193363)
(Undefined_Behavior_2_T_Loop25_TestCase1, MAYBE, 100273)
(Undefined_Behavior_2_T_Loop25_TestCase3, MAYBE, 70764)
(Undefined_Behavior_2_T_Loop25_TestCase2, MAYBE, 193845)
(Undefined_Behavior_2_T_Loop25_TestCase6, MAYBE, 193214)
(Undefined_Behavior_2_T_Loop25_TestCase7, MAYBE, 192884)
(Undefined_Behavior_2_T_Loop25_TestCase5, MAYBE, 69412)
(Undefined_Behavior_2_T_Loop25_TestCase4, MAYBE, 193908)</t>
  </si>
  <si>
    <t>(Undefined_Behavior_2_T_Loop0_TestCase4, MAYBE, 195371)
(Undefined_Behavior_2_T_Loop0_TestCase5, MAYBE, 71088)
(Undefined_Behavior_2_T_Loop0_TestCase7, MAYBE, 201825)
(Undefined_Behavior_2_T_Loop0_TestCase6, MAYBE, 193770)
(Undefined_Behavior_2_T_Loop0_TestCase2, MAYBE, 194717)
(Undefined_Behavior_2_T_Loop0_TestCase3, MAYBE, 71156)
(Undefined_Behavior_2_T_Loop0_TestCase1, MAYBE, 100311)
(Undefined_Behavior_2_T_Loop0_TestCase8, MAYBE, 193645)
(Undefined_Behavior_2_T_Loop0_TestCase9, MAYBE, 193735)
(Undefined_Behavior_2_T_Loop0_TestCase10, MAYBE, 193699)</t>
  </si>
  <si>
    <t>(Undefined_Behavior_2_T_Loop14_TestCase0, MAYBE, 100162)
(Undefined_Behavior_2_T_Loop25_TestCase0, MAYBE, 100551)</t>
  </si>
  <si>
    <t>(Undefined_Behavior_2_T_Loop0_TestCase0, MAYBE, 101507)</t>
  </si>
  <si>
    <t>(Undefined_Behavior_2_Loop13_TestCase10, MAYBE, 130584)
(Undefined_Behavior_2_Loop24_TestCase9, MAYBE, 133522)
(Undefined_Behavior_2_Loop24_TestCase8, MAYBE, 131852)
(Undefined_Behavior_2_Loop13_TestCase9, MAYBE, 131990)
(Undefined_Behavior_2_Loop13_TestCase8, MAYBE, 132939)
(Undefined_Behavior_2_Loop13_TestCase3, MAYBE, 101783)
(Undefined_Behavior_2_Loop13_TestCase2, MAYBE, 128693)
(Undefined_Behavior_2_Loop24_TestCase10, MAYBE, 131684)
(Undefined_Behavior_2_Loop13_TestCase1, MAYBE, 98280)
(Undefined_Behavior_2_Loop13_TestCase5, MAYBE, 101176)
(Undefined_Behavior_2_Loop13_TestCase4, MAYBE, 130393)
(Undefined_Behavior_2_Loop13_TestCase6, MAYBE, 131630)
(Undefined_Behavior_2_Loop13_TestCase7, MAYBE, 131775)
(Undefined_Behavior_2_Loop24_TestCase6, MAYBE, 132761)
(Undefined_Behavior_2_Loop24_TestCase7, MAYBE, 130982)
(Undefined_Behavior_2_Loop24_TestCase5, MAYBE, 100971)
(Undefined_Behavior_2_Loop24_TestCase4, MAYBE, 131329)
(Undefined_Behavior_2_Loop24_TestCase1, MAYBE, 95252)
(Undefined_Behavior_2_Loop24_TestCase3, MAYBE, 102390)
(Undefined_Behavior_2_Loop24_TestCase2, MAYBE, 130418)</t>
  </si>
  <si>
    <t>(Undefined_Behavior_2_Loop0_TestCase7, MAYBE, 137923)
(Undefined_Behavior_2_Loop0_TestCase10, MAYBE, 138334)
(Undefined_Behavior_2_Loop0_TestCase6, MAYBE, 138394)
(Undefined_Behavior_2_Loop0_TestCase4, MAYBE, 136185)
(Undefined_Behavior_2_Loop0_TestCase5, MAYBE, 104671)
(Undefined_Behavior_2_Loop0_TestCase1, MAYBE, 96800)
(Undefined_Behavior_2_Loop0_TestCase2, MAYBE, 129879)
(Undefined_Behavior_2_Loop0_TestCase3, MAYBE, 105095)
(Undefined_Behavior_2_Loop0_TestCase8, MAYBE, 137465)
(Undefined_Behavior_2_Loop0_TestCase9, MAYBE, 137540)</t>
  </si>
  <si>
    <t>(Undefined_Behavior_2_Loop13_TestCase0, MAYBE, 97037)
(Undefined_Behavior_2_Loop24_TestCase0, MAYBE, 97646)</t>
  </si>
  <si>
    <t>(Undefined_Behavior_2_Loop0_TestCase0, MAYBE, 99996)</t>
  </si>
  <si>
    <t>(Undefined_Behavior_1_T_Loop15_TestCase8, MAYBE, 4128)
(Undefined_Behavior_1_T_Loop15_TestCase9, MAYBE, 4060)
(Undefined_Behavior_1_T_Loop15_TestCase4, MAYBE, 4029)
(Undefined_Behavior_1_T_Loop15_TestCase10, MAYBE, 4103)
(Undefined_Behavior_1_T_Loop15_TestCase5, MAYBE, 4088)
(Undefined_Behavior_1_T_Loop15_TestCase7, MAYBE, 4065)
(Undefined_Behavior_1_T_Loop15_TestCase6, MAYBE, 4142)
(Undefined_Behavior_1_T_Loop15_TestCase2, MAYBE, 4215)
(Undefined_Behavior_1_T_Loop15_TestCase3, MAYBE, 4049)
(Undefined_Behavior_1_T_Loop15_TestCase1, MAYBE, 4335)</t>
  </si>
  <si>
    <t>(Undefined_Behavior_1_T_Loop0_TestCase9, MAYBE, 4573)
(Undefined_Behavior_1_T_Loop0_TestCase8, MAYBE, 4597)
(Undefined_Behavior_1_T_Loop0_TestCase1, MAYBE, 4575)
(Undefined_Behavior_1_T_Loop0_TestCase3, MAYBE, 4649)
(Undefined_Behavior_1_T_Loop0_TestCase2, MAYBE, 4595)
(Undefined_Behavior_1_T_Loop0_TestCase6, MAYBE, 4631)
(Undefined_Behavior_1_T_Loop0_TestCase7, MAYBE, 4557)
(Undefined_Behavior_1_T_Loop0_TestCase5, MAYBE, 4660)
(Undefined_Behavior_1_T_Loop0_TestCase10, MAYBE, 4597)
(Undefined_Behavior_1_T_Loop0_TestCase4, MAYBE, 4592)</t>
  </si>
  <si>
    <t>(Undefined_Behavior_1_T_Loop15_TestCase0, MAYBE, 4072)</t>
  </si>
  <si>
    <t>(Undefined_Behavior_1_T_Loop0_TestCase0, MAYBE, 4776)</t>
  </si>
  <si>
    <t>(Undefined_Behavior_1_Loop14_TestCase3, MAYBE, 4609)
(Undefined_Behavior_1_Loop14_TestCase2, MAYBE, 4784)
(Undefined_Behavior_1_Loop14_TestCase1, MAYBE, 4660)
(Undefined_Behavior_1_Loop14_TestCase5, MAYBE, 4662)
(Undefined_Behavior_1_Loop14_TestCase4, MAYBE, 4629)
(Undefined_Behavior_1_Loop14_TestCase6, MAYBE, 4668)
(Undefined_Behavior_1_Loop14_TestCase7, MAYBE, 4638)
(Undefined_Behavior_1_Loop14_TestCase10, MAYBE, 4674)
(Undefined_Behavior_1_Loop14_TestCase9, MAYBE, 4520)
(Undefined_Behavior_1_Loop14_TestCase8, MAYBE, 4665)</t>
  </si>
  <si>
    <t>(Undefined_Behavior_1_Loop0_TestCase5, MAYBE, 4786)
(Undefined_Behavior_1_Loop0_TestCase4, MAYBE, 4839)
(Undefined_Behavior_1_Loop0_TestCase6, MAYBE, 4990)
(Undefined_Behavior_1_Loop0_TestCase7, MAYBE, 4898)
(Undefined_Behavior_1_Loop0_TestCase3, MAYBE, 4973)
(Undefined_Behavior_1_Loop0_TestCase2, MAYBE, 4949)
(Undefined_Behavior_1_Loop0_TestCase1, MAYBE, 4909)
(Undefined_Behavior_1_Loop0_TestCase9, MAYBE, 4948)
(Undefined_Behavior_1_Loop0_TestCase8, MAYBE, 4883)
(Undefined_Behavior_1_Loop0_TestCase10, MAYBE, 4834)</t>
  </si>
  <si>
    <t>(Undefined_Behavior_1_Loop14_TestCase0, MAYBE, 4720)</t>
  </si>
  <si>
    <t>(Undefined_Behavior_1_Loop0_TestCase0, MAYBE, 5116)</t>
  </si>
  <si>
    <t>(Type_Conversion_in_Comparison_2_T_Loop16_TestCase8, MAYBE, 4422)
(Type_Conversion_in_Comparison_2_T_Loop16_TestCase9, MAYBE, 4644)
(Type_Conversion_in_Comparison_2_T_Loop16_TestCase10, MAYBE, 4646)
(Type_Conversion_in_Comparison_2_T_Loop16_TestCase7, MAYBE, 4573)
(Type_Conversion_in_Comparison_2_T_Loop16_TestCase6, MAYBE, 4374)
(Type_Conversion_in_Comparison_2_T_Loop16_TestCase4, MAYBE, 4353)
(Type_Conversion_in_Comparison_2_T_Loop16_TestCase5, MAYBE, 4432)
(Type_Conversion_in_Comparison_2_T_Loop16_TestCase1, YES, 2488)
(Type_Conversion_in_Comparison_2_T_Loop16_TestCase2, MAYBE, 4522)
(Type_Conversion_in_Comparison_2_T_Loop16_TestCase3, MAYBE, 4376)</t>
  </si>
  <si>
    <t>(Type_Conversion_in_Comparison_2_T_Loop0_TestCase9, MAYBE, 4571)
(Type_Conversion_in_Comparison_2_T_Loop0_TestCase8, MAYBE, 4708)
(Type_Conversion_in_Comparison_2_T_Loop0_TestCase10, MAYBE, 5008)
(Type_Conversion_in_Comparison_2_T_Loop0_TestCase1, YES, 2705)
(Type_Conversion_in_Comparison_2_T_Loop0_TestCase3, YES, 2651)
(Type_Conversion_in_Comparison_2_T_Loop0_TestCase2, YES, 3908)
(Type_Conversion_in_Comparison_2_T_Loop0_TestCase6, MAYBE, 4972)
(Type_Conversion_in_Comparison_2_T_Loop0_TestCase7, MAYBE, 4717)
(Type_Conversion_in_Comparison_2_T_Loop0_TestCase5, MAYBE, 4260)
(Type_Conversion_in_Comparison_2_T_Loop0_TestCase4, YES, 3966)</t>
  </si>
  <si>
    <t>(Type_Conversion_in_Comparison_2_T_Loop16_TestCase0, MAYBE, 4292)</t>
  </si>
  <si>
    <t>(Type_Conversion_in_Comparison_2_T_Loop0_TestCase0, MAYBE, 5030)</t>
  </si>
  <si>
    <t>(Type_Conversion_in_Comparison_2_NT_Loop17_TestCase8, MAYBE, 4586)
(Type_Conversion_in_Comparison_2_NT_Loop17_TestCase9, MAYBE, 4372)
(Type_Conversion_in_Comparison_2_NT_Loop17_TestCase10, MAYBE, 4575)
(Type_Conversion_in_Comparison_2_NT_Loop17_TestCase1, YES, 2512)
(Type_Conversion_in_Comparison_2_NT_Loop17_TestCase2, MAYBE, 4469)
(Type_Conversion_in_Comparison_2_NT_Loop17_TestCase3, MAYBE, 4448)
(Type_Conversion_in_Comparison_2_NT_Loop17_TestCase7, MAYBE, 4213)
(Type_Conversion_in_Comparison_2_NT_Loop17_TestCase6, MAYBE, 4427)
(Type_Conversion_in_Comparison_2_NT_Loop17_TestCase4, MAYBE, 4432)
(Type_Conversion_in_Comparison_2_NT_Loop17_TestCase5, MAYBE, 4490)</t>
  </si>
  <si>
    <t>(Type_Conversion_in_Comparison_2_NT_Loop0_TestCase5, MAYBE, 4381)
(Type_Conversion_in_Comparison_2_NT_Loop0_TestCase4, YES, 3795)
(Type_Conversion_in_Comparison_2_NT_Loop0_TestCase6, MAYBE, 4965)
(Type_Conversion_in_Comparison_2_NT_Loop0_TestCase7, MAYBE, 4351)
(Type_Conversion_in_Comparison_2_NT_Loop0_TestCase3, YES, 2723)
(Type_Conversion_in_Comparison_2_NT_Loop0_TestCase2, YES, 3877)
(Type_Conversion_in_Comparison_2_NT_Loop0_TestCase1, YES, 2633)
(Type_Conversion_in_Comparison_2_NT_Loop0_TestCase10, MAYBE, 5038)
(Type_Conversion_in_Comparison_2_NT_Loop0_TestCase9, MAYBE, 4365)
(Type_Conversion_in_Comparison_2_NT_Loop0_TestCase8, MAYBE, 4207)</t>
  </si>
  <si>
    <t>(Type_Conversion_in_Comparison_2_NT_Loop17_TestCase0, MAYBE, 4063)</t>
  </si>
  <si>
    <t>(Type_Conversion_in_Comparison_2_NT_Loop0_TestCase0, MAYBE, 4634)</t>
  </si>
  <si>
    <t>(Type_Conversion_in_Comparison_1_T_Loop18_TestCase8, YES, 4270)
(Type_Conversion_in_Comparison_1_T_Loop18_TestCase9, YES, 4274)
(Type_Conversion_in_Comparison_1_T_Loop18_TestCase7, YES, 4228)
(Type_Conversion_in_Comparison_1_T_Loop18_TestCase6, YES, 4226)
(Type_Conversion_in_Comparison_1_T_Loop18_TestCase4, YES, 4111)
(Type_Conversion_in_Comparison_1_T_Loop18_TestCase5, YES, 4258)
(Type_Conversion_in_Comparison_1_T_Loop18_TestCase1, YES, 2653)
(Type_Conversion_in_Comparison_1_T_Loop18_TestCase2, YES, 4171)
(Type_Conversion_in_Comparison_1_T_Loop18_TestCase3, YES, 4191)
(Type_Conversion_in_Comparison_1_T_Loop18_TestCase10, YES, 2703)</t>
  </si>
  <si>
    <t>(Type_Conversion_in_Comparison_1_T_Loop0_TestCase4, YES, 5578)
(Type_Conversion_in_Comparison_1_T_Loop0_TestCase5, YES, 5730)
(Type_Conversion_in_Comparison_1_T_Loop0_TestCase7, YES, 5849)
(Type_Conversion_in_Comparison_1_T_Loop0_TestCase6, YES, 5860)
(Type_Conversion_in_Comparison_1_T_Loop0_TestCase2, YES, 4674)
(Type_Conversion_in_Comparison_1_T_Loop0_TestCase3, YES, 5541)
(Type_Conversion_in_Comparison_1_T_Loop0_TestCase1, YES, 2872)
(Type_Conversion_in_Comparison_1_T_Loop0_TestCase10, YES, 2831)
(Type_Conversion_in_Comparison_1_T_Loop0_TestCase8, YES, 5926)
(Type_Conversion_in_Comparison_1_T_Loop0_TestCase9, YES, 5855)</t>
  </si>
  <si>
    <t>(Type_Conversion_in_Comparison_1_T_Loop18_TestCase0, YES, 4245)</t>
  </si>
  <si>
    <t>(Type_Conversion_in_Comparison_1_T_Loop0_TestCase0, YES, 5154)</t>
  </si>
  <si>
    <t>(Type_Conversion_in_Comparison_1_NT_Loop16_TestCase3, MAYBE, 4819)
(Type_Conversion_in_Comparison_1_NT_Loop16_TestCase2, MAYBE, 4760)
(Type_Conversion_in_Comparison_1_NT_Loop16_TestCase1, YES, 2718)
(Type_Conversion_in_Comparison_1_NT_Loop16_TestCase5, MAYBE, 4923)
(Type_Conversion_in_Comparison_1_NT_Loop16_TestCase4, MAYBE, 4849)
(Type_Conversion_in_Comparison_1_NT_Loop16_TestCase6, MAYBE, 4996)
(Type_Conversion_in_Comparison_1_NT_Loop16_TestCase7, MAYBE, 4969)
(Type_Conversion_in_Comparison_1_NT_Loop16_TestCase9, MAYBE, 5077)
(Type_Conversion_in_Comparison_1_NT_Loop16_TestCase8, MAYBE, 5129)
(Type_Conversion_in_Comparison_1_NT_Loop16_TestCase10, MAYBE, 4852)</t>
  </si>
  <si>
    <t>(Type_Conversion_in_Comparison_1_NT_Loop0_TestCase1, YES, 2803)
(Type_Conversion_in_Comparison_1_NT_Loop0_TestCase3, YES, 4314)
(Type_Conversion_in_Comparison_1_NT_Loop0_TestCase2, YES, 4494)
(Type_Conversion_in_Comparison_1_NT_Loop0_TestCase6, MAYBE, 5622)
(Type_Conversion_in_Comparison_1_NT_Loop0_TestCase10, MAYBE, 5536)
(Type_Conversion_in_Comparison_1_NT_Loop0_TestCase7, MAYBE, 6297)
(Type_Conversion_in_Comparison_1_NT_Loop0_TestCase5, MAYBE, 5745)
(Type_Conversion_in_Comparison_1_NT_Loop0_TestCase4, YES, 4558)
(Type_Conversion_in_Comparison_1_NT_Loop0_TestCase9, MAYBE, 5910)
(Type_Conversion_in_Comparison_1_NT_Loop0_TestCase8, MAYBE, 5747)</t>
  </si>
  <si>
    <t>(Type_Conversion_in_Comparison_1_NT_Loop16_TestCase0, MAYBE, 4859)</t>
  </si>
  <si>
    <t>(Type_Conversion_in_Comparison_1_NT_Loop0_TestCase0, MAYBE, 5407)</t>
  </si>
  <si>
    <t>(Type_Conversion_in_Assignment_1_T_Loop26_TestCase6, MAYBE, 2285)
(Type_Conversion_in_Assignment_1_T_Loop26_TestCase7, MAYBE, 2317)
(Type_Conversion_in_Assignment_1_T_Loop26_TestCase5, MAYBE, 2282)
(Type_Conversion_in_Assignment_1_T_Loop26_TestCase4, MAYBE, 2326)
(Type_Conversion_in_Assignment_1_T_Loop26_TestCase1, MAYBE, 2292)
(Type_Conversion_in_Assignment_1_T_Loop26_TestCase3, MAYBE, 2352)
(Type_Conversion_in_Assignment_1_T_Loop26_TestCase2, MAYBE, 2375)
(Type_Conversion_in_Assignment_1_T_Loop26_TestCase9, MAYBE, 2311)
(Type_Conversion_in_Assignment_1_T_Loop26_TestCase8, MAYBE, 2374)
(Type_Conversion_in_Assignment_1_T_Loop26_TestCase10, MAYBE, 2330)</t>
  </si>
  <si>
    <t>(Type_Conversion_in_Assignment_1_T_Loop0_TestCase9, YES, 4509)
(Type_Conversion_in_Assignment_1_T_Loop0_TestCase8, YES, 4491)
(Type_Conversion_in_Assignment_1_T_Loop0_TestCase10, YES, 4527)
(Type_Conversion_in_Assignment_1_T_Loop0_TestCase1, YES, 3026)
(Type_Conversion_in_Assignment_1_T_Loop0_TestCase3, YES, 3045)
(Type_Conversion_in_Assignment_1_T_Loop0_TestCase2, YES, 3052)
(Type_Conversion_in_Assignment_1_T_Loop0_TestCase6, YES, 4381)
(Type_Conversion_in_Assignment_1_T_Loop0_TestCase7, YES, 4490)
(Type_Conversion_in_Assignment_1_T_Loop0_TestCase5, YES, 3135)
(Type_Conversion_in_Assignment_1_T_Loop0_TestCase4, YES, 3162)</t>
  </si>
  <si>
    <t>(Type_Conversion_in_Assignment_1_T_Loop26_TestCase0, MAYBE, 2302)</t>
  </si>
  <si>
    <t>(Type_Conversion_in_Assignment_1_T_Loop0_TestCase0, YES, 17274)</t>
  </si>
  <si>
    <t>(Type_Conversion_in_Assignment_1_NT_Loop27_TestCase10, MAYBE, 2329)
(Type_Conversion_in_Assignment_1_NT_Loop27_TestCase7, MAYBE, 2309)
(Type_Conversion_in_Assignment_1_NT_Loop27_TestCase6, MAYBE, 2338)
(Type_Conversion_in_Assignment_1_NT_Loop27_TestCase4, MAYBE, 2324)
(Type_Conversion_in_Assignment_1_NT_Loop27_TestCase5, MAYBE, 2330)
(Type_Conversion_in_Assignment_1_NT_Loop27_TestCase1, MAYBE, 2263)
(Type_Conversion_in_Assignment_1_NT_Loop27_TestCase2, MAYBE, 2339)
(Type_Conversion_in_Assignment_1_NT_Loop27_TestCase3, MAYBE, 2331)
(Type_Conversion_in_Assignment_1_NT_Loop27_TestCase8, MAYBE, 2343)
(Type_Conversion_in_Assignment_1_NT_Loop27_TestCase9, MAYBE, 2278)</t>
  </si>
  <si>
    <t>(Type_Conversion_in_Assignment_1_NT_Loop0_TestCase9, MAYBE, 33075)
(Type_Conversion_in_Assignment_1_NT_Loop0_TestCase8, MAYBE, 33131)
(Type_Conversion_in_Assignment_1_NT_Loop0_TestCase10, MAYBE, 33026)
(Type_Conversion_in_Assignment_1_NT_Loop0_TestCase5, MAYBE, 24171)
(Type_Conversion_in_Assignment_1_NT_Loop0_TestCase4, MAYBE, 24059)
(Type_Conversion_in_Assignment_1_NT_Loop0_TestCase6, MAYBE, 32972)
(Type_Conversion_in_Assignment_1_NT_Loop0_TestCase7, MAYBE, 33001)
(Type_Conversion_in_Assignment_1_NT_Loop0_TestCase3, MAYBE, 24235)
(Type_Conversion_in_Assignment_1_NT_Loop0_TestCase2, MAYBE, 24357)
(Type_Conversion_in_Assignment_1_NT_Loop0_TestCase1, MAYBE, 24026)</t>
  </si>
  <si>
    <t>(Type_Conversion_in_Assignment_1_NT_Loop27_TestCase0, MAYBE, 2263)</t>
  </si>
  <si>
    <t>(Type_Conversion_in_Assignment_1_NT_Loop0_TestCase0, MAYBE, 59310)</t>
  </si>
  <si>
    <t>(Signed_Overflow_Error_3_T_Loop14_TestCase9, MAYBE, 2658)
(Signed_Overflow_Error_3_T_Loop14_TestCase8, MAYBE, 2584)
(Signed_Overflow_Error_3_T_Loop14_TestCase10, MAYBE, 2657)
(Signed_Overflow_Error_3_T_Loop14_TestCase1, MAYBE, 2314)
(Signed_Overflow_Error_3_T_Loop14_TestCase3, YES, 2407)
(Signed_Overflow_Error_3_T_Loop14_TestCase2, YES, 2481)
(Signed_Overflow_Error_3_T_Loop14_TestCase6, MAYBE, 2643)
(Signed_Overflow_Error_3_T_Loop14_TestCase7, MAYBE, 2614)
(Signed_Overflow_Error_3_T_Loop14_TestCase5, MAYBE, 2646)
(Signed_Overflow_Error_3_T_Loop14_TestCase4, MAYBE, 2603)</t>
  </si>
  <si>
    <t>(Signed_Overflow_Error_3_T_Loop0_TestCase10, MAYBE, 3018)
(Signed_Overflow_Error_3_T_Loop0_TestCase8, MAYBE, 3079)
(Signed_Overflow_Error_3_T_Loop0_TestCase9, MAYBE, 3047)
(Signed_Overflow_Error_3_T_Loop0_TestCase4, MAYBE, 3026)
(Signed_Overflow_Error_3_T_Loop0_TestCase5, MAYBE, 3122)
(Signed_Overflow_Error_3_T_Loop0_TestCase7, MAYBE, 3076)
(Signed_Overflow_Error_3_T_Loop0_TestCase6, MAYBE, 3092)
(Signed_Overflow_Error_3_T_Loop0_TestCase2, YES, 2681)
(Signed_Overflow_Error_3_T_Loop0_TestCase3, YES, 2684)
(Signed_Overflow_Error_3_T_Loop0_TestCase1, MAYBE, 2302)</t>
  </si>
  <si>
    <t>(Signed_Overflow_Error_3_T_Loop14_TestCase0, MAYBE, 2428)</t>
  </si>
  <si>
    <t>(Signed_Overflow_Error_3_T_Loop0_TestCase0, MAYBE, 2778)</t>
  </si>
  <si>
    <t>(Signed_Overflow_Error_3_NT_Loop15_TestCase8, YES, 4095)
(Signed_Overflow_Error_3_NT_Loop15_TestCase9, YES, 4126)
(Signed_Overflow_Error_3_NT_Loop15_TestCase7, YES, 4103)
(Signed_Overflow_Error_3_NT_Loop15_TestCase6, YES, 4106)
(Signed_Overflow_Error_3_NT_Loop15_TestCase4, YES, 4089)
(Signed_Overflow_Error_3_NT_Loop15_TestCase5, YES, 3880)
(Signed_Overflow_Error_3_NT_Loop15_TestCase1, MAYBE, 2297)
(Signed_Overflow_Error_3_NT_Loop15_TestCase2, YES, 2634)
(Signed_Overflow_Error_3_NT_Loop15_TestCase3, YES, 2633)
(Signed_Overflow_Error_3_NT_Loop15_TestCase10, YES, 4063)</t>
  </si>
  <si>
    <t>(Signed_Overflow_Error_3_NT_Loop0_TestCase9, YES, 5436)
(Signed_Overflow_Error_3_NT_Loop0_TestCase8, YES, 5254)
(Signed_Overflow_Error_3_NT_Loop0_TestCase1, MAYBE, 2278)
(Signed_Overflow_Error_3_NT_Loop0_TestCase3, YES, 2785)
(Signed_Overflow_Error_3_NT_Loop0_TestCase2, YES, 2699)
(Signed_Overflow_Error_3_NT_Loop0_TestCase6, YES, 5371)
(Signed_Overflow_Error_3_NT_Loop0_TestCase7, YES, 5379)
(Signed_Overflow_Error_3_NT_Loop0_TestCase5, YES, 5375)
(Signed_Overflow_Error_3_NT_Loop0_TestCase4, YES, 5692)
(Signed_Overflow_Error_3_NT_Loop0_TestCase10, YES, 5402)</t>
  </si>
  <si>
    <t>(Signed_Overflow_Error_3_NT_Loop15_TestCase0, YES, 4027)</t>
  </si>
  <si>
    <t>(Signed_Overflow_Error_3_NT_Loop0_TestCase0, YES, 5347)</t>
  </si>
  <si>
    <t>(Signed_Overflow_Error_2_T_Loop14_TestCase8, MAYBE, 2563)
(Signed_Overflow_Error_2_T_Loop14_TestCase9, MAYBE, 2528)
(Signed_Overflow_Error_2_T_Loop14_TestCase4, MAYBE, 2453)
(Signed_Overflow_Error_2_T_Loop14_TestCase5, MAYBE, 2517)
(Signed_Overflow_Error_2_T_Loop14_TestCase7, MAYBE, 2556)
(Signed_Overflow_Error_2_T_Loop14_TestCase10, MAYBE, 2619)
(Signed_Overflow_Error_2_T_Loop14_TestCase6, MAYBE, 2627)
(Signed_Overflow_Error_2_T_Loop14_TestCase2, YES, 2573)
(Signed_Overflow_Error_2_T_Loop14_TestCase3, MAYBE, 2577)
(Signed_Overflow_Error_2_T_Loop14_TestCase1, YES, 2647)</t>
  </si>
  <si>
    <t>(Signed_Overflow_Error_2_T_Loop0_TestCase7, MAYBE, 2695)
(Signed_Overflow_Error_2_T_Loop0_TestCase6, MAYBE, 2636)
(Signed_Overflow_Error_2_T_Loop0_TestCase4, MAYBE, 2716)
(Signed_Overflow_Error_2_T_Loop0_TestCase5, MAYBE, 2647)
(Signed_Overflow_Error_2_T_Loop0_TestCase1, YES, 2687)
(Signed_Overflow_Error_2_T_Loop0_TestCase2, YES, 2720)
(Signed_Overflow_Error_2_T_Loop0_TestCase3, MAYBE, 2721)
(Signed_Overflow_Error_2_T_Loop0_TestCase10, MAYBE, 2708)
(Signed_Overflow_Error_2_T_Loop0_TestCase8, MAYBE, 2649)
(Signed_Overflow_Error_2_T_Loop0_TestCase9, MAYBE, 2684)</t>
  </si>
  <si>
    <t>(Signed_Overflow_Error_2_T_Loop14_TestCase0, MAYBE, 2511)</t>
  </si>
  <si>
    <t>(Signed_Overflow_Error_2_T_Loop0_TestCase0, MAYBE, 2921)</t>
  </si>
  <si>
    <t>(Signed_Overflow_Error_2_NT_Loop15_TestCase3, MAYBE, 2542)
(Signed_Overflow_Error_2_NT_Loop15_TestCase2, YES, 2601)
(Signed_Overflow_Error_2_NT_Loop15_TestCase1, YES, 2580)
(Signed_Overflow_Error_2_NT_Loop15_TestCase5, MAYBE, 2548)
(Signed_Overflow_Error_2_NT_Loop15_TestCase4, MAYBE, 2642)
(Signed_Overflow_Error_2_NT_Loop15_TestCase6, MAYBE, 2635)
(Signed_Overflow_Error_2_NT_Loop15_TestCase7, MAYBE, 2613)
(Signed_Overflow_Error_2_NT_Loop15_TestCase10, MAYBE, 2555)
(Signed_Overflow_Error_2_NT_Loop15_TestCase9, MAYBE, 2465)
(Signed_Overflow_Error_2_NT_Loop15_TestCase8, MAYBE, 2583)</t>
  </si>
  <si>
    <t>(Signed_Overflow_Error_2_NT_Loop0_TestCase8, MAYBE, 2655)
(Signed_Overflow_Error_2_NT_Loop0_TestCase9, MAYBE, 2699)
(Signed_Overflow_Error_2_NT_Loop0_TestCase10, MAYBE, 2694)
(Signed_Overflow_Error_2_NT_Loop0_TestCase4, MAYBE, 2709)
(Signed_Overflow_Error_2_NT_Loop0_TestCase5, MAYBE, 2633)
(Signed_Overflow_Error_2_NT_Loop0_TestCase7, MAYBE, 2678)
(Signed_Overflow_Error_2_NT_Loop0_TestCase6, MAYBE, 2676)
(Signed_Overflow_Error_2_NT_Loop0_TestCase2, YES, 2745)
(Signed_Overflow_Error_2_NT_Loop0_TestCase3, MAYBE, 2622)
(Signed_Overflow_Error_2_NT_Loop0_TestCase1, YES, 2713)</t>
  </si>
  <si>
    <t>(Signed_Overflow_Error_2_NT_Loop15_TestCase0, MAYBE, 2507)</t>
  </si>
  <si>
    <t>(Signed_Overflow_Error_2_NT_Loop0_TestCase0, MAYBE, 2650)</t>
  </si>
  <si>
    <t>(Signed_Overflow_Error_1_T_Loop14_TestCase0, ERROR, 300299)</t>
  </si>
  <si>
    <t>(Signed_Overflow_Error_1_T_Loop0_TestCase0, ERROR, 300322)</t>
  </si>
  <si>
    <t>(Signed_Overflow_Error_1_T_Loop14_TestCase0, ERROR, 300292)</t>
  </si>
  <si>
    <t>(Signed_Overflow_Error_1_T_Loop0_TestCase0, ERROR, 300304)</t>
  </si>
  <si>
    <t>(Signed_Overflow_Error_1_NT_Loop13_TestCase0, ERROR, 300314)</t>
  </si>
  <si>
    <t>(Signed_Overflow_Error_1_NT_Loop0_TestCase0, ERROR, 300312)</t>
  </si>
  <si>
    <t>(Signed_Overflow_Error_1_NT_Loop13_TestCase0, ERROR, 300292)</t>
  </si>
  <si>
    <t>(Signed_Overflow_Error_1_NT_Loop0_TestCase0, ERROR, 300330)</t>
  </si>
  <si>
    <t>(Reusing_Same_Loop_Iterator_2_T_Loop20_TestCase10, YES, 6712)
(Reusing_Same_Loop_Iterator_2_T_Loop20_TestCase1, YES, 2723)
(Reusing_Same_Loop_Iterator_2_T_Loop20_TestCase3, YES, 2766)
(Reusing_Same_Loop_Iterator_2_T_Loop20_TestCase2, YES, 2665)
(Reusing_Same_Loop_Iterator_2_T_Loop20_TestCase6, YES, 6409)
(Reusing_Same_Loop_Iterator_2_T_Loop20_TestCase7, YES, 6541)
(Reusing_Same_Loop_Iterator_2_T_Loop20_TestCase5, YES, 2653)
(Reusing_Same_Loop_Iterator_2_T_Loop20_TestCase4, YES, 2710)
(Reusing_Same_Loop_Iterator_2_T_Loop17_TestCase5, YES, 2696)
(Reusing_Same_Loop_Iterator_2_T_Loop17_TestCase4, YES, 2732)
(Reusing_Same_Loop_Iterator_2_T_Loop17_TestCase6, YES, 4285)
(Reusing_Same_Loop_Iterator_2_T_Loop17_TestCase7, YES, 4348)
(Reusing_Same_Loop_Iterator_2_T_Loop17_TestCase3, YES, 2700)
(Reusing_Same_Loop_Iterator_2_T_Loop17_TestCase2, YES, 2694)
(Reusing_Same_Loop_Iterator_2_T_Loop17_TestCase1, YES, 2676)
(Reusing_Same_Loop_Iterator_2_T_Loop17_TestCase9, YES, 4472)
(Reusing_Same_Loop_Iterator_2_T_Loop17_TestCase8, YES, 4536)
(Reusing_Same_Loop_Iterator_2_T_Loop17_TestCase10, YES, 4386)
(Reusing_Same_Loop_Iterator_2_T_Loop20_TestCase9, YES, 6614)
(Reusing_Same_Loop_Iterator_2_T_Loop20_TestCase8, YES, 6582)</t>
  </si>
  <si>
    <t>(Reusing_Same_Loop_Iterator_2_T_Loop0_TestCase3, YES, 2845)
(Reusing_Same_Loop_Iterator_2_T_Loop0_TestCase2, YES, 2828)
(Reusing_Same_Loop_Iterator_2_T_Loop0_TestCase1, YES, 2881)
(Reusing_Same_Loop_Iterator_2_T_Loop0_TestCase5, YES, 2816)
(Reusing_Same_Loop_Iterator_2_T_Loop0_TestCase4, YES, 2796)
(Reusing_Same_Loop_Iterator_2_T_Loop0_TestCase6, YES, 6765)
(Reusing_Same_Loop_Iterator_2_T_Loop0_TestCase7, YES, 7102)
(Reusing_Same_Loop_Iterator_2_T_Loop0_TestCase9, YES, 7024)
(Reusing_Same_Loop_Iterator_2_T_Loop0_TestCase8, YES, 7006)
(Reusing_Same_Loop_Iterator_2_T_Loop0_TestCase10, YES, 6951)</t>
  </si>
  <si>
    <t>(Reusing_Same_Loop_Iterator_2_T_Loop20_TestCase0, YES, 6908)
(Reusing_Same_Loop_Iterator_2_T_Loop17_TestCase0, YES, 4491)</t>
  </si>
  <si>
    <t>(Reusing_Same_Loop_Iterator_2_T_Loop0_TestCase0, YES, 7200)</t>
  </si>
  <si>
    <t>(Reusing_Same_Loop_Iterator_2_NT_Loop16_TestCase1, YES, 2715)
(Reusing_Same_Loop_Iterator_2_NT_Loop16_TestCase3, YES, 2739)
(Reusing_Same_Loop_Iterator_2_NT_Loop16_TestCase2, YES, 2691)
(Reusing_Same_Loop_Iterator_2_NT_Loop16_TestCase6, NO, 8272)
(Reusing_Same_Loop_Iterator_2_NT_Loop16_TestCase7, NO, 8217)
(Reusing_Same_Loop_Iterator_2_NT_Loop16_TestCase5, YES, 2738)
(Reusing_Same_Loop_Iterator_2_NT_Loop16_TestCase4, YES, 2708)
(Reusing_Same_Loop_Iterator_2_NT_Loop18_TestCase5, YES, 2653)
(Reusing_Same_Loop_Iterator_2_NT_Loop18_TestCase4, YES, 2660)
(Reusing_Same_Loop_Iterator_2_NT_Loop18_TestCase6, NO, 7712)
(Reusing_Same_Loop_Iterator_2_NT_Loop18_TestCase7, NO, 7770)
(Reusing_Same_Loop_Iterator_2_NT_Loop16_TestCase10, NO, 8168)
(Reusing_Same_Loop_Iterator_2_NT_Loop18_TestCase3, YES, 2652)
(Reusing_Same_Loop_Iterator_2_NT_Loop18_TestCase2, YES, 2723)
(Reusing_Same_Loop_Iterator_2_NT_Loop18_TestCase10, NO, 7835)
(Reusing_Same_Loop_Iterator_2_NT_Loop18_TestCase1, YES, 2702)
(Reusing_Same_Loop_Iterator_2_NT_Loop18_TestCase9, NO, 7978)
(Reusing_Same_Loop_Iterator_2_NT_Loop18_TestCase8, NO, 7906)
(Reusing_Same_Loop_Iterator_2_NT_Loop16_TestCase9, NO, 8040)
(Reusing_Same_Loop_Iterator_2_NT_Loop16_TestCase8, NO, 8203)</t>
  </si>
  <si>
    <t>(Reusing_Same_Loop_Iterator_2_NT_Loop0_TestCase1, YES, 2824)
(Reusing_Same_Loop_Iterator_2_NT_Loop0_TestCase3, YES, 2832)
(Reusing_Same_Loop_Iterator_2_NT_Loop0_TestCase2, YES, 2843)
(Reusing_Same_Loop_Iterator_2_NT_Loop0_TestCase6, NO, 8405)
(Reusing_Same_Loop_Iterator_2_NT_Loop0_TestCase7, NO, 8235)
(Reusing_Same_Loop_Iterator_2_NT_Loop0_TestCase5, YES, 2797)
(Reusing_Same_Loop_Iterator_2_NT_Loop0_TestCase10, NO, 8281)
(Reusing_Same_Loop_Iterator_2_NT_Loop0_TestCase4, YES, 2861)
(Reusing_Same_Loop_Iterator_2_NT_Loop0_TestCase9, NO, 8295)
(Reusing_Same_Loop_Iterator_2_NT_Loop0_TestCase8, NO, 8261)</t>
  </si>
  <si>
    <t>(Reusing_Same_Loop_Iterator_2_NT_Loop16_TestCase0, MAYBE, 8137)
(Reusing_Same_Loop_Iterator_2_NT_Loop18_TestCase0, MAYBE, 8079)</t>
  </si>
  <si>
    <t>(Reusing_Same_Loop_Iterator_2_NT_Loop0_TestCase0, NO, 9683)</t>
  </si>
  <si>
    <t>(Reusing_Same_Loop_Iterator_1_T_Loop19_TestCase5, YES, 7620)
(Reusing_Same_Loop_Iterator_1_T_Loop19_TestCase4, YES, 2882)
(Reusing_Same_Loop_Iterator_1_T_Loop19_TestCase6, YES, 8215)
(Reusing_Same_Loop_Iterator_1_T_Loop19_TestCase7, YES, 7572)
(Reusing_Same_Loop_Iterator_1_T_Loop19_TestCase3, YES, 2796)
(Reusing_Same_Loop_Iterator_1_T_Loop19_TestCase2, YES, 7830)
(Reusing_Same_Loop_Iterator_1_T_Loop19_TestCase1, YES, 2790)
(Reusing_Same_Loop_Iterator_1_T_Loop17_TestCase1, YES, 2804)
(Reusing_Same_Loop_Iterator_1_T_Loop17_TestCase3, YES, 2767)
(Reusing_Same_Loop_Iterator_1_T_Loop17_TestCase2, YES, 4652)
(Reusing_Same_Loop_Iterator_1_T_Loop17_TestCase6, YES, 4773)
(Reusing_Same_Loop_Iterator_1_T_Loop17_TestCase7, YES, 4681)
(Reusing_Same_Loop_Iterator_1_T_Loop17_TestCase5, YES, 4648)
(Reusing_Same_Loop_Iterator_1_T_Loop17_TestCase4, YES, 2785)
(Reusing_Same_Loop_Iterator_1_T_Loop17_TestCase9, YES, 4678)
(Reusing_Same_Loop_Iterator_1_T_Loop17_TestCase8, YES, 4771)
(Reusing_Same_Loop_Iterator_1_T_Loop17_TestCase10, YES, 4696)
(Reusing_Same_Loop_Iterator_1_T_Loop19_TestCase10, YES, 7412)
(Reusing_Same_Loop_Iterator_1_T_Loop19_TestCase9, YES, 5335)
(Reusing_Same_Loop_Iterator_1_T_Loop19_TestCase8, YES, 5383)</t>
  </si>
  <si>
    <t>(Reusing_Same_Loop_Iterator_1_T_Loop0_TestCase8, YES, 5495)
(Reusing_Same_Loop_Iterator_1_T_Loop0_TestCase9, YES, 5335)
(Reusing_Same_Loop_Iterator_1_T_Loop0_TestCase7, YES, 7725)
(Reusing_Same_Loop_Iterator_1_T_Loop0_TestCase6, YES, 8624)
(Reusing_Same_Loop_Iterator_1_T_Loop0_TestCase4, YES, 2842)
(Reusing_Same_Loop_Iterator_1_T_Loop0_TestCase5, YES, 7662)
(Reusing_Same_Loop_Iterator_1_T_Loop0_TestCase1, YES, 2850)
(Reusing_Same_Loop_Iterator_1_T_Loop0_TestCase2, YES, 7765)
(Reusing_Same_Loop_Iterator_1_T_Loop0_TestCase3, YES, 2856)
(Reusing_Same_Loop_Iterator_1_T_Loop0_TestCase10, YES, 7685)</t>
  </si>
  <si>
    <t>(Reusing_Same_Loop_Iterator_1_T_Loop19_TestCase0, YES, 8866)
(Reusing_Same_Loop_Iterator_1_T_Loop17_TestCase0, YES, 4584)</t>
  </si>
  <si>
    <t>(Reusing_Same_Loop_Iterator_1_T_Loop0_TestCase0, YES, 8856)</t>
  </si>
  <si>
    <t>(Reusing_Same_Loop_Iterator_1_NT_Loop19_TestCase8, NO, 65582)
(Reusing_Same_Loop_Iterator_1_NT_Loop19_TestCase9, NO, 5190)
(Reusing_Same_Loop_Iterator_1_NT_Loop17_TestCase8, NO, 5609)
(Reusing_Same_Loop_Iterator_1_NT_Loop17_TestCase9, NO, 5284)
(Reusing_Same_Loop_Iterator_1_NT_Loop17_TestCase2, ERROR, 300407)
(Reusing_Same_Loop_Iterator_1_NT_Loop17_TestCase3, YES, 2797)
(Reusing_Same_Loop_Iterator_1_NT_Loop17_TestCase1, YES, 2830)
(Reusing_Same_Loop_Iterator_1_NT_Loop17_TestCase4, YES, 2722)
(Reusing_Same_Loop_Iterator_1_NT_Loop17_TestCase5, YES, 4830)
(Reusing_Same_Loop_Iterator_1_NT_Loop17_TestCase7, MAYBE, 9733)
(Reusing_Same_Loop_Iterator_1_NT_Loop17_TestCase6, NO, 9691)
(Reusing_Same_Loop_Iterator_1_NT_Loop19_TestCase7, NO, 10087)
(Reusing_Same_Loop_Iterator_1_NT_Loop19_TestCase6, NO, 9354)
(Reusing_Same_Loop_Iterator_1_NT_Loop19_TestCase4, YES, 2834)
(Reusing_Same_Loop_Iterator_1_NT_Loop17_TestCase10, NO, 9678)
(Reusing_Same_Loop_Iterator_1_NT_Loop19_TestCase5, YES, 4948)
(Reusing_Same_Loop_Iterator_1_NT_Loop19_TestCase1, YES, 2790)
(Reusing_Same_Loop_Iterator_1_NT_Loop19_TestCase2, YES, 4879)
(Reusing_Same_Loop_Iterator_1_NT_Loop19_TestCase10, NO, 9441)
(Reusing_Same_Loop_Iterator_1_NT_Loop19_TestCase3, YES, 2827)</t>
  </si>
  <si>
    <t>(Reusing_Same_Loop_Iterator_1_NT_Loop0_TestCase10, NO, 10284)
(Reusing_Same_Loop_Iterator_1_NT_Loop0_TestCase5, YES, 5269)
(Reusing_Same_Loop_Iterator_1_NT_Loop0_TestCase4, YES, 2819)
(Reusing_Same_Loop_Iterator_1_NT_Loop0_TestCase6, NO, 10020)
(Reusing_Same_Loop_Iterator_1_NT_Loop0_TestCase7, NO, 10488)
(Reusing_Same_Loop_Iterator_1_NT_Loop0_TestCase3, YES, 2827)
(Reusing_Same_Loop_Iterator_1_NT_Loop0_TestCase2, YES, 5279)
(Reusing_Same_Loop_Iterator_1_NT_Loop0_TestCase1, YES, 2917)
(Reusing_Same_Loop_Iterator_1_NT_Loop0_TestCase9, NO, 5612)
(Reusing_Same_Loop_Iterator_1_NT_Loop0_TestCase8, NO, 5800)</t>
  </si>
  <si>
    <t>(Reusing_Same_Loop_Iterator_1_NT_Loop17_TestCase0, NO, 7507)
(Reusing_Same_Loop_Iterator_1_NT_Loop19_TestCase0, NO, 7546)</t>
  </si>
  <si>
    <t>(Reusing_Same_Loop_Iterator_1_NT_Loop0_TestCase0, NO, 8299)</t>
  </si>
  <si>
    <t>(Misusing_Variable_Type_2_T_Loop23_TestCase10, YES, 4699)
(Misusing_Variable_Type_2_T_Loop23_TestCase8, YES, 4800)
(Misusing_Variable_Type_2_T_Loop23_TestCase9, YES, 4818)
(Misusing_Variable_Type_2_T_Loop23_TestCase4, YES, 4741)
(Misusing_Variable_Type_2_T_Loop23_TestCase5, YES, 4783)
(Misusing_Variable_Type_2_T_Loop23_TestCase7, YES, 4730)
(Misusing_Variable_Type_2_T_Loop23_TestCase6, YES, 4815)
(Misusing_Variable_Type_2_T_Loop23_TestCase2, YES, 2865)
(Misusing_Variable_Type_2_T_Loop23_TestCase3, YES, 4777)
(Misusing_Variable_Type_2_T_Loop23_TestCase1, YES, 2878)</t>
  </si>
  <si>
    <t>(Misusing_Variable_Type_2_T_Loop0_TestCase6, YES, 4717)
(Misusing_Variable_Type_2_T_Loop0_TestCase7, YES, 4700)
(Misusing_Variable_Type_2_T_Loop0_TestCase5, YES, 4660)
(Misusing_Variable_Type_2_T_Loop0_TestCase4, YES, 4755)
(Misusing_Variable_Type_2_T_Loop0_TestCase10, YES, 4688)
(Misusing_Variable_Type_2_T_Loop0_TestCase1, YES, 2891)
(Misusing_Variable_Type_2_T_Loop0_TestCase3, YES, 4758)
(Misusing_Variable_Type_2_T_Loop0_TestCase2, YES, 2969)
(Misusing_Variable_Type_2_T_Loop0_TestCase9, YES, 4686)
(Misusing_Variable_Type_2_T_Loop0_TestCase8, YES, 4773)</t>
  </si>
  <si>
    <t>(Misusing_Variable_Type_2_T_Loop23_TestCase0, YES, 5319)</t>
  </si>
  <si>
    <t>(Misusing_Variable_Type_2_T_Loop0_TestCase0, YES, 5257)</t>
  </si>
  <si>
    <t>(Misusing_Variable_Type_2_NT_Loop24_TestCase9, MAYBE, 2864)
(Misusing_Variable_Type_2_NT_Loop24_TestCase8, MAYBE, 2879)
(Misusing_Variable_Type_2_NT_Loop24_TestCase10, MAYBE, 2796)
(Misusing_Variable_Type_2_NT_Loop24_TestCase5, MAYBE, 2841)
(Misusing_Variable_Type_2_NT_Loop24_TestCase4, MAYBE, 2950)
(Misusing_Variable_Type_2_NT_Loop24_TestCase6, MAYBE, 2897)
(Misusing_Variable_Type_2_NT_Loop24_TestCase7, MAYBE, 2882)
(Misusing_Variable_Type_2_NT_Loop24_TestCase3, MAYBE, 2889)
(Misusing_Variable_Type_2_NT_Loop24_TestCase2, MAYBE, 2864)
(Misusing_Variable_Type_2_NT_Loop24_TestCase1, YES, 2870)</t>
  </si>
  <si>
    <t>(Misusing_Variable_Type_2_NT_Loop0_TestCase8, YES, 4610)
(Misusing_Variable_Type_2_NT_Loop0_TestCase9, YES, 4664)
(Misusing_Variable_Type_2_NT_Loop0_TestCase10, YES, 4726)
(Misusing_Variable_Type_2_NT_Loop0_TestCase1, YES, 2926)
(Misusing_Variable_Type_2_NT_Loop0_TestCase2, YES, 2930)
(Misusing_Variable_Type_2_NT_Loop0_TestCase3, YES, 4697)
(Misusing_Variable_Type_2_NT_Loop0_TestCase7, YES, 4662)
(Misusing_Variable_Type_2_NT_Loop0_TestCase6, YES, 4650)
(Misusing_Variable_Type_2_NT_Loop0_TestCase4, YES, 4771)
(Misusing_Variable_Type_2_NT_Loop0_TestCase5, YES, 4760)</t>
  </si>
  <si>
    <t>(Misusing_Variable_Type_2_NT_Loop24_TestCase0, MAYBE, 3283)</t>
  </si>
  <si>
    <t>(Misusing_Variable_Type_2_NT_Loop0_TestCase0, YES, 5159)</t>
  </si>
  <si>
    <t>(Misusing_Variable_Type_1_T_Loop16_TestCase0, YES, 4759)
(Misusing_Variable_Type_1_T_Loop18_TestCase0, YES, 8003)
(Misusing_Variable_Type_1_T_Loop14_TestCase0, YES, 3161)</t>
  </si>
  <si>
    <t>(Misusing_Variable_Type_1_T_Loop0_TestCase0, YES, 68766)</t>
  </si>
  <si>
    <t>(Misusing_Variable_Type_1_T_Loop16_TestCase0, YES, 4828)
(Misusing_Variable_Type_1_T_Loop18_TestCase0, YES, 7622)
(Misusing_Variable_Type_1_T_Loop14_TestCase0, YES, 3216)</t>
  </si>
  <si>
    <t>(Misusing_Variable_Type_1_T_Loop0_TestCase0, YES, 8470)</t>
  </si>
  <si>
    <t>(Misusing_Variable_Type_1_NT_Loop16_TestCase0, MAYBE, 2843)
(Misusing_Variable_Type_1_NT_Loop18_TestCase0, NO, 3949)
(Misusing_Variable_Type_1_NT_Loop14_TestCase0, YES, 2437)</t>
  </si>
  <si>
    <t>(Misusing_Variable_Type_1_NT_Loop0_TestCase0, MAYBE, 4498)</t>
  </si>
  <si>
    <t>(Misusing_Variable_Type_1_NT_Loop16_TestCase0, MAYBE, 2854)
(Misusing_Variable_Type_1_NT_Loop18_TestCase0, NO, 3989)
(Misusing_Variable_Type_1_NT_Loop14_TestCase0, YES, 2404)</t>
  </si>
  <si>
    <t>(Misusing_Variable_Type_1_NT_Loop0_TestCase0, MAYBE, 4496)</t>
  </si>
  <si>
    <t>(Missing_Iterator_Update_5_T_Loop22_TestCase3, MAYBE, 5232)
(Missing_Iterator_Update_5_T_Loop22_TestCase2, MAYBE, 7875)
(Missing_Iterator_Update_5_T_Loop22_TestCase1, YES, 2828)
(Missing_Iterator_Update_5_T_Loop22_TestCase5, YES, 2832)
(Missing_Iterator_Update_5_T_Loop22_TestCase4, MAYBE, 7838)
(Missing_Iterator_Update_5_T_Loop22_TestCase6, MAYBE, 7698)
(Missing_Iterator_Update_5_T_Loop22_TestCase10, MAYBE, 6993)
(Missing_Iterator_Update_5_T_Loop22_TestCase7, MAYBE, 7832)
(Missing_Iterator_Update_5_T_Loop17_TestCase8, MAYBE, 8096)
(Missing_Iterator_Update_5_T_Loop17_TestCase9, MAYBE, 8119)
(Missing_Iterator_Update_5_T_Loop17_TestCase4, MAYBE, 8284)
(Missing_Iterator_Update_5_T_Loop17_TestCase5, YES, 2840)
(Missing_Iterator_Update_5_T_Loop17_TestCase7, MAYBE, 8192)
(Missing_Iterator_Update_5_T_Loop17_TestCase6, MAYBE, 8204)
(Missing_Iterator_Update_5_T_Loop17_TestCase2, MAYBE, 8322)
(Missing_Iterator_Update_5_T_Loop17_TestCase3, MAYBE, 5230)
(Missing_Iterator_Update_5_T_Loop17_TestCase1, YES, 2857)
(Missing_Iterator_Update_5_T_Loop22_TestCase9, MAYBE, 7578)
(Missing_Iterator_Update_5_T_Loop22_TestCase8, MAYBE, 7935)
(Missing_Iterator_Update_5_T_Loop17_TestCase10, MAYBE, 7182)</t>
  </si>
  <si>
    <t>(Missing_Iterator_Update_5_T_Loop0_TestCase10, YES, 9508)
(Missing_Iterator_Update_5_T_Loop0_TestCase1, MAYBE, 2510)
(Missing_Iterator_Update_5_T_Loop0_TestCase2, YES, 5625)
(Missing_Iterator_Update_5_T_Loop0_TestCase3, YES, 4788)
(Missing_Iterator_Update_5_T_Loop0_TestCase7, YES, 8042)
(Missing_Iterator_Update_5_T_Loop0_TestCase6, YES, 7839)
(Missing_Iterator_Update_5_T_Loop0_TestCase4, YES, 7640)
(Missing_Iterator_Update_5_T_Loop0_TestCase5, YES, 2866)
(Missing_Iterator_Update_5_T_Loop0_TestCase8, YES, 7278)
(Missing_Iterator_Update_5_T_Loop0_TestCase9, YES, 6475)</t>
  </si>
  <si>
    <t>(Missing_Iterator_Update_5_T_Loop22_TestCase0, MAYBE, 7215)
(Missing_Iterator_Update_5_T_Loop17_TestCase0, MAYBE, 7219)</t>
  </si>
  <si>
    <t>(Missing_Iterator_Update_5_T_Loop0_TestCase0, YES, 10812)</t>
  </si>
  <si>
    <t>(Missing_Iterator_Update_5_NT_Loop18_TestCase4, NO, 10229)
(Missing_Iterator_Update_5_NT_Loop18_TestCase5, YES, 2906)
(Missing_Iterator_Update_5_NT_Loop18_TestCase7, NO, 10380)
(Missing_Iterator_Update_5_NT_Loop18_TestCase6, NO, 10197)
(Missing_Iterator_Update_5_NT_Loop18_TestCase2, NO, 10533)
(Missing_Iterator_Update_5_NT_Loop23_TestCase9, NO, 10312)
(Missing_Iterator_Update_5_NT_Loop23_TestCase8, NO, 10329)
(Missing_Iterator_Update_5_NT_Loop18_TestCase3, MAYBE, 5340)
(Missing_Iterator_Update_5_NT_Loop18_TestCase1, YES, 2823)
(Missing_Iterator_Update_5_NT_Loop18_TestCase10, NO, 9350)
(Missing_Iterator_Update_5_NT_Loop23_TestCase10, NO, 9524)
(Missing_Iterator_Update_5_NT_Loop23_TestCase6, NO, 9974)
(Missing_Iterator_Update_5_NT_Loop23_TestCase7, NO, 9870)
(Missing_Iterator_Update_5_NT_Loop23_TestCase5, YES, 2883)
(Missing_Iterator_Update_5_NT_Loop23_TestCase4, NO, 9998)
(Missing_Iterator_Update_5_NT_Loop23_TestCase1, YES, 2842)
(Missing_Iterator_Update_5_NT_Loop18_TestCase8, NO, 10831)
(Missing_Iterator_Update_5_NT_Loop23_TestCase3, MAYBE, 5127)
(Missing_Iterator_Update_5_NT_Loop23_TestCase2, NO, 10265)
(Missing_Iterator_Update_5_NT_Loop18_TestCase9, NO, 10644)</t>
  </si>
  <si>
    <t>(Missing_Iterator_Update_5_NT_Loop0_TestCase10, MAYBE, 12157)
(Missing_Iterator_Update_5_NT_Loop0_TestCase8, MAYBE, 10546)
(Missing_Iterator_Update_5_NT_Loop0_TestCase9, MAYBE, 10115)
(Missing_Iterator_Update_5_NT_Loop0_TestCase1, MAYBE, 2534)
(Missing_Iterator_Update_5_NT_Loop0_TestCase2, MAYBE, 9852)
(Missing_Iterator_Update_5_NT_Loop0_TestCase3, YES, 4717)
(Missing_Iterator_Update_5_NT_Loop0_TestCase7, MAYBE, 190227)
(Missing_Iterator_Update_5_NT_Loop0_TestCase6, MAYBE, 15596)
(Missing_Iterator_Update_5_NT_Loop0_TestCase4, MAYBE, 15332)
(Missing_Iterator_Update_5_NT_Loop0_TestCase5, YES, 2756)</t>
  </si>
  <si>
    <t>(Missing_Iterator_Update_5_NT_Loop18_TestCase0, NO, 10377)
(Missing_Iterator_Update_5_NT_Loop23_TestCase0, NO, 9926)</t>
  </si>
  <si>
    <t>(Missing_Iterator_Update_5_NT_Loop0_TestCase0, MAYBE, 19729)</t>
  </si>
  <si>
    <t>(Missing_Iterator_Update_4_T_Loop21_TestCase2, YES, 2874)
(Missing_Iterator_Update_4_T_Loop21_TestCase3, YES, 2744)
(Missing_Iterator_Update_4_T_Loop21_TestCase1, YES, 2999)
(Missing_Iterator_Update_4_T_Loop21_TestCase4, YES, 2885)
(Missing_Iterator_Update_4_T_Loop19_TestCase10, YES, 4585)
(Missing_Iterator_Update_4_T_Loop21_TestCase5, YES, 3199)
(Missing_Iterator_Update_4_T_Loop21_TestCase7, YES, 6132)
(Missing_Iterator_Update_4_T_Loop19_TestCase9, YES, 4742)
(Missing_Iterator_Update_4_T_Loop19_TestCase8, YES, 4890)
(Missing_Iterator_Update_4_T_Loop21_TestCase6, YES, 3377)
(Missing_Iterator_Update_4_T_Loop19_TestCase5, YES, 2826)
(Missing_Iterator_Update_4_T_Loop19_TestCase4, YES, 2800)
(Missing_Iterator_Update_4_T_Loop21_TestCase8, YES, 7696)
(Missing_Iterator_Update_4_T_Loop19_TestCase6, YES, 2857)
(Missing_Iterator_Update_4_T_Loop19_TestCase7, YES, 3749)
(Missing_Iterator_Update_4_T_Loop21_TestCase9, YES, 7610)
(Missing_Iterator_Update_4_T_Loop19_TestCase3, YES, 2738)
(Missing_Iterator_Update_4_T_Loop19_TestCase2, YES, 2899)
(Missing_Iterator_Update_4_T_Loop19_TestCase1, YES, 2837)
(Missing_Iterator_Update_4_T_Loop21_TestCase10, YES, 7594)</t>
  </si>
  <si>
    <t>(Missing_Iterator_Update_4_T_Loop0_TestCase8, YES, 9251)
(Missing_Iterator_Update_4_T_Loop0_TestCase9, YES, 9237)
(Missing_Iterator_Update_4_T_Loop0_TestCase10, YES, 9094)
(Missing_Iterator_Update_4_T_Loop0_TestCase2, YES, 3050)
(Missing_Iterator_Update_4_T_Loop0_TestCase3, YES, 2969)
(Missing_Iterator_Update_4_T_Loop0_TestCase1, YES, 3020)
(Missing_Iterator_Update_4_T_Loop0_TestCase4, YES, 3050)
(Missing_Iterator_Update_4_T_Loop0_TestCase5, YES, 3029)
(Missing_Iterator_Update_4_T_Loop0_TestCase7, YES, 6382)
(Missing_Iterator_Update_4_T_Loop0_TestCase6, YES, 3104)</t>
  </si>
  <si>
    <t>(Missing_Iterator_Update_4_T_Loop21_TestCase0, YES, 23500)
(Missing_Iterator_Update_4_T_Loop19_TestCase0, YES, 5041)</t>
  </si>
  <si>
    <t>(Missing_Iterator_Update_4_T_Loop0_TestCase0, YES, 10521)</t>
  </si>
  <si>
    <t>(Missing_Iterator_Update_4_NT_Loop19_TestCase10, NO, 5142)
(Missing_Iterator_Update_4_NT_Loop19_TestCase7, NO, 5129)
(Missing_Iterator_Update_4_NT_Loop21_TestCase9, NO, 6349)
(Missing_Iterator_Update_4_NT_Loop21_TestCase8, NO, 6142)
(Missing_Iterator_Update_4_NT_Loop19_TestCase6, NO, 4882)
(Missing_Iterator_Update_4_NT_Loop19_TestCase4, YES, 2844)
(Missing_Iterator_Update_4_NT_Loop19_TestCase5, YES, 2768)
(Missing_Iterator_Update_4_NT_Loop19_TestCase1, YES, 2817)
(Missing_Iterator_Update_4_NT_Loop19_TestCase2, YES, 2789)
(Missing_Iterator_Update_4_NT_Loop19_TestCase3, YES, 2767)
(Missing_Iterator_Update_4_NT_Loop21_TestCase1, YES, 2879)
(Missing_Iterator_Update_4_NT_Loop21_TestCase3, YES, 2805)
(Missing_Iterator_Update_4_NT_Loop21_TestCase2, YES, 2820)
(Missing_Iterator_Update_4_NT_Loop19_TestCase8, NO, 5099)
(Missing_Iterator_Update_4_NT_Loop21_TestCase6, NO, 5433)
(Missing_Iterator_Update_4_NT_Loop21_TestCase7, NO, 6259)
(Missing_Iterator_Update_4_NT_Loop19_TestCase9, NO, 5267)
(Missing_Iterator_Update_4_NT_Loop21_TestCase10, NO, 6324)
(Missing_Iterator_Update_4_NT_Loop21_TestCase5, YES, 2783)
(Missing_Iterator_Update_4_NT_Loop21_TestCase4, YES, 2813)</t>
  </si>
  <si>
    <t>(Missing_Iterator_Update_4_NT_Loop0_TestCase9, ERROR, 300550)
(Missing_Iterator_Update_4_NT_Loop0_TestCase8, ERROR, 300422)
(Missing_Iterator_Update_4_NT_Loop0_TestCase10, ERROR, 300433)
(Missing_Iterator_Update_4_NT_Loop0_TestCase5, YES, 3001)
(Missing_Iterator_Update_4_NT_Loop0_TestCase4, YES, 3069)
(Missing_Iterator_Update_4_NT_Loop0_TestCase6, NO, 6706)
(Missing_Iterator_Update_4_NT_Loop0_TestCase7, ERROR, 300383)
(Missing_Iterator_Update_4_NT_Loop0_TestCase3, YES, 3260)
(Missing_Iterator_Update_4_NT_Loop0_TestCase2, YES, 3020)
(Missing_Iterator_Update_4_NT_Loop0_TestCase1, YES, 3053)</t>
  </si>
  <si>
    <t>(Missing_Iterator_Update_4_NT_Loop19_TestCase0, NO, 5402)
(Missing_Iterator_Update_4_NT_Loop21_TestCase0, NO, 7714)</t>
  </si>
  <si>
    <t>(Missing_Iterator_Update_4_NT_Loop0_TestCase0, NO, 9771)</t>
  </si>
  <si>
    <t>(Missing_Iterator_Update_3_T_Loop36_TestCase1, MAYBE, 12014)
(Missing_Iterator_Update_3_T_Loop36_TestCase2, MAYBE, 13211)
(Missing_Iterator_Update_3_T_Loop30_TestCase8, MAYBE, 5297)
(Missing_Iterator_Update_3_T_Loop30_TestCase9, MAYBE, 5270)
(Missing_Iterator_Update_3_T_Loop36_TestCase3, MAYBE, 12991)
(Missing_Iterator_Update_3_T_Loop36_TestCase7, MAYBE, 12109)
(Missing_Iterator_Update_3_T_Loop36_TestCase6, MAYBE, 12084)
(Missing_Iterator_Update_3_T_Loop36_TestCase4, MAYBE, 12950)
(Missing_Iterator_Update_3_T_Loop36_TestCase5, MAYBE, 72825)
(Missing_Iterator_Update_3_T_Loop36_TestCase8, MAYBE, 11996)
(Missing_Iterator_Update_3_T_Loop30_TestCase2, MAYBE, 5172)
(Missing_Iterator_Update_3_T_Loop30_TestCase3, MAYBE, 5304)
(Missing_Iterator_Update_3_T_Loop36_TestCase9, MAYBE, 11777)
(Missing_Iterator_Update_3_T_Loop30_TestCase1, MAYBE, 5165)
(Missing_Iterator_Update_3_T_Loop30_TestCase4, MAYBE, 5358)
(Missing_Iterator_Update_3_T_Loop30_TestCase5, MAYBE, 5235)
(Missing_Iterator_Update_3_T_Loop30_TestCase7, MAYBE, 5258)
(Missing_Iterator_Update_3_T_Loop30_TestCase6, MAYBE, 5258)
(Missing_Iterator_Update_3_T_Loop30_TestCase10, MAYBE, 5289)
(Missing_Iterator_Update_3_T_Loop36_TestCase10, MAYBE, 11850)</t>
  </si>
  <si>
    <t>(Missing_Iterator_Update_3_T_Loop0_TestCase5, ERROR, 300383)
(Missing_Iterator_Update_3_T_Loop0_TestCase4, ERROR, 300378)
(Missing_Iterator_Update_3_T_Loop0_TestCase6, YES, 4001)
(Missing_Iterator_Update_3_T_Loop0_TestCase7, ERROR, 300357)
(Missing_Iterator_Update_3_T_Loop0_TestCase3, ERROR, 300376)
(Missing_Iterator_Update_3_T_Loop0_TestCase2, YES, 3956)
(Missing_Iterator_Update_3_T_Loop0_TestCase1, YES, 4065)
(Missing_Iterator_Update_3_T_Loop0_TestCase10, ERROR, 300365)
(Missing_Iterator_Update_3_T_Loop0_TestCase9, ERROR, 300395)
(Missing_Iterator_Update_3_T_Loop0_TestCase8, ERROR, 300369)</t>
  </si>
  <si>
    <t>(Missing_Iterator_Update_3_T_Loop36_TestCase0, MAYBE, 16648)
(Missing_Iterator_Update_3_T_Loop30_TestCase0, MAYBE, 5306)</t>
  </si>
  <si>
    <t>(Missing_Iterator_Update_3_T_Loop0_TestCase0, MAYBE, 244442)</t>
  </si>
  <si>
    <t>(Missing_Iterator_Update_3_NT_Loop29_TestCase10, MAYBE, 5310)
(Missing_Iterator_Update_3_NT_Loop35_TestCase8, MAYBE, 12590)
(Missing_Iterator_Update_3_NT_Loop35_TestCase9, MAYBE, 12300)
(Missing_Iterator_Update_3_NT_Loop35_TestCase10, MAYBE, 12101)
(Missing_Iterator_Update_3_NT_Loop29_TestCase4, MAYBE, 5326)
(Missing_Iterator_Update_3_NT_Loop29_TestCase5, MAYBE, 5219)
(Missing_Iterator_Update_3_NT_Loop29_TestCase7, MAYBE, 5307)
(Missing_Iterator_Update_3_NT_Loop29_TestCase6, MAYBE, 5251)
(Missing_Iterator_Update_3_NT_Loop29_TestCase2, MAYBE, 5162)
(Missing_Iterator_Update_3_NT_Loop29_TestCase3, MAYBE, 5339)
(Missing_Iterator_Update_3_NT_Loop29_TestCase1, MAYBE, 5176)
(Missing_Iterator_Update_3_NT_Loop29_TestCase8, MAYBE, 5272)
(Missing_Iterator_Update_3_NT_Loop29_TestCase9, MAYBE, 5395)
(Missing_Iterator_Update_3_NT_Loop35_TestCase7, MAYBE, 12134)
(Missing_Iterator_Update_3_NT_Loop35_TestCase6, MAYBE, 12053)
(Missing_Iterator_Update_3_NT_Loop35_TestCase4, MAYBE, 11636)
(Missing_Iterator_Update_3_NT_Loop35_TestCase5, MAYBE, 11703)
(Missing_Iterator_Update_3_NT_Loop35_TestCase1, MAYBE, 12140)
(Missing_Iterator_Update_3_NT_Loop35_TestCase2, MAYBE, 11974)
(Missing_Iterator_Update_3_NT_Loop35_TestCase3, MAYBE, 11780)</t>
  </si>
  <si>
    <t>(Missing_Iterator_Update_3_NT_Loop0_TestCase9, ERROR, 300400)
(Missing_Iterator_Update_3_NT_Loop0_TestCase8, ERROR, 300391)
(Missing_Iterator_Update_3_NT_Loop0_TestCase6, MAYBE, 8677)
(Missing_Iterator_Update_3_NT_Loop0_TestCase7, ERROR, 300405)
(Missing_Iterator_Update_3_NT_Loop0_TestCase5, ERROR, 300297)
(Missing_Iterator_Update_3_NT_Loop0_TestCase4, ERROR, 300377)
(Missing_Iterator_Update_3_NT_Loop0_TestCase10, ERROR, 300368)
(Missing_Iterator_Update_3_NT_Loop0_TestCase1, MAYBE, 8656)
(Missing_Iterator_Update_3_NT_Loop0_TestCase3, ERROR, 300396)
(Missing_Iterator_Update_3_NT_Loop0_TestCase2, MAYBE, 7235)</t>
  </si>
  <si>
    <t>(Missing_Iterator_Update_3_NT_Loop29_TestCase0, MAYBE, 5368)
(Missing_Iterator_Update_3_NT_Loop35_TestCase0, MAYBE, 16080)</t>
  </si>
  <si>
    <t>(Missing_Iterator_Update_3_NT_Loop0_TestCase0, MAYBE, 139183)</t>
  </si>
  <si>
    <t>(Missing_Iterator_Update_2_T_Loop28_TestCase10, YES, 4780)
(Missing_Iterator_Update_2_T_Loop28_TestCase4, YES, 3057)
(Missing_Iterator_Update_2_T_Loop28_TestCase5, YES, 4696)
(Missing_Iterator_Update_2_T_Loop28_TestCase7, YES, 4615)
(Missing_Iterator_Update_2_T_Loop28_TestCase6, YES, 4656)
(Missing_Iterator_Update_2_T_Loop28_TestCase2, YES, 4945)
(Missing_Iterator_Update_2_T_Loop28_TestCase3, YES, 4605)
(Missing_Iterator_Update_2_T_Loop28_TestCase1, YES, 3047)
(Missing_Iterator_Update_2_T_Loop28_TestCase8, YES, 4683)
(Missing_Iterator_Update_2_T_Loop28_TestCase9, YES, 4607)</t>
  </si>
  <si>
    <t>(Missing_Iterator_Update_2_T_Loop0_TestCase10, YES, 4982)
(Missing_Iterator_Update_2_T_Loop0_TestCase9, YES, 4936)
(Missing_Iterator_Update_2_T_Loop0_TestCase8, YES, 4925)
(Missing_Iterator_Update_2_T_Loop0_TestCase6, YES, 4958)
(Missing_Iterator_Update_2_T_Loop0_TestCase7, YES, 4952)
(Missing_Iterator_Update_2_T_Loop0_TestCase5, YES, 5054)
(Missing_Iterator_Update_2_T_Loop0_TestCase4, YES, 3213)
(Missing_Iterator_Update_2_T_Loop0_TestCase1, YES, 3136)
(Missing_Iterator_Update_2_T_Loop0_TestCase3, YES, 4984)
(Missing_Iterator_Update_2_T_Loop0_TestCase2, YES, 4905)</t>
  </si>
  <si>
    <t>(Missing_Iterator_Update_2_T_Loop28_TestCase0, YES, 5887)</t>
  </si>
  <si>
    <t>(Missing_Iterator_Update_2_T_Loop0_TestCase0, YES, 5929)</t>
  </si>
  <si>
    <t>(Missing_Iterator_Update_2_NT_Loop28_TestCase7, NO, 5016)
(Missing_Iterator_Update_2_NT_Loop28_TestCase6, NO, 5129)
(Missing_Iterator_Update_2_NT_Loop28_TestCase4, YES, 3024)
(Missing_Iterator_Update_2_NT_Loop28_TestCase5, YES, 4852)
(Missing_Iterator_Update_2_NT_Loop28_TestCase1, YES, 3089)
(Missing_Iterator_Update_2_NT_Loop28_TestCase2, YES, 4850)
(Missing_Iterator_Update_2_NT_Loop28_TestCase3, YES, 4572)
(Missing_Iterator_Update_2_NT_Loop28_TestCase10, NO, 5174)
(Missing_Iterator_Update_2_NT_Loop28_TestCase8, NO, 5223)
(Missing_Iterator_Update_2_NT_Loop28_TestCase9, NO, 5192)</t>
  </si>
  <si>
    <t>(Missing_Iterator_Update_2_NT_Loop0_TestCase8, NO, 5662)
(Missing_Iterator_Update_2_NT_Loop0_TestCase9, NO, 5751)
(Missing_Iterator_Update_2_NT_Loop0_TestCase10, NO, 5665)
(Missing_Iterator_Update_2_NT_Loop0_TestCase2, YES, 5013)
(Missing_Iterator_Update_2_NT_Loop0_TestCase3, YES, 4962)
(Missing_Iterator_Update_2_NT_Loop0_TestCase1, YES, 3126)
(Missing_Iterator_Update_2_NT_Loop0_TestCase4, YES, 3169)
(Missing_Iterator_Update_2_NT_Loop0_TestCase5, YES, 4997)
(Missing_Iterator_Update_2_NT_Loop0_TestCase7, NO, 5563)
(Missing_Iterator_Update_2_NT_Loop0_TestCase6, NO, 5812)</t>
  </si>
  <si>
    <t>(Missing_Iterator_Update_2_NT_Loop28_TestCase0, NO, 6597)</t>
  </si>
  <si>
    <t>(Missing_Iterator_Update_2_NT_Loop0_TestCase0, NO, 6568)</t>
  </si>
  <si>
    <t>(Missing_Iterator_Update_1_T_Loop35_TestCase5, YES, 2889)
(Missing_Iterator_Update_1_T_Loop35_TestCase4, YES, 2881)
(Missing_Iterator_Update_1_T_Loop35_TestCase6, YES, 2925)
(Missing_Iterator_Update_1_T_Loop35_TestCase7, YES, 3007)
(Missing_Iterator_Update_1_T_Loop35_TestCase3, YES, 2984)
(Missing_Iterator_Update_1_T_Loop35_TestCase2, YES, 2859)
(Missing_Iterator_Update_1_T_Loop35_TestCase1, YES, 2881)
(Missing_Iterator_Update_1_T_Loop17_TestCase8, YES, 2822)
(Missing_Iterator_Update_1_T_Loop17_TestCase9, YES, 2889)
(Missing_Iterator_Update_1_T_Loop35_TestCase10, YES, 2928)
(Missing_Iterator_Update_1_T_Loop17_TestCase2, YES, 2754)
(Missing_Iterator_Update_1_T_Loop17_TestCase3, YES, 2914)
(Missing_Iterator_Update_1_T_Loop17_TestCase1, YES, 2764)
(Missing_Iterator_Update_1_T_Loop17_TestCase4, YES, 2818)
(Missing_Iterator_Update_1_T_Loop17_TestCase5, YES, 2831)
(Missing_Iterator_Update_1_T_Loop17_TestCase7, YES, 2854)
(Missing_Iterator_Update_1_T_Loop17_TestCase6, YES, 2818)
(Missing_Iterator_Update_1_T_Loop17_TestCase10, YES, 2893)
(Missing_Iterator_Update_1_T_Loop35_TestCase9, YES, 2959)
(Missing_Iterator_Update_1_T_Loop35_TestCase8, YES, 3015)</t>
  </si>
  <si>
    <t>(Missing_Iterator_Update_1_T_Loop0_TestCase10, YES, 3018)
(Missing_Iterator_Update_1_T_Loop0_TestCase2, YES, 2743)
(Missing_Iterator_Update_1_T_Loop0_TestCase3, YES, 2982)
(Missing_Iterator_Update_1_T_Loop0_TestCase1, YES, 2835)
(Missing_Iterator_Update_1_T_Loop0_TestCase4, YES, 2839)
(Missing_Iterator_Update_1_T_Loop0_TestCase5, YES, 2888)
(Missing_Iterator_Update_1_T_Loop0_TestCase7, YES, 2934)
(Missing_Iterator_Update_1_T_Loop0_TestCase6, YES, 2987)
(Missing_Iterator_Update_1_T_Loop0_TestCase8, YES, 3011)
(Missing_Iterator_Update_1_T_Loop0_TestCase9, YES, 2952)</t>
  </si>
  <si>
    <t>(Missing_Iterator_Update_1_T_Loop35_TestCase0, YES, 5180)
(Missing_Iterator_Update_1_T_Loop17_TestCase0, MAYBE, 5081)</t>
  </si>
  <si>
    <t>(Missing_Iterator_Update_1_T_Loop0_TestCase0, YES, 4874)</t>
  </si>
  <si>
    <t>(Missing_Iterator_Update_1_NT_Loop18_TestCase3, YES, 2878)
(Missing_Iterator_Update_1_NT_Loop18_TestCase2, YES, 2873)
(Missing_Iterator_Update_1_NT_Loop18_TestCase1, YES, 2797)
(Missing_Iterator_Update_1_NT_Loop18_TestCase5, YES, 2884)
(Missing_Iterator_Update_1_NT_Loop18_TestCase4, NO, 3861)
(Missing_Iterator_Update_1_NT_Loop18_TestCase6, NO, 4004)
(Missing_Iterator_Update_1_NT_Loop18_TestCase7, NO, 3816)
(Missing_Iterator_Update_1_NT_Loop18_TestCase10, NO, 3795)
(Missing_Iterator_Update_1_NT_Loop18_TestCase9, NO, 3835)
(Missing_Iterator_Update_1_NT_Loop18_TestCase8, NO, 3950)</t>
  </si>
  <si>
    <t>(Missing_Iterator_Update_1_NT_Loop0_TestCase10, NO, 5317)
(Missing_Iterator_Update_1_NT_Loop0_TestCase8, NO, 5398)
(Missing_Iterator_Update_1_NT_Loop0_TestCase9, NO, 5496)
(Missing_Iterator_Update_1_NT_Loop0_TestCase7, NO, 5397)
(Missing_Iterator_Update_1_NT_Loop0_TestCase6, NO, 5221)
(Missing_Iterator_Update_1_NT_Loop0_TestCase4, YES, 2865)
(Missing_Iterator_Update_1_NT_Loop0_TestCase5, YES, 2891)
(Missing_Iterator_Update_1_NT_Loop0_TestCase1, YES, 2790)
(Missing_Iterator_Update_1_NT_Loop0_TestCase2, YES, 2871)
(Missing_Iterator_Update_1_NT_Loop0_TestCase3, YES, 2957)</t>
  </si>
  <si>
    <t>(Missing_Iterator_Update_1_NT_Loop18_TestCase0, NO, 6552)</t>
  </si>
  <si>
    <t>(Missing_Iterator_Update_1_NT_Loop0_TestCase0, NO, 7412)</t>
  </si>
  <si>
    <t>(Missing_Initialization_1_T_Loop14_TestCase10, YES, 4221)
(Missing_Initialization_1_T_Loop14_TestCase9, YES, 4099)
(Missing_Initialization_1_T_Loop14_TestCase8, YES, 4402)
(Missing_Initialization_1_T_Loop17_TestCase10, YES, 4269)
(Missing_Initialization_1_T_Loop17_TestCase9, YES, 4309)
(Missing_Initialization_1_T_Loop17_TestCase8, YES, 4467)
(Missing_Initialization_1_T_Loop17_TestCase5, YES, 2637)
(Missing_Initialization_1_T_Loop14_TestCase1, YES, 2625)
(Missing_Initialization_1_T_Loop17_TestCase4, YES, 2678)
(Missing_Initialization_1_T_Loop17_TestCase6, YES, 4627)
(Missing_Initialization_1_T_Loop14_TestCase3, YES, 2629)
(Missing_Initialization_1_T_Loop14_TestCase2, YES, 2670)
(Missing_Initialization_1_T_Loop17_TestCase7, YES, 4310)
(Missing_Initialization_1_T_Loop17_TestCase3, YES, 2653)
(Missing_Initialization_1_T_Loop14_TestCase6, YES, 4432)
(Missing_Initialization_1_T_Loop14_TestCase7, YES, 4305)
(Missing_Initialization_1_T_Loop17_TestCase2, YES, 2619)
(Missing_Initialization_1_T_Loop14_TestCase5, YES, 2644)
(Missing_Initialization_1_T_Loop14_TestCase4, YES, 2655)
(Missing_Initialization_1_T_Loop17_TestCase1, YES, 2621)</t>
  </si>
  <si>
    <t>(Missing_Initialization_1_T_Loop0_TestCase9, YES, 4362)
(Missing_Initialization_1_T_Loop0_TestCase8, YES, 4656)
(Missing_Initialization_1_T_Loop0_TestCase10, YES, 4321)
(Missing_Initialization_1_T_Loop0_TestCase1, YES, 2715)
(Missing_Initialization_1_T_Loop0_TestCase3, YES, 2718)
(Missing_Initialization_1_T_Loop0_TestCase2, YES, 2705)
(Missing_Initialization_1_T_Loop0_TestCase6, YES, 4773)
(Missing_Initialization_1_T_Loop0_TestCase7, YES, 4442)
(Missing_Initialization_1_T_Loop0_TestCase5, YES, 2789)
(Missing_Initialization_1_T_Loop0_TestCase4, YES, 2694)</t>
  </si>
  <si>
    <t>(Missing_Initialization_1_T_Loop14_TestCase0, YES, 5198)
(Missing_Initialization_1_T_Loop17_TestCase0, YES, 5250)</t>
  </si>
  <si>
    <t>(Missing_Initialization_1_T_Loop0_TestCase0, YES, 5722)</t>
  </si>
  <si>
    <t>(Missing_Initialization_1_NT_Loop14_TestCase7, NO, 4301)
(Missing_Initialization_1_NT_Loop14_TestCase6, NO, 4156)
(Missing_Initialization_1_NT_Loop14_TestCase4, YES, 2615)
(Missing_Initialization_1_NT_Loop14_TestCase5, YES, 2682)
(Missing_Initialization_1_NT_Loop14_TestCase1, YES, 2657)
(Missing_Initialization_1_NT_Loop16_TestCase9, NO, 4208)
(Missing_Initialization_1_NT_Loop14_TestCase2, YES, 2626)
(Missing_Initialization_1_NT_Loop14_TestCase3, YES, 2647)
(Missing_Initialization_1_NT_Loop16_TestCase10, NO, 4171)
(Missing_Initialization_1_NT_Loop16_TestCase8, NO, 4391)
(Missing_Initialization_1_NT_Loop14_TestCase10, NO, 4107)
(Missing_Initialization_1_NT_Loop16_TestCase5, YES, 2718)
(Missing_Initialization_1_NT_Loop16_TestCase4, YES, 2689)
(Missing_Initialization_1_NT_Loop16_TestCase6, NO, 4034)
(Missing_Initialization_1_NT_Loop16_TestCase7, NO, 4213)
(Missing_Initialization_1_NT_Loop16_TestCase3, YES, 2624)
(Missing_Initialization_1_NT_Loop14_TestCase8, NO, 4354)
(Missing_Initialization_1_NT_Loop14_TestCase9, NO, 4254)
(Missing_Initialization_1_NT_Loop16_TestCase2, YES, 2604)
(Missing_Initialization_1_NT_Loop16_TestCase1, YES, 2665)</t>
  </si>
  <si>
    <t>(Missing_Initialization_1_NT_Loop0_TestCase9, NO, 4542)
(Missing_Initialization_1_NT_Loop0_TestCase8, NO, 5109)
(Missing_Initialization_1_NT_Loop0_TestCase10, NO, 4663)
(Missing_Initialization_1_NT_Loop0_TestCase1, YES, 2722)
(Missing_Initialization_1_NT_Loop0_TestCase3, YES, 2719)
(Missing_Initialization_1_NT_Loop0_TestCase2, YES, 2679)
(Missing_Initialization_1_NT_Loop0_TestCase6, NO, 4408)
(Missing_Initialization_1_NT_Loop0_TestCase7, NO, 4660)
(Missing_Initialization_1_NT_Loop0_TestCase5, YES, 2777)
(Missing_Initialization_1_NT_Loop0_TestCase4, YES, 2687)</t>
  </si>
  <si>
    <t>(Missing_Initialization_1_NT_Loop14_TestCase0, NO, 7219)
(Missing_Initialization_1_NT_Loop16_TestCase0, NO, 7283)</t>
  </si>
  <si>
    <t>(Missing_Initialization_1_NT_Loop0_TestCase0, NO, 6459)</t>
  </si>
  <si>
    <t>23/30</t>
  </si>
  <si>
    <t>(Missing_Corner-case_Handling_4_T_Loop36_TestCase3, YES, 2788)
(Missing_Corner-case_Handling_4_T_Loop23_TestCase8, YES, 4673)
(Missing_Corner-case_Handling_4_T_Loop23_TestCase9, YES, 6656)
(Missing_Corner-case_Handling_4_T_Loop36_TestCase2, YES, 2765)
(Missing_Corner-case_Handling_4_T_Loop36_TestCase1, YES, 2692)
(Missing_Corner-case_Handling_4_T_Loop36_TestCase5, YES, 2789)
(Missing_Corner-case_Handling_4_T_Loop50_TestCase8, MAYBE, 6598)
(Missing_Corner-case_Handling_4_T_Loop50_TestCase10, MAYBE, 10604)
(Missing_Corner-case_Handling_4_T_Loop50_TestCase9, MAYBE, 10320)
(Missing_Corner-case_Handling_4_T_Loop36_TestCase4, YES, 2781)
(Missing_Corner-case_Handling_4_T_Loop36_TestCase6, YES, 3610)
(Missing_Corner-case_Handling_4_T_Loop36_TestCase7, YES, 3791)
(Missing_Corner-case_Handling_4_T_Loop23_TestCase10, YES, 6665)
(Missing_Corner-case_Handling_4_T_Loop36_TestCase10, ERROR, 10280)
(Missing_Corner-case_Handling_4_T_Loop50_TestCase7, MAYBE, 4193)
(Missing_Corner-case_Handling_4_T_Loop23_TestCase1, YES, 2716)
(Missing_Corner-case_Handling_4_T_Loop50_TestCase6, YES, 3990)
(Missing_Corner-case_Handling_4_T_Loop36_TestCase9, MAYBE, 13383)
(Missing_Corner-case_Handling_4_T_Loop50_TestCase4, YES, 2941)
(Missing_Corner-case_Handling_4_T_Loop23_TestCase2, YES, 2678)
(Missing_Corner-case_Handling_4_T_Loop23_TestCase3, YES, 2773)
(Missing_Corner-case_Handling_4_T_Loop50_TestCase5, YES, 2900)
(Missing_Corner-case_Handling_4_T_Loop36_TestCase8, MAYBE, 9558)
(Missing_Corner-case_Handling_4_T_Loop23_TestCase7, YES, 3283)
(Missing_Corner-case_Handling_4_T_Loop50_TestCase1, YES, 2884)
(Missing_Corner-case_Handling_4_T_Loop23_TestCase6, YES, 3222)
(Missing_Corner-case_Handling_4_T_Loop23_TestCase4, YES, 2693)
(Missing_Corner-case_Handling_4_T_Loop50_TestCase2, YES, 2892)
(Missing_Corner-case_Handling_4_T_Loop50_TestCase3, YES, 2935)
(Missing_Corner-case_Handling_4_T_Loop23_TestCase5, YES, 2704)</t>
  </si>
  <si>
    <t>(Missing_Corner-case_Handling_4_T_Loop0_TestCase10, MAYBE, 10914)
(Missing_Corner-case_Handling_4_T_Loop0_TestCase1, YES, 3037)
(Missing_Corner-case_Handling_4_T_Loop0_TestCase2, YES, 2943)
(Missing_Corner-case_Handling_4_T_Loop0_TestCase3, YES, 2933)
(Missing_Corner-case_Handling_4_T_Loop0_TestCase7, MAYBE, 4317)
(Missing_Corner-case_Handling_4_T_Loop0_TestCase6, YES, 4085)
(Missing_Corner-case_Handling_4_T_Loop0_TestCase4, YES, 3037)
(Missing_Corner-case_Handling_4_T_Loop0_TestCase5, YES, 2942)
(Missing_Corner-case_Handling_4_T_Loop0_TestCase8, MAYBE, 5520)
(Missing_Corner-case_Handling_4_T_Loop0_TestCase9, MAYBE, 10873)</t>
  </si>
  <si>
    <t>(Missing_Corner-case_Handling_4_T_Loop36_TestCase0, MAYBE, 16615)
(Missing_Corner-case_Handling_4_T_Loop23_TestCase0, YES, 6781)
(Missing_Corner-case_Handling_4_T_Loop50_TestCase0, MAYBE, 10365)</t>
  </si>
  <si>
    <t>(Missing_Corner-case_Handling_4_T_Loop0_TestCase0, MAYBE, 11431)</t>
  </si>
  <si>
    <t>22/25</t>
  </si>
  <si>
    <t>(Missing_Corner-case_Handling_4_NT_Loop51_TestCase5, YES, 2766)
(Missing_Corner-case_Handling_4_NT_Loop37_TestCase8, MAYBE, 9461)
(Missing_Corner-case_Handling_4_NT_Loop24_TestCase9, YES, 6628)
(Missing_Corner-case_Handling_4_NT_Loop24_TestCase8, YES, 4589)
(Missing_Corner-case_Handling_4_NT_Loop37_TestCase9, MAYBE, 13294)
(Missing_Corner-case_Handling_4_NT_Loop51_TestCase4, YES, 2863)
(Missing_Corner-case_Handling_4_NT_Loop51_TestCase6, MAYBE, 3621)
(Missing_Corner-case_Handling_4_NT_Loop51_TestCase7, MAYBE, 3951)
(Missing_Corner-case_Handling_4_NT_Loop51_TestCase3, YES, 2817)
(Missing_Corner-case_Handling_4_NT_Loop51_TestCase2, YES, 2823)
(Missing_Corner-case_Handling_4_NT_Loop51_TestCase1, YES, 2849)
(Missing_Corner-case_Handling_4_NT_Loop37_TestCase1, YES, 2796)
(Missing_Corner-case_Handling_4_NT_Loop51_TestCase10, MAYBE, 7216)
(Missing_Corner-case_Handling_4_NT_Loop24_TestCase1, YES, 2700)
(Missing_Corner-case_Handling_4_NT_Loop37_TestCase2, YES, 2780)
(Missing_Corner-case_Handling_4_NT_Loop24_TestCase3, YES, 2659)
(Missing_Corner-case_Handling_4_NT_Loop24_TestCase2, YES, 2684)
(Missing_Corner-case_Handling_4_NT_Loop37_TestCase3, YES, 2803)
(Missing_Corner-case_Handling_4_NT_Loop37_TestCase7, YES, 3748)
(Missing_Corner-case_Handling_4_NT_Loop24_TestCase6, YES, 3139)
(Missing_Corner-case_Handling_4_NT_Loop24_TestCase7, YES, 3216)
(Missing_Corner-case_Handling_4_NT_Loop37_TestCase6, YES, 3556)
(Missing_Corner-case_Handling_4_NT_Loop51_TestCase9, MAYBE, 7373)
(Missing_Corner-case_Handling_4_NT_Loop37_TestCase4, YES, 2759)
(Missing_Corner-case_Handling_4_NT_Loop24_TestCase5, YES, 2676)
(Missing_Corner-case_Handling_4_NT_Loop24_TestCase4, YES, 2700)
(Missing_Corner-case_Handling_4_NT_Loop37_TestCase5, YES, 2799)
(Missing_Corner-case_Handling_4_NT_Loop51_TestCase8, MAYBE, 5104)
(Missing_Corner-case_Handling_4_NT_Loop24_TestCase10, YES, 6724)
(Missing_Corner-case_Handling_4_NT_Loop37_TestCase10, MAYBE, 13409)</t>
  </si>
  <si>
    <t>(Missing_Corner-case_Handling_4_NT_Loop0_TestCase10, MAYBE, 10979)
(Missing_Corner-case_Handling_4_NT_Loop0_TestCase8, MAYBE, 5556)
(Missing_Corner-case_Handling_4_NT_Loop0_TestCase9, MAYBE, 10939)
(Missing_Corner-case_Handling_4_NT_Loop0_TestCase4, YES, 3000)
(Missing_Corner-case_Handling_4_NT_Loop0_TestCase5, YES, 2997)
(Missing_Corner-case_Handling_4_NT_Loop0_TestCase7, MAYBE, 4320)
(Missing_Corner-case_Handling_4_NT_Loop0_TestCase6, MAYBE, 3882)
(Missing_Corner-case_Handling_4_NT_Loop0_TestCase2, YES, 2934)
(Missing_Corner-case_Handling_4_NT_Loop0_TestCase3, YES, 3045)
(Missing_Corner-case_Handling_4_NT_Loop0_TestCase1, YES, 2974)</t>
  </si>
  <si>
    <t>(Missing_Corner-case_Handling_4_NT_Loop51_TestCase0, MAYBE, 3896)
(Missing_Corner-case_Handling_4_NT_Loop24_TestCase0, YES, 6902)
(Missing_Corner-case_Handling_4_NT_Loop37_TestCase0, MAYBE, 16942)</t>
  </si>
  <si>
    <t>(Missing_Corner-case_Handling_4_NT_Loop0_TestCase0, MAYBE, 4537)</t>
  </si>
  <si>
    <t>(Missing_Corner-case_Handling_3_T_Loop31_TestCase4, ERROR, 300371)
(Missing_Corner-case_Handling_3_T_Loop31_TestCase5, ERROR, 300383)
(Missing_Corner-case_Handling_3_T_Loop21_TestCase1, YES, 4008)
(Missing_Corner-case_Handling_3_T_Loop31_TestCase10, ERROR, 300509)
(Missing_Corner-case_Handling_3_T_Loop21_TestCase3, ERROR, 300496)
(Missing_Corner-case_Handling_3_T_Loop31_TestCase7, ERROR, 300426)
(Missing_Corner-case_Handling_3_T_Loop31_TestCase6, ERROR, 300453)
(Missing_Corner-case_Handling_3_T_Loop21_TestCase2, MAYBE, 8796)
(Missing_Corner-case_Handling_3_T_Loop21_TestCase6, ERROR, 300536)
(Missing_Corner-case_Handling_3_T_Loop33_TestCase9, ERROR, 300483)
(Missing_Corner-case_Handling_3_T_Loop19_TestCase8, ERROR, 300409)
(Missing_Corner-case_Handling_3_T_Loop31_TestCase2, MAYBE, 8546)
(Missing_Corner-case_Handling_3_T_Loop31_TestCase3, ERROR, 300383)
(Missing_Corner-case_Handling_3_T_Loop19_TestCase9, ERROR, 300419)
(Missing_Corner-case_Handling_3_T_Loop33_TestCase8, ERROR, 300411)
(Missing_Corner-case_Handling_3_T_Loop21_TestCase7, ERROR, 300491)
(Missing_Corner-case_Handling_3_T_Loop21_TestCase5, ERROR, 300423)
(Missing_Corner-case_Handling_3_T_Loop31_TestCase1, YES, 3841)
(Missing_Corner-case_Handling_3_T_Loop21_TestCase4, ERROR, 300476)
(Missing_Corner-case_Handling_3_T_Loop33_TestCase10, ERROR, 300385)
(Missing_Corner-case_Handling_3_T_Loop21_TestCase10, ERROR, 300443)
(Missing_Corner-case_Handling_3_T_Loop21_TestCase9, ERROR, 300447)
(Missing_Corner-case_Handling_3_T_Loop33_TestCase6, ERROR, 300394)
(Missing_Corner-case_Handling_3_T_Loop19_TestCase7, ERROR, 300595)
(Missing_Corner-case_Handling_3_T_Loop19_TestCase6, ERROR, 300382)
(Missing_Corner-case_Handling_3_T_Loop33_TestCase7, ERROR, 300402)
(Missing_Corner-case_Handling_3_T_Loop21_TestCase8, ERROR, 300404)
(Missing_Corner-case_Handling_3_T_Loop33_TestCase5, ERROR, 300526)
(Missing_Corner-case_Handling_3_T_Loop19_TestCase4, ERROR, 300456)
(Missing_Corner-case_Handling_3_T_Loop19_TestCase10, ERROR, 300392)
(Missing_Corner-case_Handling_3_T_Loop19_TestCase5, ERROR, 300394)
(Missing_Corner-case_Handling_3_T_Loop33_TestCase4, ERROR, 300448)
(Missing_Corner-case_Handling_3_T_Loop19_TestCase1, YES, 3695)
(Missing_Corner-case_Handling_3_T_Loop33_TestCase1, YES, 3786)
(Missing_Corner-case_Handling_3_T_Loop33_TestCase3, ERROR, 300397)
(Missing_Corner-case_Handling_3_T_Loop19_TestCase2, MAYBE, 8574)
(Missing_Corner-case_Handling_3_T_Loop31_TestCase8, ERROR, 300393)
(Missing_Corner-case_Handling_3_T_Loop31_TestCase9, ERROR, 300407)
(Missing_Corner-case_Handling_3_T_Loop19_TestCase3, ERROR, 300405)
(Missing_Corner-case_Handling_3_T_Loop33_TestCase2, MAYBE, 8515)</t>
  </si>
  <si>
    <t>(Missing_Corner-case_Handling_3_T_Loop0_TestCase10, ERROR, 300432)
(Missing_Corner-case_Handling_3_T_Loop0_TestCase9, ERROR, 300406)
(Missing_Corner-case_Handling_3_T_Loop0_TestCase8, ERROR, 300381)
(Missing_Corner-case_Handling_3_T_Loop0_TestCase6, ERROR, 300439)
(Missing_Corner-case_Handling_3_T_Loop0_TestCase7, ERROR, 300402)
(Missing_Corner-case_Handling_3_T_Loop0_TestCase5, ERROR, 300429)
(Missing_Corner-case_Handling_3_T_Loop0_TestCase4, ERROR, 300393)
(Missing_Corner-case_Handling_3_T_Loop0_TestCase1, YES, 3764)
(Missing_Corner-case_Handling_3_T_Loop0_TestCase3, ERROR, 300384)
(Missing_Corner-case_Handling_3_T_Loop0_TestCase2, MAYBE, 8531)</t>
  </si>
  <si>
    <t>(Missing_Corner-case_Handling_3_T_Loop21_TestCase0, ERROR, 300452)
(Missing_Corner-case_Handling_3_T_Loop31_TestCase0, ERROR, 300409)
(Missing_Corner-case_Handling_3_T_Loop33_TestCase0, ERROR, 300330)
(Missing_Corner-case_Handling_3_T_Loop19_TestCase0, ERROR, 300373)</t>
  </si>
  <si>
    <t>(Missing_Corner-case_Handling_3_T_Loop0_TestCase0, ERROR, 300307)</t>
  </si>
  <si>
    <t>(Missing_Corner-case_Handling_3_NT_Loop21_TestCase10, ERROR, 300387)
(Missing_Corner-case_Handling_3_NT_Loop21_TestCase4, ERROR, 300392)
(Missing_Corner-case_Handling_3_NT_Loop21_TestCase5, ERROR, 300388)
(Missing_Corner-case_Handling_3_NT_Loop31_TestCase1, MAYBE, 12736)
(Missing_Corner-case_Handling_3_NT_Loop33_TestCase10, ERROR, 300402)
(Missing_Corner-case_Handling_3_NT_Loop33_TestCase8, ERROR, 300432)
(Missing_Corner-case_Handling_3_NT_Loop31_TestCase3, ERROR, 300376)
(Missing_Corner-case_Handling_3_NT_Loop19_TestCase9, ERROR, 300404)
(Missing_Corner-case_Handling_3_NT_Loop21_TestCase7, ERROR, 300481)
(Missing_Corner-case_Handling_3_NT_Loop21_TestCase6, ERROR, 300427)
(Missing_Corner-case_Handling_3_NT_Loop19_TestCase8, ERROR, 300397)
(Missing_Corner-case_Handling_3_NT_Loop31_TestCase2, MAYBE, 8616)
(Missing_Corner-case_Handling_3_NT_Loop33_TestCase9, ERROR, 300381)
(Missing_Corner-case_Handling_3_NT_Loop31_TestCase6, ERROR, 300395)
(Missing_Corner-case_Handling_3_NT_Loop21_TestCase2, MAYBE, 8817)
(Missing_Corner-case_Handling_3_NT_Loop21_TestCase3, ERROR, 300365)
(Missing_Corner-case_Handling_3_NT_Loop31_TestCase7, ERROR, 300441)
(Missing_Corner-case_Handling_3_NT_Loop31_TestCase5, ERROR, 300406)
(Missing_Corner-case_Handling_3_NT_Loop21_TestCase1, MAYBE, 13018)
(Missing_Corner-case_Handling_3_NT_Loop31_TestCase4, ERROR, 300414)
(Missing_Corner-case_Handling_3_NT_Loop31_TestCase10, ERROR, 300403)
(Missing_Corner-case_Handling_3_NT_Loop19_TestCase10, ERROR, 300407)
(Missing_Corner-case_Handling_3_NT_Loop33_TestCase2, MAYBE, 8787)
(Missing_Corner-case_Handling_3_NT_Loop31_TestCase9, ERROR, 300406)
(Missing_Corner-case_Handling_3_NT_Loop19_TestCase3, ERROR, 300420)
(Missing_Corner-case_Handling_3_NT_Loop19_TestCase2, MAYBE, 8786)
(Missing_Corner-case_Handling_3_NT_Loop31_TestCase8, ERROR, 300400)
(Missing_Corner-case_Handling_3_NT_Loop33_TestCase3, ERROR, 300361)
(Missing_Corner-case_Handling_3_NT_Loop33_TestCase1, MAYBE, 12870)
(Missing_Corner-case_Handling_3_NT_Loop19_TestCase1, MAYBE, 13269)
(Missing_Corner-case_Handling_3_NT_Loop33_TestCase4, ERROR, 300429)
(Missing_Corner-case_Handling_3_NT_Loop19_TestCase5, ERROR, 300452)
(Missing_Corner-case_Handling_3_NT_Loop19_TestCase4, ERROR, 300413)
(Missing_Corner-case_Handling_3_NT_Loop33_TestCase5, ERROR, 300459)
(Missing_Corner-case_Handling_3_NT_Loop33_TestCase7, ERROR, 300430)
(Missing_Corner-case_Handling_3_NT_Loop19_TestCase6, ERROR, 300423)
(Missing_Corner-case_Handling_3_NT_Loop21_TestCase8, ERROR, 300323)
(Missing_Corner-case_Handling_3_NT_Loop21_TestCase9, ERROR, 300466)
(Missing_Corner-case_Handling_3_NT_Loop19_TestCase7, ERROR, 300435)
(Missing_Corner-case_Handling_3_NT_Loop33_TestCase6, ERROR, 300439)</t>
  </si>
  <si>
    <t>(Missing_Corner-case_Handling_3_NT_Loop0_TestCase10, ERROR, 300435)
(Missing_Corner-case_Handling_3_NT_Loop0_TestCase8, ERROR, 300387)
(Missing_Corner-case_Handling_3_NT_Loop0_TestCase9, ERROR, 300374)
(Missing_Corner-case_Handling_3_NT_Loop0_TestCase7, ERROR, 300389)
(Missing_Corner-case_Handling_3_NT_Loop0_TestCase6, ERROR, 300412)
(Missing_Corner-case_Handling_3_NT_Loop0_TestCase4, ERROR, 300394)
(Missing_Corner-case_Handling_3_NT_Loop0_TestCase5, ERROR, 300440)
(Missing_Corner-case_Handling_3_NT_Loop0_TestCase1, MAYBE, 12776)
(Missing_Corner-case_Handling_3_NT_Loop0_TestCase2, MAYBE, 8544)
(Missing_Corner-case_Handling_3_NT_Loop0_TestCase3, ERROR, 300374)</t>
  </si>
  <si>
    <t>(Missing_Corner-case_Handling_3_NT_Loop31_TestCase0, ERROR, 300380)
(Missing_Corner-case_Handling_3_NT_Loop21_TestCase0, ERROR, 300391)
(Missing_Corner-case_Handling_3_NT_Loop19_TestCase0, ERROR, 300426)
(Missing_Corner-case_Handling_3_NT_Loop33_TestCase0, ERROR, 300303)</t>
  </si>
  <si>
    <t>(Missing_Corner-case_Handling_3_NT_Loop0_TestCase0, ERROR, 300310)</t>
  </si>
  <si>
    <t>(Missing_Corner-case_Handling_2_T_Loop16_TestCase1, YES, 2652)
(Missing_Corner-case_Handling_2_T_Loop16_TestCase2, MAYBE, 2536)
(Missing_Corner-case_Handling_2_T_Loop16_TestCase3, MAYBE, 2496)
(Missing_Corner-case_Handling_2_T_Loop16_TestCase7, YES, 2594)
(Missing_Corner-case_Handling_2_T_Loop16_TestCase6, YES, 2589)
(Missing_Corner-case_Handling_2_T_Loop16_TestCase4, MAYBE, 2578)
(Missing_Corner-case_Handling_2_T_Loop16_TestCase5, MAYBE, 2592)
(Missing_Corner-case_Handling_2_T_Loop16_TestCase10, YES, 2564)
(Missing_Corner-case_Handling_2_T_Loop16_TestCase8, YES, 2620)
(Missing_Corner-case_Handling_2_T_Loop16_TestCase9, YES, 2632)</t>
  </si>
  <si>
    <t>(Missing_Corner-case_Handling_2_T_Loop0_TestCase5, MAYBE, 2669)
(Missing_Corner-case_Handling_2_T_Loop0_TestCase4, MAYBE, 2666)
(Missing_Corner-case_Handling_2_T_Loop0_TestCase6, YES, 2644)
(Missing_Corner-case_Handling_2_T_Loop0_TestCase7, YES, 2755)
(Missing_Corner-case_Handling_2_T_Loop0_TestCase3, MAYBE, 2696)
(Missing_Corner-case_Handling_2_T_Loop0_TestCase2, MAYBE, 2553)
(Missing_Corner-case_Handling_2_T_Loop0_TestCase1, YES, 2673)
(Missing_Corner-case_Handling_2_T_Loop0_TestCase10, YES, 2720)
(Missing_Corner-case_Handling_2_T_Loop0_TestCase9, YES, 2770)
(Missing_Corner-case_Handling_2_T_Loop0_TestCase8, YES, 2721)</t>
  </si>
  <si>
    <t>(Missing_Corner-case_Handling_2_T_Loop16_TestCase0, MAYBE, 2541)</t>
  </si>
  <si>
    <t>(Missing_Corner-case_Handling_2_T_Loop0_TestCase0, MAYBE, 2635)</t>
  </si>
  <si>
    <t>(Missing_Corner-case_Handling_2_NT_Loop17_TestCase2, MAYBE, 2561)
(Missing_Corner-case_Handling_2_NT_Loop17_TestCase3, MAYBE, 2506)
(Missing_Corner-case_Handling_2_NT_Loop17_TestCase1, YES, 2608)
(Missing_Corner-case_Handling_2_NT_Loop17_TestCase4, MAYBE, 2562)
(Missing_Corner-case_Handling_2_NT_Loop17_TestCase5, MAYBE, 2569)
(Missing_Corner-case_Handling_2_NT_Loop17_TestCase7, MAYBE, 2504)
(Missing_Corner-case_Handling_2_NT_Loop17_TestCase6, MAYBE, 2535)
(Missing_Corner-case_Handling_2_NT_Loop17_TestCase8, MAYBE, 2578)
(Missing_Corner-case_Handling_2_NT_Loop17_TestCase9, MAYBE, 2500)
(Missing_Corner-case_Handling_2_NT_Loop17_TestCase10, MAYBE, 2551)</t>
  </si>
  <si>
    <t>(Missing_Corner-case_Handling_2_NT_Loop0_TestCase9, MAYBE, 2714)
(Missing_Corner-case_Handling_2_NT_Loop0_TestCase8, MAYBE, 2674)
(Missing_Corner-case_Handling_2_NT_Loop0_TestCase10, MAYBE, 2676)
(Missing_Corner-case_Handling_2_NT_Loop0_TestCase3, MAYBE, 2642)
(Missing_Corner-case_Handling_2_NT_Loop0_TestCase2, MAYBE, 2682)
(Missing_Corner-case_Handling_2_NT_Loop0_TestCase1, YES, 2671)
(Missing_Corner-case_Handling_2_NT_Loop0_TestCase5, MAYBE, 2678)
(Missing_Corner-case_Handling_2_NT_Loop0_TestCase4, MAYBE, 2634)
(Missing_Corner-case_Handling_2_NT_Loop0_TestCase6, MAYBE, 2576)
(Missing_Corner-case_Handling_2_NT_Loop0_TestCase7, MAYBE, 2671)</t>
  </si>
  <si>
    <t>(Missing_Corner-case_Handling_2_NT_Loop17_TestCase0, MAYBE, 2537)</t>
  </si>
  <si>
    <t>(Missing_Corner-case_Handling_2_NT_Loop0_TestCase0, MAYBE, 2691)</t>
  </si>
  <si>
    <t>(Missing_Corner-case_Handling_1_T_Loop40_TestCase8, YES, 5014)
(Missing_Corner-case_Handling_1_T_Loop40_TestCase9, YES, 3142)
(Missing_Corner-case_Handling_1_T_Loop40_TestCase1, YES, 3038)
(Missing_Corner-case_Handling_1_T_Loop40_TestCase2, YES, 3035)
(Missing_Corner-case_Handling_1_T_Loop40_TestCase3, YES, 3001)
(Missing_Corner-case_Handling_1_T_Loop40_TestCase7, YES, 4610)
(Missing_Corner-case_Handling_1_T_Loop40_TestCase6, YES, 4626)
(Missing_Corner-case_Handling_1_T_Loop40_TestCase4, YES, 3008)
(Missing_Corner-case_Handling_1_T_Loop40_TestCase5, YES, 3077)
(Missing_Corner-case_Handling_1_T_Loop40_TestCase10, YES, 3154)</t>
  </si>
  <si>
    <t>(Missing_Corner-case_Handling_1_T_Loop0_TestCase8, YES, 5014)
(Missing_Corner-case_Handling_1_T_Loop0_TestCase9, YES, 3107)
(Missing_Corner-case_Handling_1_T_Loop0_TestCase10, YES, 3165)
(Missing_Corner-case_Handling_1_T_Loop0_TestCase1, YES, 3031)
(Missing_Corner-case_Handling_1_T_Loop0_TestCase2, YES, 3199)
(Missing_Corner-case_Handling_1_T_Loop0_TestCase3, YES, 3026)
(Missing_Corner-case_Handling_1_T_Loop0_TestCase7, YES, 4399)
(Missing_Corner-case_Handling_1_T_Loop0_TestCase6, YES, 4450)
(Missing_Corner-case_Handling_1_T_Loop0_TestCase4, YES, 2993)
(Missing_Corner-case_Handling_1_T_Loop0_TestCase5, YES, 3010)</t>
  </si>
  <si>
    <t>(Missing_Corner-case_Handling_1_T_Loop40_TestCase0, YES, 5148)</t>
  </si>
  <si>
    <t>(Missing_Corner-case_Handling_1_T_Loop0_TestCase0, YES, 5132)</t>
  </si>
  <si>
    <t>(Missing_Corner-case_Handling_1_NT_Loop40_TestCase5, NO, 6928)
(Missing_Corner-case_Handling_1_NT_Loop40_TestCase4, NO, 6311)
(Missing_Corner-case_Handling_1_NT_Loop40_TestCase6, NO, 7408)
(Missing_Corner-case_Handling_1_NT_Loop40_TestCase7, NO, 7471)
(Missing_Corner-case_Handling_1_NT_Loop40_TestCase3, NO, 6613)
(Missing_Corner-case_Handling_1_NT_Loop40_TestCase2, NO, 6927)
(Missing_Corner-case_Handling_1_NT_Loop40_TestCase1, NO, 6795)
(Missing_Corner-case_Handling_1_NT_Loop40_TestCase10, NO, 7602)
(Missing_Corner-case_Handling_1_NT_Loop40_TestCase9, NO, 6686)
(Missing_Corner-case_Handling_1_NT_Loop40_TestCase8, NO, 7581)</t>
  </si>
  <si>
    <t>(Missing_Corner-case_Handling_1_NT_Loop0_TestCase9, NO, 6686)
(Missing_Corner-case_Handling_1_NT_Loop0_TestCase8, NO, 6593)
(Missing_Corner-case_Handling_1_NT_Loop0_TestCase6, NO, 6308)
(Missing_Corner-case_Handling_1_NT_Loop0_TestCase7, NO, 6861)
(Missing_Corner-case_Handling_1_NT_Loop0_TestCase5, NO, 6810)
(Missing_Corner-case_Handling_1_NT_Loop0_TestCase4, NO, 6629)
(Missing_Corner-case_Handling_1_NT_Loop0_TestCase1, NO, 6561)
(Missing_Corner-case_Handling_1_NT_Loop0_TestCase10, NO, 6210)
(Missing_Corner-case_Handling_1_NT_Loop0_TestCase3, NO, 6240)
(Missing_Corner-case_Handling_1_NT_Loop0_TestCase2, NO, 6423)</t>
  </si>
  <si>
    <t>(Missing_Corner-case_Handling_1_NT_Loop40_TestCase0, NO, 7639)</t>
  </si>
  <si>
    <t>(Missing_Corner-case_Handling_1_NT_Loop0_TestCase0, NO, 6973)</t>
  </si>
  <si>
    <t>(Incorrect_Update_for_Loop_Iterator_3_NT_Loop18_TestCase4, YES, 4481)
(Incorrect_Update_for_Loop_Iterator_3_NT_Loop18_TestCase5, YES, 4609)
(Incorrect_Update_for_Loop_Iterator_3_NT_Loop18_TestCase7, MAYBE, 6208)
(Incorrect_Update_for_Loop_Iterator_3_NT_Loop18_TestCase6, NO, 5814)
(Incorrect_Update_for_Loop_Iterator_3_NT_Loop18_TestCase2, YES, 4267)
(Incorrect_Update_for_Loop_Iterator_3_NT_Loop18_TestCase3, YES, 2781)
(Incorrect_Update_for_Loop_Iterator_3_NT_Loop18_TestCase1, YES, 4355)
(Incorrect_Update_for_Loop_Iterator_3_NT_Loop18_TestCase8, MAYBE, 6238)
(Incorrect_Update_for_Loop_Iterator_3_NT_Loop18_TestCase10, MAYBE, 6242)
(Incorrect_Update_for_Loop_Iterator_3_NT_Loop18_TestCase9, MAYBE, 6388)</t>
  </si>
  <si>
    <t>(Incorrect_Update_for_Loop_Iterator_3_NT_Loop0_TestCase8, MAYBE, 6799)
(Incorrect_Update_for_Loop_Iterator_3_NT_Loop0_TestCase9, MAYBE, 6766)
(Incorrect_Update_for_Loop_Iterator_3_NT_Loop0_TestCase10, MAYBE, 6601)
(Incorrect_Update_for_Loop_Iterator_3_NT_Loop0_TestCase2, YES, 4544)
(Incorrect_Update_for_Loop_Iterator_3_NT_Loop0_TestCase3, YES, 2811)
(Incorrect_Update_for_Loop_Iterator_3_NT_Loop0_TestCase1, YES, 4460)
(Incorrect_Update_for_Loop_Iterator_3_NT_Loop0_TestCase4, YES, 4609)
(Incorrect_Update_for_Loop_Iterator_3_NT_Loop0_TestCase5, YES, 4786)
(Incorrect_Update_for_Loop_Iterator_3_NT_Loop0_TestCase7, MAYBE, 6861)
(Incorrect_Update_for_Loop_Iterator_3_NT_Loop0_TestCase6, NO, 6515)</t>
  </si>
  <si>
    <t>(Incorrect_Update_for_Loop_Iterator_3_NT_Loop18_TestCase0, NO, 10851)</t>
  </si>
  <si>
    <t>(Incorrect_Update_for_Loop_Iterator_3_NT_Loop0_TestCase0, NO, 16400)</t>
  </si>
  <si>
    <t>(Incorrect_Update_for_Loop_Iterator_2_T_Loop14_TestCase9, MAYBE, 4968)
(Incorrect_Update_for_Loop_Iterator_2_T_Loop14_TestCase8, MAYBE, 4983)
(Incorrect_Update_for_Loop_Iterator_2_T_Loop14_TestCase10, MAYBE, 4836)
(Incorrect_Update_for_Loop_Iterator_2_T_Loop14_TestCase6, MAYBE, 5022)
(Incorrect_Update_for_Loop_Iterator_2_T_Loop14_TestCase7, MAYBE, 5003)
(Incorrect_Update_for_Loop_Iterator_2_T_Loop14_TestCase5, MAYBE, 4877)
(Incorrect_Update_for_Loop_Iterator_2_T_Loop14_TestCase4, MAYBE, 4876)
(Incorrect_Update_for_Loop_Iterator_2_T_Loop14_TestCase1, YES, 2538)
(Incorrect_Update_for_Loop_Iterator_2_T_Loop14_TestCase3, MAYBE, 4999)
(Incorrect_Update_for_Loop_Iterator_2_T_Loop14_TestCase2, MAYBE, 4957)</t>
  </si>
  <si>
    <t>(Incorrect_Update_for_Loop_Iterator_2_T_Loop0_TestCase8, ERROR, 300760)
(Incorrect_Update_for_Loop_Iterator_2_T_Loop0_TestCase9, ERROR, 300550)
(Incorrect_Update_for_Loop_Iterator_2_T_Loop0_TestCase10, ERROR, 300782)
(Incorrect_Update_for_Loop_Iterator_2_T_Loop0_TestCase1, YES, 2729)
(Incorrect_Update_for_Loop_Iterator_2_T_Loop0_TestCase2, YES, 2626)
(Incorrect_Update_for_Loop_Iterator_2_T_Loop0_TestCase3, YES, 3643)
(Incorrect_Update_for_Loop_Iterator_2_T_Loop0_TestCase7, YES, 2638)
(Incorrect_Update_for_Loop_Iterator_2_T_Loop0_TestCase6, YES, 2909)
(Incorrect_Update_for_Loop_Iterator_2_T_Loop0_TestCase4, YES, 4708)
(Incorrect_Update_for_Loop_Iterator_2_T_Loop0_TestCase5, ERROR, 300722)</t>
  </si>
  <si>
    <t>(Incorrect_Update_for_Loop_Iterator_2_T_Loop14_TestCase0, MAYBE, 5040)</t>
  </si>
  <si>
    <t>(Incorrect_Update_for_Loop_Iterator_2_T_Loop0_TestCase0, ERROR, 300591)</t>
  </si>
  <si>
    <t>(Incorrect_Update_for_Loop_Iterator_2_NT_Loop15_TestCase9, MAYBE, 4720)
(Incorrect_Update_for_Loop_Iterator_2_NT_Loop15_TestCase8, MAYBE, 4657)
(Incorrect_Update_for_Loop_Iterator_2_NT_Loop15_TestCase1, YES, 2537)
(Incorrect_Update_for_Loop_Iterator_2_NT_Loop15_TestCase3, MAYBE, 4588)
(Incorrect_Update_for_Loop_Iterator_2_NT_Loop15_TestCase2, MAYBE, 4474)
(Incorrect_Update_for_Loop_Iterator_2_NT_Loop15_TestCase6, MAYBE, 4678)
(Incorrect_Update_for_Loop_Iterator_2_NT_Loop15_TestCase7, MAYBE, 4687)
(Incorrect_Update_for_Loop_Iterator_2_NT_Loop15_TestCase5, MAYBE, 4781)
(Incorrect_Update_for_Loop_Iterator_2_NT_Loop15_TestCase4, MAYBE, 4581)
(Incorrect_Update_for_Loop_Iterator_2_NT_Loop15_TestCase10, MAYBE, 4668)</t>
  </si>
  <si>
    <t>(Incorrect_Update_for_Loop_Iterator_2_NT_Loop0_TestCase9, NO, 4213)
(Incorrect_Update_for_Loop_Iterator_2_NT_Loop0_TestCase8, NO, 4173)
(Incorrect_Update_for_Loop_Iterator_2_NT_Loop0_TestCase6, NO, 4387)
(Incorrect_Update_for_Loop_Iterator_2_NT_Loop0_TestCase10, NO, 4175)
(Incorrect_Update_for_Loop_Iterator_2_NT_Loop0_TestCase7, NO, 4201)
(Incorrect_Update_for_Loop_Iterator_2_NT_Loop0_TestCase5, NO, 4297)
(Incorrect_Update_for_Loop_Iterator_2_NT_Loop0_TestCase4, ERROR, 300922)
(Incorrect_Update_for_Loop_Iterator_2_NT_Loop0_TestCase1, YES, 2544)
(Incorrect_Update_for_Loop_Iterator_2_NT_Loop0_TestCase3, YES, 4484)
(Incorrect_Update_for_Loop_Iterator_2_NT_Loop0_TestCase2, YES, 2623)</t>
  </si>
  <si>
    <t>(Incorrect_Update_for_Loop_Iterator_2_NT_Loop15_TestCase0, MAYBE, 4564)</t>
  </si>
  <si>
    <t>(Incorrect_Update_for_Loop_Iterator_2_NT_Loop0_TestCase0, ERROR, 300862)</t>
  </si>
  <si>
    <t>(Incorrect_Update_for_Loop_Iterator_1_T_Loop19_TestCase9, YES, 2949)
(Incorrect_Update_for_Loop_Iterator_1_T_Loop19_TestCase10, YES, 2968)
(Incorrect_Update_for_Loop_Iterator_1_T_Loop19_TestCase8, YES, 2901)
(Incorrect_Update_for_Loop_Iterator_1_T_Loop19_TestCase3, YES, 2951)
(Incorrect_Update_for_Loop_Iterator_1_T_Loop19_TestCase2, YES, 2853)
(Incorrect_Update_for_Loop_Iterator_1_T_Loop19_TestCase1, YES, 2928)
(Incorrect_Update_for_Loop_Iterator_1_T_Loop19_TestCase5, YES, 2961)
(Incorrect_Update_for_Loop_Iterator_1_T_Loop19_TestCase4, YES, 2943)
(Incorrect_Update_for_Loop_Iterator_1_T_Loop19_TestCase6, YES, 2950)
(Incorrect_Update_for_Loop_Iterator_1_T_Loop19_TestCase7, YES, 2840)</t>
  </si>
  <si>
    <t>(Incorrect_Update_for_Loop_Iterator_1_T_Loop0_TestCase5, YES, 2953)
(Incorrect_Update_for_Loop_Iterator_1_T_Loop0_TestCase4, YES, 2869)
(Incorrect_Update_for_Loop_Iterator_1_T_Loop0_TestCase6, YES, 2938)
(Incorrect_Update_for_Loop_Iterator_1_T_Loop0_TestCase7, YES, 2931)
(Incorrect_Update_for_Loop_Iterator_1_T_Loop0_TestCase3, YES, 2937)
(Incorrect_Update_for_Loop_Iterator_1_T_Loop0_TestCase2, YES, 2953)
(Incorrect_Update_for_Loop_Iterator_1_T_Loop0_TestCase10, YES, 2923)
(Incorrect_Update_for_Loop_Iterator_1_T_Loop0_TestCase1, YES, 2935)
(Incorrect_Update_for_Loop_Iterator_1_T_Loop0_TestCase9, YES, 2917)
(Incorrect_Update_for_Loop_Iterator_1_T_Loop0_TestCase8, YES, 2960)</t>
  </si>
  <si>
    <t>(Incorrect_Update_for_Loop_Iterator_1_T_Loop19_TestCase0, YES, 3751)</t>
  </si>
  <si>
    <t>(Incorrect_Update_for_Loop_Iterator_1_T_Loop0_TestCase0, YES, 3970)</t>
  </si>
  <si>
    <t>(Incorrect_Update_for_Loop_Iterator_1_NT_Loop19_TestCase2, YES, 6559)
(Incorrect_Update_for_Loop_Iterator_1_NT_Loop19_TestCase3, YES, 6529)
(Incorrect_Update_for_Loop_Iterator_1_NT_Loop19_TestCase1, YES, 6682)
(Incorrect_Update_for_Loop_Iterator_1_NT_Loop19_TestCase10, NO, 6042)
(Incorrect_Update_for_Loop_Iterator_1_NT_Loop19_TestCase4, YES, 5886)
(Incorrect_Update_for_Loop_Iterator_1_NT_Loop19_TestCase5, YES, 6203)
(Incorrect_Update_for_Loop_Iterator_1_NT_Loop19_TestCase7, MAYBE, 8829)
(Incorrect_Update_for_Loop_Iterator_1_NT_Loop19_TestCase6, MAYBE, 8215)
(Incorrect_Update_for_Loop_Iterator_1_NT_Loop19_TestCase8, NO, 7503)
(Incorrect_Update_for_Loop_Iterator_1_NT_Loop19_TestCase9, NO, 6795)</t>
  </si>
  <si>
    <t>(Incorrect_Update_for_Loop_Iterator_1_NT_Loop0_TestCase9, NO, 6676)
(Incorrect_Update_for_Loop_Iterator_1_NT_Loop0_TestCase8, NO, 7473)
(Incorrect_Update_for_Loop_Iterator_1_NT_Loop0_TestCase10, NO, 6103)
(Incorrect_Update_for_Loop_Iterator_1_NT_Loop0_TestCase3, YES, 6557)
(Incorrect_Update_for_Loop_Iterator_1_NT_Loop0_TestCase2, YES, 6626)
(Incorrect_Update_for_Loop_Iterator_1_NT_Loop0_TestCase1, YES, 6649)
(Incorrect_Update_for_Loop_Iterator_1_NT_Loop0_TestCase5, YES, 6087)
(Incorrect_Update_for_Loop_Iterator_1_NT_Loop0_TestCase4, YES, 6166)
(Incorrect_Update_for_Loop_Iterator_1_NT_Loop0_TestCase6, NO, 8073)
(Incorrect_Update_for_Loop_Iterator_1_NT_Loop0_TestCase7, MAYBE, 8938)</t>
  </si>
  <si>
    <t>(Incorrect_Update_for_Loop_Iterator_1_NT_Loop19_TestCase0, ERROR, 300780)</t>
  </si>
  <si>
    <t>(Incorrect_Update_for_Loop_Iterator_1_NT_Loop0_TestCase0, MAYBE, 272179)</t>
  </si>
  <si>
    <t>(Incorrect_Initialization_4_T_Loop20_TestCase7, YES, 4257)
(Incorrect_Initialization_4_T_Loop20_TestCase6, YES, 4329)
(Incorrect_Initialization_4_T_Loop20_TestCase4, YES, 2968)
(Incorrect_Initialization_4_T_Loop20_TestCase5, YES, 2960)
(Incorrect_Initialization_4_T_Loop20_TestCase1, YES, 2997)
(Incorrect_Initialization_4_T_Loop20_TestCase2, YES, 3052)
(Incorrect_Initialization_4_T_Loop20_TestCase3, YES, 3001)
(Incorrect_Initialization_4_T_Loop20_TestCase10, YES, 4788)
(Incorrect_Initialization_4_T_Loop20_TestCase8, YES, 4719)
(Incorrect_Initialization_4_T_Loop20_TestCase9, YES, 4238)</t>
  </si>
  <si>
    <t>(Incorrect_Initialization_4_T_Loop0_TestCase8, YES, 4767)
(Incorrect_Initialization_4_T_Loop0_TestCase9, YES, 4213)
(Incorrect_Initialization_4_T_Loop0_TestCase10, YES, 4846)
(Incorrect_Initialization_4_T_Loop0_TestCase7, YES, 4273)
(Incorrect_Initialization_4_T_Loop0_TestCase6, YES, 4174)
(Incorrect_Initialization_4_T_Loop0_TestCase4, YES, 2981)
(Incorrect_Initialization_4_T_Loop0_TestCase5, YES, 3007)
(Incorrect_Initialization_4_T_Loop0_TestCase1, YES, 2947)
(Incorrect_Initialization_4_T_Loop0_TestCase2, YES, 3025)
(Incorrect_Initialization_4_T_Loop0_TestCase3, YES, 2941)</t>
  </si>
  <si>
    <t>(Incorrect_Initialization_4_T_Loop20_TestCase0, YES, 8962)</t>
  </si>
  <si>
    <t>(Incorrect_Initialization_4_T_Loop0_TestCase0, YES, 9311)</t>
  </si>
  <si>
    <t>(Incorrect_Initialization_4_NT_Loop19_TestCase2, YES, 3051)
(Incorrect_Initialization_4_NT_Loop19_TestCase3, YES, 2976)
(Incorrect_Initialization_4_NT_Loop19_TestCase1, YES, 2939)
(Incorrect_Initialization_4_NT_Loop19_TestCase4, YES, 3018)
(Incorrect_Initialization_4_NT_Loop19_TestCase5, YES, 2994)
(Incorrect_Initialization_4_NT_Loop19_TestCase7, NO, 7286)
(Incorrect_Initialization_4_NT_Loop19_TestCase6, NO, 7479)
(Incorrect_Initialization_4_NT_Loop19_TestCase10, NO, 7508)
(Incorrect_Initialization_4_NT_Loop19_TestCase8, NO, 7327)
(Incorrect_Initialization_4_NT_Loop19_TestCase9, NO, 7464)</t>
  </si>
  <si>
    <t>(Incorrect_Initialization_4_NT_Loop0_TestCase7, NO, 7068)
(Incorrect_Initialization_4_NT_Loop0_TestCase6, NO, 7231)
(Incorrect_Initialization_4_NT_Loop0_TestCase4, YES, 2941)
(Incorrect_Initialization_4_NT_Loop0_TestCase5, YES, 3020)
(Incorrect_Initialization_4_NT_Loop0_TestCase1, YES, 2989)
(Incorrect_Initialization_4_NT_Loop0_TestCase2, YES, 2877)
(Incorrect_Initialization_4_NT_Loop0_TestCase3, YES, 2980)
(Incorrect_Initialization_4_NT_Loop0_TestCase8, NO, 7338)
(Incorrect_Initialization_4_NT_Loop0_TestCase9, NO, 7513)
(Incorrect_Initialization_4_NT_Loop0_TestCase10, NO, 7289)</t>
  </si>
  <si>
    <t>(Incorrect_Initialization_4_NT_Loop19_TestCase0, ERROR, 300886)</t>
  </si>
  <si>
    <t>(Incorrect_Initialization_4_NT_Loop0_TestCase0, ERROR, 301086)</t>
  </si>
  <si>
    <t>(Incorrect_Initialization_3_T_Loop10_TestCase0, MAYBE, 7079)
(Incorrect_Initialization_3_T_Loop21_TestCase0, YES, 5569)
(Incorrect_Initialization_3_T_Loop25_TestCase0, YES, 8664)</t>
  </si>
  <si>
    <t>(Incorrect_Initialization_3_T_Loop0_TestCase0, ERROR, 300383)</t>
  </si>
  <si>
    <t>(Incorrect_Initialization_3_T_Loop10_TestCase0, MAYBE, 7156)
(Incorrect_Initialization_3_T_Loop21_TestCase0, YES, 5452)
(Incorrect_Initialization_3_T_Loop25_TestCase0, YES, 8494)</t>
  </si>
  <si>
    <t>(Incorrect_Initialization_3_T_Loop0_TestCase0, ERROR, 300392)</t>
  </si>
  <si>
    <t>(Incorrect_Initialization_3_NT_Loop10_TestCase0, MAYBE, 10826)
(Incorrect_Initialization_3_NT_Loop25_TestCase0, MAYBE, 10627)
(Incorrect_Initialization_3_NT_Loop21_TestCase0, YES, 5645)</t>
  </si>
  <si>
    <t>(Incorrect_Initialization_3_NT_Loop0_TestCase0, MAYBE, 11237)</t>
  </si>
  <si>
    <t>(Incorrect_Initialization_3_NT_Loop10_TestCase0, MAYBE, 10708)
(Incorrect_Initialization_3_NT_Loop25_TestCase0, MAYBE, 10713)
(Incorrect_Initialization_3_NT_Loop21_TestCase0, YES, 5748)</t>
  </si>
  <si>
    <t>(Incorrect_Initialization_3_NT_Loop0_TestCase0, MAYBE, 11412)</t>
  </si>
  <si>
    <t>(Incorrect_Initialization_2_T_Loop26_TestCase9, YES, 6437)
(Incorrect_Initialization_2_T_Loop26_TestCase8, YES, 6027)
(Incorrect_Initialization_2_T_Loop29_TestCase1, YES, 3132)
(Incorrect_Initialization_2_T_Loop26_TestCase10, YES, 5889)
(Incorrect_Initialization_2_T_Loop29_TestCase10, YES, 5652)
(Incorrect_Initialization_2_T_Loop29_TestCase2, ERROR, 300685)
(Incorrect_Initialization_2_T_Loop29_TestCase3, ERROR, 300576)
(Incorrect_Initialization_2_T_Loop29_TestCase7, YES, 5964)
(Incorrect_Initialization_2_T_Loop29_TestCase6, YES, 5783)
(Incorrect_Initialization_2_T_Loop29_TestCase4, MAYBE, 8077)
(Incorrect_Initialization_2_T_Loop29_TestCase5, MAYBE, 8177)
(Incorrect_Initialization_2_T_Loop29_TestCase8, YES, 6217)
(Incorrect_Initialization_2_T_Loop29_TestCase9, YES, 6211)
(Incorrect_Initialization_2_T_Loop26_TestCase3, ERROR, 300764)
(Incorrect_Initialization_2_T_Loop26_TestCase2, ERROR, 300618)
(Incorrect_Initialization_2_T_Loop26_TestCase1, YES, 3191)
(Incorrect_Initialization_2_T_Loop26_TestCase5, MAYBE, 8527)
(Incorrect_Initialization_2_T_Loop26_TestCase4, MAYBE, 8379)
(Incorrect_Initialization_2_T_Loop26_TestCase6, YES, 5675)
(Incorrect_Initialization_2_T_Loop26_TestCase7, YES, 6029)</t>
  </si>
  <si>
    <t>(Incorrect_Initialization_2_T_Loop0_TestCase9, YES, 5065)
(Incorrect_Initialization_2_T_Loop0_TestCase8, YES, 5213)
(Incorrect_Initialization_2_T_Loop0_TestCase3, ERROR, 300610)
(Incorrect_Initialization_2_T_Loop0_TestCase2, ERROR, 300529)
(Incorrect_Initialization_2_T_Loop0_TestCase1, YES, 3009)
(Incorrect_Initialization_2_T_Loop0_TestCase5, MAYBE, 6747)
(Incorrect_Initialization_2_T_Loop0_TestCase4, MAYBE, 7472)
(Incorrect_Initialization_2_T_Loop0_TestCase10, YES, 5141)
(Incorrect_Initialization_2_T_Loop0_TestCase6, YES, 5176)
(Incorrect_Initialization_2_T_Loop0_TestCase7, YES, 5187)</t>
  </si>
  <si>
    <t>(Incorrect_Initialization_2_T_Loop29_TestCase0, MAYBE, 22283)
(Incorrect_Initialization_2_T_Loop26_TestCase0, MAYBE, 22396)</t>
  </si>
  <si>
    <t>(Incorrect_Initialization_2_T_Loop0_TestCase0, MAYBE, 20868)</t>
  </si>
  <si>
    <t>(Incorrect_Initialization_2_NT_Loop31_TestCase7, NO, 5764)
(Incorrect_Initialization_2_NT_Loop31_TestCase6, NO, 5736)
(Incorrect_Initialization_2_NT_Loop31_TestCase4, MAYBE, 18225)
(Incorrect_Initialization_2_NT_Loop31_TestCase5, MAYBE, 9531)
(Incorrect_Initialization_2_NT_Loop31_TestCase1, YES, 3148)
(Incorrect_Initialization_2_NT_Loop31_TestCase2, MAYBE, 8354)
(Incorrect_Initialization_2_NT_Loop31_TestCase3, MAYBE, 7655)
(Incorrect_Initialization_2_NT_Loop29_TestCase9, NO, 5439)
(Incorrect_Initialization_2_NT_Loop29_TestCase8, NO, 5763)
(Incorrect_Initialization_2_NT_Loop29_TestCase5, MAYBE, 9373)
(Incorrect_Initialization_2_NT_Loop29_TestCase4, MAYBE, 18204)
(Incorrect_Initialization_2_NT_Loop29_TestCase6, NO, 5322)
(Incorrect_Initialization_2_NT_Loop31_TestCase10, NO, 5653)
(Incorrect_Initialization_2_NT_Loop29_TestCase7, NO, 5471)
(Incorrect_Initialization_2_NT_Loop29_TestCase3, MAYBE, 7577)
(Incorrect_Initialization_2_NT_Loop29_TestCase2, MAYBE, 8380)
(Incorrect_Initialization_2_NT_Loop29_TestCase1, YES, 3142)
(Incorrect_Initialization_2_NT_Loop31_TestCase8, NO, 5665)
(Incorrect_Initialization_2_NT_Loop31_TestCase9, NO, 5740)
(Incorrect_Initialization_2_NT_Loop29_TestCase10, NO, 5332)</t>
  </si>
  <si>
    <t>(Incorrect_Initialization_2_NT_Loop0_TestCase10, NO, 4919)
(Incorrect_Initialization_2_NT_Loop0_TestCase1, YES, 3030)
(Incorrect_Initialization_2_NT_Loop0_TestCase3, MAYBE, 7035)
(Incorrect_Initialization_2_NT_Loop0_TestCase2, MAYBE, 7638)
(Incorrect_Initialization_2_NT_Loop0_TestCase6, NO, 4924)
(Incorrect_Initialization_2_NT_Loop0_TestCase7, NO, 4949)
(Incorrect_Initialization_2_NT_Loop0_TestCase5, MAYBE, 8480)
(Incorrect_Initialization_2_NT_Loop0_TestCase4, MAYBE, 16574)
(Incorrect_Initialization_2_NT_Loop0_TestCase9, NO, 4894)
(Incorrect_Initialization_2_NT_Loop0_TestCase8, NO, 4941)</t>
  </si>
  <si>
    <t>(Incorrect_Initialization_2_NT_Loop31_TestCase0, MAYBE, 28913)
(Incorrect_Initialization_2_NT_Loop29_TestCase0, MAYBE, 28780)</t>
  </si>
  <si>
    <t>(Incorrect_Initialization_2_NT_Loop0_TestCase0, MAYBE, 14821)</t>
  </si>
  <si>
    <t>10/40</t>
  </si>
  <si>
    <t>(Incorrect_Initialization_1_T_Loop18_TestCase8, MAYBE, 10949)
(Incorrect_Initialization_1_T_Loop35_TestCase10, MAYBE, 16609)
(Incorrect_Initialization_1_T_Loop18_TestCase9, ERROR, 300424)
(Incorrect_Initialization_1_T_Loop35_TestCase8, MAYBE, 10925)
(Incorrect_Initialization_1_T_Loop31_TestCase9, YES, 4383)
(Incorrect_Initialization_1_T_Loop31_TestCase8, YES, 4636)
(Incorrect_Initialization_1_T_Loop35_TestCase9, ERROR, 300387)
(Incorrect_Initialization_1_T_Loop31_TestCase10, YES, 5967)
(Incorrect_Initialization_1_T_Loop15_TestCase8, MAYBE, 11097)
(Incorrect_Initialization_1_T_Loop15_TestCase9, ERROR, 300397)
(Incorrect_Initialization_1_T_Loop15_TestCase2, MAYBE, 16476)
(Incorrect_Initialization_1_T_Loop15_TestCase3, MAYBE, 14352)
(Incorrect_Initialization_1_T_Loop15_TestCase1, ERROR, 300421)
(Incorrect_Initialization_1_T_Loop15_TestCase4, ERROR, 300409)
(Incorrect_Initialization_1_T_Loop15_TestCase5, MAYBE, 14220)
(Incorrect_Initialization_1_T_Loop18_TestCase10, MAYBE, 17268)
(Incorrect_Initialization_1_T_Loop15_TestCase7, ERROR, 300398)
(Incorrect_Initialization_1_T_Loop15_TestCase6, ERROR, 300394)
(Incorrect_Initialization_1_T_Loop35_TestCase7, ERROR, 300388)
(Incorrect_Initialization_1_T_Loop31_TestCase6, YES, 4616)
(Incorrect_Initialization_1_T_Loop18_TestCase2, MAYBE, 16761)
(Incorrect_Initialization_1_T_Loop18_TestCase3, MAYBE, 15549)
(Incorrect_Initialization_1_T_Loop31_TestCase7, YES, 4232)
(Incorrect_Initialization_1_T_Loop35_TestCase6, ERROR, 300390)
(Incorrect_Initialization_1_T_Loop35_TestCase4, ERROR, 300544)
(Incorrect_Initialization_1_T_Loop18_TestCase1, ERROR, 300391)
(Incorrect_Initialization_1_T_Loop31_TestCase5, YES, 5503)
(Incorrect_Initialization_1_T_Loop31_TestCase4, YES, 4315)
(Incorrect_Initialization_1_T_Loop35_TestCase5, MAYBE, 14127)
(Incorrect_Initialization_1_T_Loop15_TestCase10, MAYBE, 16690)
(Incorrect_Initialization_1_T_Loop35_TestCase1, ERROR, 300464)
(Incorrect_Initialization_1_T_Loop18_TestCase4, ERROR, 300401)
(Incorrect_Initialization_1_T_Loop31_TestCase1, YES, 4162)
(Incorrect_Initialization_1_T_Loop18_TestCase5, MAYBE, 14410)
(Incorrect_Initialization_1_T_Loop35_TestCase2, MAYBE, 16843)
(Incorrect_Initialization_1_T_Loop31_TestCase3, YES, 5412)
(Incorrect_Initialization_1_T_Loop18_TestCase7, ERROR, 300419)
(Incorrect_Initialization_1_T_Loop18_TestCase6, ERROR, 300389)
(Incorrect_Initialization_1_T_Loop31_TestCase2, YES, 5925)
(Incorrect_Initialization_1_T_Loop35_TestCase3, MAYBE, 15025)</t>
  </si>
  <si>
    <t>(Incorrect_Initialization_1_T_Loop0_TestCase7, ERROR, 300391)
(Incorrect_Initialization_1_T_Loop0_TestCase6, ERROR, 300392)
(Incorrect_Initialization_1_T_Loop0_TestCase4, ERROR, 300403)
(Incorrect_Initialization_1_T_Loop0_TestCase5, MAYBE, 14777)
(Incorrect_Initialization_1_T_Loop0_TestCase1, ERROR, 300343)
(Incorrect_Initialization_1_T_Loop0_TestCase2, MAYBE, 17052)
(Incorrect_Initialization_1_T_Loop0_TestCase3, MAYBE, 15286)
(Incorrect_Initialization_1_T_Loop0_TestCase8, MAYBE, 11398)
(Incorrect_Initialization_1_T_Loop0_TestCase9, ERROR, 300382)
(Incorrect_Initialization_1_T_Loop0_TestCase10, MAYBE, 17712)</t>
  </si>
  <si>
    <t>(Incorrect_Initialization_1_T_Loop15_TestCase0, ERROR, 300433)
(Incorrect_Initialization_1_T_Loop18_TestCase0, ERROR, 300516)
(Incorrect_Initialization_1_T_Loop31_TestCase0, YES, 5867)
(Incorrect_Initialization_1_T_Loop35_TestCase0, ERROR, 300401)</t>
  </si>
  <si>
    <t>(Incorrect_Initialization_1_T_Loop0_TestCase0, ERROR, 300383)</t>
  </si>
  <si>
    <t>10/13</t>
  </si>
  <si>
    <t>(Incorrect_Initialization_1_NT_Loop16_TestCase3, MAYBE, 17033)
(Incorrect_Initialization_1_NT_Loop16_TestCase2, MAYBE, 19681)
(Incorrect_Initialization_1_NT_Loop16_TestCase1, ERROR, 300459)
(Incorrect_Initialization_1_NT_Loop16_TestCase5, MAYBE, 16265)
(Incorrect_Initialization_1_NT_Loop16_TestCase4, ERROR, 300416)
(Incorrect_Initialization_1_NT_Loop16_TestCase6, ERROR, 300421)
(Incorrect_Initialization_1_NT_Loop36_TestCase10, MAYBE, 20363)
(Incorrect_Initialization_1_NT_Loop16_TestCase7, ERROR, 300383)
(Incorrect_Initialization_1_NT_Loop36_TestCase6, ERROR, 300403)
(Incorrect_Initialization_1_NT_Loop19_TestCase8, ERROR, 300476)
(Incorrect_Initialization_1_NT_Loop32_TestCase7, YES, 4087)
(Incorrect_Initialization_1_NT_Loop32_TestCase6, YES, 4251)
(Incorrect_Initialization_1_NT_Loop19_TestCase9, ERROR, 300436)
(Incorrect_Initialization_1_NT_Loop36_TestCase7, ERROR, 300454)
(Incorrect_Initialization_1_NT_Loop36_TestCase5, MAYBE, 16945)
(Incorrect_Initialization_1_NT_Loop32_TestCase4, YES, 4085)
(Incorrect_Initialization_1_NT_Loop32_TestCase5, YES, 5531)
(Incorrect_Initialization_1_NT_Loop36_TestCase4, ERROR, 300426)
(Incorrect_Initialization_1_NT_Loop32_TestCase1, YES, 4180)
(Incorrect_Initialization_1_NT_Loop32_TestCase10, YES, 6010)
(Incorrect_Initialization_1_NT_Loop36_TestCase1, ERROR, 300399)
(Incorrect_Initialization_1_NT_Loop36_TestCase3, MAYBE, 16738)
(Incorrect_Initialization_1_NT_Loop32_TestCase2, YES, 5721)
(Incorrect_Initialization_1_NT_Loop32_TestCase3, YES, 5489)
(Incorrect_Initialization_1_NT_Loop36_TestCase2, MAYBE, 19776)
(Incorrect_Initialization_1_NT_Loop19_TestCase1, ERROR, 300402)
(Incorrect_Initialization_1_NT_Loop19_TestCase2, MAYBE, 19533)
(Incorrect_Initialization_1_NT_Loop19_TestCase3, MAYBE, 16900)
(Incorrect_Initialization_1_NT_Loop36_TestCase9, ERROR, 300388)
(Incorrect_Initialization_1_NT_Loop19_TestCase7, ERROR, 300408)
(Incorrect_Initialization_1_NT_Loop32_TestCase8, YES, 4685)
(Incorrect_Initialization_1_NT_Loop32_TestCase9, YES, 4137)
(Incorrect_Initialization_1_NT_Loop19_TestCase6, ERROR, 300406)
(Incorrect_Initialization_1_NT_Loop36_TestCase8, ERROR, 300414)
(Incorrect_Initialization_1_NT_Loop19_TestCase4, ERROR, 300395)
(Incorrect_Initialization_1_NT_Loop19_TestCase5, MAYBE, 16889)
(Incorrect_Initialization_1_NT_Loop16_TestCase9, ERROR, 300416)
(Incorrect_Initialization_1_NT_Loop16_TestCase8, ERROR, 300425)
(Incorrect_Initialization_1_NT_Loop19_TestCase10, MAYBE, 20036)
(Incorrect_Initialization_1_NT_Loop16_TestCase10, MAYBE, 20268)</t>
  </si>
  <si>
    <t>(Incorrect_Initialization_1_NT_Loop0_TestCase5, MAYBE, 17557)
(Incorrect_Initialization_1_NT_Loop0_TestCase4, ERROR, 300400)
(Incorrect_Initialization_1_NT_Loop0_TestCase6, ERROR, 300389)
(Incorrect_Initialization_1_NT_Loop0_TestCase7, ERROR, 300423)
(Incorrect_Initialization_1_NT_Loop0_TestCase10, MAYBE, 20565)
(Incorrect_Initialization_1_NT_Loop0_TestCase3, MAYBE, 17419)
(Incorrect_Initialization_1_NT_Loop0_TestCase2, MAYBE, 20539)
(Incorrect_Initialization_1_NT_Loop0_TestCase1, ERROR, 300403)
(Incorrect_Initialization_1_NT_Loop0_TestCase9, ERROR, 300386)
(Incorrect_Initialization_1_NT_Loop0_TestCase8, ERROR, 300360)</t>
  </si>
  <si>
    <t>(Incorrect_Initialization_1_NT_Loop16_TestCase0, ERROR, 300416)
(Incorrect_Initialization_1_NT_Loop36_TestCase0, ERROR, 300448)
(Incorrect_Initialization_1_NT_Loop32_TestCase0, YES, 5488)
(Incorrect_Initialization_1_NT_Loop19_TestCase0, ERROR, 300393)</t>
  </si>
  <si>
    <t>(Incorrect_Initialization_1_NT_Loop0_TestCase0, ERROR, 300358)</t>
  </si>
  <si>
    <t>(Incorrect_Control_Statement_2_T_Loop17_TestCase9, YES, 4620)
(Incorrect_Control_Statement_2_T_Loop17_TestCase8, YES, 4371)
(Incorrect_Control_Statement_2_T_Loop17_TestCase10, YES, 4338)
(Incorrect_Control_Statement_2_T_Loop23_TestCase9, YES, 12876)
(Incorrect_Control_Statement_2_T_Loop23_TestCase8, YES, 12809)
(Incorrect_Control_Statement_2_T_Loop23_TestCase3, YES, 13006)
(Incorrect_Control_Statement_2_T_Loop23_TestCase2, YES, 12494)
(Incorrect_Control_Statement_2_T_Loop23_TestCase1, YES, 12807)
(Incorrect_Control_Statement_2_T_Loop23_TestCase5, YES, 14544)
(Incorrect_Control_Statement_2_T_Loop23_TestCase4, YES, 12969)
(Incorrect_Control_Statement_2_T_Loop23_TestCase6, YES, 12605)
(Incorrect_Control_Statement_2_T_Loop23_TestCase10, YES, 12742)
(Incorrect_Control_Statement_2_T_Loop23_TestCase7, YES, 12975)
(Incorrect_Control_Statement_2_T_Loop17_TestCase3, YES, 4412)
(Incorrect_Control_Statement_2_T_Loop17_TestCase2, YES, 4332)
(Incorrect_Control_Statement_2_T_Loop17_TestCase1, YES, 4294)
(Incorrect_Control_Statement_2_T_Loop17_TestCase5, YES, 4686)
(Incorrect_Control_Statement_2_T_Loop17_TestCase4, YES, 4425)
(Incorrect_Control_Statement_2_T_Loop17_TestCase6, YES, 4675)
(Incorrect_Control_Statement_2_T_Loop17_TestCase7, YES, 4420)</t>
  </si>
  <si>
    <t>(Incorrect_Control_Statement_2_T_Loop0_TestCase2, YES, 13998)
(Incorrect_Control_Statement_2_T_Loop0_TestCase3, YES, 13839)
(Incorrect_Control_Statement_2_T_Loop0_TestCase1, YES, 14094)
(Incorrect_Control_Statement_2_T_Loop0_TestCase4, YES, 14170)
(Incorrect_Control_Statement_2_T_Loop0_TestCase5, YES, 15114)
(Incorrect_Control_Statement_2_T_Loop0_TestCase7, YES, 14045)
(Incorrect_Control_Statement_2_T_Loop0_TestCase6, YES, 13780)
(Incorrect_Control_Statement_2_T_Loop0_TestCase10, YES, 14115)
(Incorrect_Control_Statement_2_T_Loop0_TestCase8, YES, 13874)
(Incorrect_Control_Statement_2_T_Loop0_TestCase9, YES, 13709)</t>
  </si>
  <si>
    <t>(Incorrect_Control_Statement_2_T_Loop23_TestCase0, YES, 14042)
(Incorrect_Control_Statement_2_T_Loop17_TestCase0, YES, 5997)</t>
  </si>
  <si>
    <t>(Incorrect_Control_Statement_2_T_Loop0_TestCase0, YES, 14908)</t>
  </si>
  <si>
    <t>9/20</t>
  </si>
  <si>
    <t>(Incorrect_Control_Statement_2_NT_Loop17_TestCase3, YES, 4379)
(Incorrect_Control_Statement_2_NT_Loop17_TestCase2, YES, 4421)
(Incorrect_Control_Statement_2_NT_Loop17_TestCase1, ERROR, 300385)
(Incorrect_Control_Statement_2_NT_Loop17_TestCase10, YES, 4354)
(Incorrect_Control_Statement_2_NT_Loop17_TestCase5, YES, 4529)
(Incorrect_Control_Statement_2_NT_Loop17_TestCase4, YES, 4362)
(Incorrect_Control_Statement_2_NT_Loop17_TestCase6, YES, 4281)
(Incorrect_Control_Statement_2_NT_Loop17_TestCase7, YES, 4306)
(Incorrect_Control_Statement_2_NT_Loop23_TestCase3, MAYBE, 62239)
(Incorrect_Control_Statement_2_NT_Loop23_TestCase2, MAYBE, 62130)
(Incorrect_Control_Statement_2_NT_Loop23_TestCase1, MAYBE, 62266)
(Incorrect_Control_Statement_2_NT_Loop23_TestCase5, MAYBE, 95919)
(Incorrect_Control_Statement_2_NT_Loop23_TestCase4, MAYBE, 62332)
(Incorrect_Control_Statement_2_NT_Loop23_TestCase6, MAYBE, 62616)
(Incorrect_Control_Statement_2_NT_Loop23_TestCase7, MAYBE, 62009)
(Incorrect_Control_Statement_2_NT_Loop23_TestCase9, MAYBE, 58598)
(Incorrect_Control_Statement_2_NT_Loop23_TestCase8, MAYBE, 58247)
(Incorrect_Control_Statement_2_NT_Loop17_TestCase9, YES, 4377)
(Incorrect_Control_Statement_2_NT_Loop23_TestCase10, MAYBE, 58325)
(Incorrect_Control_Statement_2_NT_Loop17_TestCase8, YES, 4318)</t>
  </si>
  <si>
    <t>(Incorrect_Control_Statement_2_NT_Loop0_TestCase9, MAYBE, 119235)
(Incorrect_Control_Statement_2_NT_Loop0_TestCase8, MAYBE, 59665)
(Incorrect_Control_Statement_2_NT_Loop0_TestCase10, MAYBE, 59021)
(Incorrect_Control_Statement_2_NT_Loop0_TestCase6, MAYBE, 62976)
(Incorrect_Control_Statement_2_NT_Loop0_TestCase7, MAYBE, 63078)
(Incorrect_Control_Statement_2_NT_Loop0_TestCase5, MAYBE, 97176)
(Incorrect_Control_Statement_2_NT_Loop0_TestCase4, MAYBE, 62988)
(Incorrect_Control_Statement_2_NT_Loop0_TestCase1, MAYBE, 63984)
(Incorrect_Control_Statement_2_NT_Loop0_TestCase3, MAYBE, 63356)
(Incorrect_Control_Statement_2_NT_Loop0_TestCase2, MAYBE, 63169)</t>
  </si>
  <si>
    <t>(Incorrect_Control_Statement_2_NT_Loop17_TestCase0, YES, 5998)
(Incorrect_Control_Statement_2_NT_Loop23_TestCase0, MAYBE, 109885)</t>
  </si>
  <si>
    <t>(Incorrect_Control_Statement_2_NT_Loop0_TestCase0, MAYBE, 118774)</t>
  </si>
  <si>
    <t>(Incorrect_Control_Statement_1_T_Loop14_TestCase9, YES, 4755)
(Incorrect_Control_Statement_1_T_Loop14_TestCase8, YES, 4477)
(Incorrect_Control_Statement_1_T_Loop18_TestCase10, YES, 15713)
(Incorrect_Control_Statement_1_T_Loop18_TestCase4, YES, 15681)
(Incorrect_Control_Statement_1_T_Loop18_TestCase5, YES, 15844)
(Incorrect_Control_Statement_1_T_Loop18_TestCase7, YES, 15608)
(Incorrect_Control_Statement_1_T_Loop18_TestCase6, YES, 14932)
(Incorrect_Control_Statement_1_T_Loop18_TestCase2, YES, 5394)
(Incorrect_Control_Statement_1_T_Loop18_TestCase3, YES, 15285)
(Incorrect_Control_Statement_1_T_Loop18_TestCase1, YES, 15778)
(Incorrect_Control_Statement_1_T_Loop14_TestCase10, YES, 4130)
(Incorrect_Control_Statement_1_T_Loop18_TestCase8, YES, 11590)
(Incorrect_Control_Statement_1_T_Loop18_TestCase9, YES, 12388)
(Incorrect_Control_Statement_1_T_Loop14_TestCase3, YES, 4175)
(Incorrect_Control_Statement_1_T_Loop14_TestCase2, YES, 4421)
(Incorrect_Control_Statement_1_T_Loop14_TestCase1, YES, 4171)
(Incorrect_Control_Statement_1_T_Loop14_TestCase5, YES, 4152)
(Incorrect_Control_Statement_1_T_Loop14_TestCase4, YES, 4263)
(Incorrect_Control_Statement_1_T_Loop14_TestCase6, YES, 4156)
(Incorrect_Control_Statement_1_T_Loop14_TestCase7, YES, 4148)</t>
  </si>
  <si>
    <t>(Incorrect_Control_Statement_1_T_Loop0_TestCase9, YES, 13206)
(Incorrect_Control_Statement_1_T_Loop0_TestCase8, YES, 11628)
(Incorrect_Control_Statement_1_T_Loop0_TestCase10, YES, 15769)
(Incorrect_Control_Statement_1_T_Loop0_TestCase6, YES, 15595)
(Incorrect_Control_Statement_1_T_Loop0_TestCase7, YES, 16039)
(Incorrect_Control_Statement_1_T_Loop0_TestCase5, YES, 15885)
(Incorrect_Control_Statement_1_T_Loop0_TestCase4, YES, 15981)
(Incorrect_Control_Statement_1_T_Loop0_TestCase1, YES, 15715)
(Incorrect_Control_Statement_1_T_Loop0_TestCase3, YES, 16040)
(Incorrect_Control_Statement_1_T_Loop0_TestCase2, YES, 5482)</t>
  </si>
  <si>
    <t>(Incorrect_Control_Statement_1_T_Loop18_TestCase0, YES, 16933)
(Incorrect_Control_Statement_1_T_Loop14_TestCase0, YES, 5605)</t>
  </si>
  <si>
    <t>(Incorrect_Control_Statement_1_T_Loop0_TestCase0, YES, 17790)</t>
  </si>
  <si>
    <t>11/15</t>
  </si>
  <si>
    <t>(Incorrect_Control_Statement_1_NT_Loop20_TestCase3, MAYBE, 87977)
(Incorrect_Control_Statement_1_NT_Loop20_TestCase2, YES, 5296)
(Incorrect_Control_Statement_1_NT_Loop20_TestCase1, MAYBE, 28215)
(Incorrect_Control_Statement_1_NT_Loop20_TestCase5, ERROR, 300451)
(Incorrect_Control_Statement_1_NT_Loop20_TestCase10, ERROR, 300423)
(Incorrect_Control_Statement_1_NT_Loop20_TestCase4, MAYBE, 88496)
(Incorrect_Control_Statement_1_NT_Loop20_TestCase6, MAYBE, 83019)
(Incorrect_Control_Statement_1_NT_Loop20_TestCase7, MAYBE, 147292)
(Incorrect_Control_Statement_1_NT_Loop16_TestCase8, YES, 4437)
(Incorrect_Control_Statement_1_NT_Loop16_TestCase9, YES, 4692)
(Incorrect_Control_Statement_1_NT_Loop16_TestCase1, YES, 4291)
(Incorrect_Control_Statement_1_NT_Loop16_TestCase2, YES, 4381)
(Incorrect_Control_Statement_1_NT_Loop16_TestCase3, YES, 4261)
(Incorrect_Control_Statement_1_NT_Loop16_TestCase7, YES, 4222)
(Incorrect_Control_Statement_1_NT_Loop16_TestCase6, YES, 4017)
(Incorrect_Control_Statement_1_NT_Loop16_TestCase10, YES, 4165)
(Incorrect_Control_Statement_1_NT_Loop16_TestCase4, YES, 4106)
(Incorrect_Control_Statement_1_NT_Loop16_TestCase5, YES, 4081)
(Incorrect_Control_Statement_1_NT_Loop20_TestCase9, NO, 9275)
(Incorrect_Control_Statement_1_NT_Loop20_TestCase8, MAYBE, 7356)</t>
  </si>
  <si>
    <t>(Incorrect_Control_Statement_1_NT_Loop0_TestCase9, NO, 9541)
(Incorrect_Control_Statement_1_NT_Loop0_TestCase8, MAYBE, 7407)
(Incorrect_Control_Statement_1_NT_Loop0_TestCase3, MAYBE, 29382)
(Incorrect_Control_Statement_1_NT_Loop0_TestCase2, YES, 5506)
(Incorrect_Control_Statement_1_NT_Loop0_TestCase1, MAYBE, 90163)
(Incorrect_Control_Statement_1_NT_Loop0_TestCase5, ERROR, 300446)
(Incorrect_Control_Statement_1_NT_Loop0_TestCase4, MAYBE, 89920)
(Incorrect_Control_Statement_1_NT_Loop0_TestCase6, MAYBE, 27389)
(Incorrect_Control_Statement_1_NT_Loop0_TestCase10, MAYBE, 30732)
(Incorrect_Control_Statement_1_NT_Loop0_TestCase7, MAYBE, 29988)</t>
  </si>
  <si>
    <t>(Incorrect_Control_Statement_1_NT_Loop20_TestCase0, MAYBE, 87348)
(Incorrect_Control_Statement_1_NT_Loop16_TestCase0, YES, 5734)</t>
  </si>
  <si>
    <t>(Incorrect_Control_Statement_1_NT_Loop0_TestCase0, MAYBE, 32273)</t>
  </si>
  <si>
    <t>(Incorrect_Bit_Calculation_3_T_Loop15_TestCase3, MAYBE, 2545)
(Incorrect_Bit_Calculation_3_T_Loop15_TestCase2, MAYBE, 2619)
(Incorrect_Bit_Calculation_3_T_Loop15_TestCase10, MAYBE, 2567)
(Incorrect_Bit_Calculation_3_T_Loop15_TestCase1, MAYBE, 2567)
(Incorrect_Bit_Calculation_3_T_Loop15_TestCase5, MAYBE, 2478)
(Incorrect_Bit_Calculation_3_T_Loop15_TestCase4, MAYBE, 2568)
(Incorrect_Bit_Calculation_3_T_Loop15_TestCase6, MAYBE, 2593)
(Incorrect_Bit_Calculation_3_T_Loop15_TestCase7, MAYBE, 2574)
(Incorrect_Bit_Calculation_3_T_Loop15_TestCase9, MAYBE, 2611)
(Incorrect_Bit_Calculation_3_T_Loop15_TestCase8, MAYBE, 2550)</t>
  </si>
  <si>
    <t>(Incorrect_Bit_Calculation_3_T_Loop0_TestCase2, MAYBE, 2687)
(Incorrect_Bit_Calculation_3_T_Loop0_TestCase3, MAYBE, 2577)
(Incorrect_Bit_Calculation_3_T_Loop0_TestCase1, MAYBE, 2634)
(Incorrect_Bit_Calculation_3_T_Loop0_TestCase10, MAYBE, 2605)
(Incorrect_Bit_Calculation_3_T_Loop0_TestCase4, MAYBE, 2654)
(Incorrect_Bit_Calculation_3_T_Loop0_TestCase5, MAYBE, 2684)
(Incorrect_Bit_Calculation_3_T_Loop0_TestCase7, MAYBE, 2713)
(Incorrect_Bit_Calculation_3_T_Loop0_TestCase6, MAYBE, 2603)
(Incorrect_Bit_Calculation_3_T_Loop0_TestCase8, MAYBE, 2652)
(Incorrect_Bit_Calculation_3_T_Loop0_TestCase9, MAYBE, 2666)</t>
  </si>
  <si>
    <t>(Incorrect_Bit_Calculation_3_T_Loop15_TestCase0, MAYBE, 2477)</t>
  </si>
  <si>
    <t>(Incorrect_Bit_Calculation_3_T_Loop0_TestCase0, MAYBE, 2607)</t>
  </si>
  <si>
    <t>(Incorrect_Bit_Calculation_3_NT_Loop18_TestCase8, MAYBE, 2507)
(Incorrect_Bit_Calculation_3_NT_Loop18_TestCase9, MAYBE, 2524)
(Incorrect_Bit_Calculation_3_NT_Loop18_TestCase10, MAYBE, 2456)
(Incorrect_Bit_Calculation_3_NT_Loop18_TestCase7, MAYBE, 2529)
(Incorrect_Bit_Calculation_3_NT_Loop18_TestCase6, MAYBE, 2444)
(Incorrect_Bit_Calculation_3_NT_Loop18_TestCase4, MAYBE, 2453)
(Incorrect_Bit_Calculation_3_NT_Loop18_TestCase5, MAYBE, 2472)
(Incorrect_Bit_Calculation_3_NT_Loop18_TestCase1, MAYBE, 2494)
(Incorrect_Bit_Calculation_3_NT_Loop18_TestCase2, MAYBE, 2534)
(Incorrect_Bit_Calculation_3_NT_Loop18_TestCase3, MAYBE, 2472)</t>
  </si>
  <si>
    <t>(Incorrect_Bit_Calculation_3_NT_Loop0_TestCase8, MAYBE, 2536)
(Incorrect_Bit_Calculation_3_NT_Loop0_TestCase9, MAYBE, 2515)
(Incorrect_Bit_Calculation_3_NT_Loop0_TestCase4, MAYBE, 2558)
(Incorrect_Bit_Calculation_3_NT_Loop0_TestCase5, MAYBE, 2477)
(Incorrect_Bit_Calculation_3_NT_Loop0_TestCase7, MAYBE, 2574)
(Incorrect_Bit_Calculation_3_NT_Loop0_TestCase6, MAYBE, 2572)
(Incorrect_Bit_Calculation_3_NT_Loop0_TestCase2, MAYBE, 2516)
(Incorrect_Bit_Calculation_3_NT_Loop0_TestCase3, MAYBE, 2586)
(Incorrect_Bit_Calculation_3_NT_Loop0_TestCase1, MAYBE, 2518)
(Incorrect_Bit_Calculation_3_NT_Loop0_TestCase10, MAYBE, 2556)</t>
  </si>
  <si>
    <t>(Incorrect_Bit_Calculation_3_NT_Loop18_TestCase0, MAYBE, 2381)</t>
  </si>
  <si>
    <t>(Incorrect_Bit_Calculation_3_NT_Loop0_TestCase0, MAYBE, 2595)</t>
  </si>
  <si>
    <t>(Incorrect_Bit_Calculation_2_T_Loop16_TestCase2, MAYBE, 2622)
(Incorrect_Bit_Calculation_2_T_Loop16_TestCase3, MAYBE, 2685)
(Incorrect_Bit_Calculation_2_T_Loop16_TestCase1, YES, 2664)
(Incorrect_Bit_Calculation_2_T_Loop16_TestCase4, MAYBE, 2609)
(Incorrect_Bit_Calculation_2_T_Loop16_TestCase5, MAYBE, 2499)
(Incorrect_Bit_Calculation_2_T_Loop16_TestCase7, YES, 2736)
(Incorrect_Bit_Calculation_2_T_Loop16_TestCase6, YES, 2722)
(Incorrect_Bit_Calculation_2_T_Loop16_TestCase10, YES, 2701)
(Incorrect_Bit_Calculation_2_T_Loop16_TestCase8, YES, 2713)
(Incorrect_Bit_Calculation_2_T_Loop16_TestCase9, YES, 2692)</t>
  </si>
  <si>
    <t>(Incorrect_Bit_Calculation_2_T_Loop0_TestCase8, YES, 2671)
(Incorrect_Bit_Calculation_2_T_Loop0_TestCase9, YES, 2710)
(Incorrect_Bit_Calculation_2_T_Loop0_TestCase10, YES, 2716)
(Incorrect_Bit_Calculation_2_T_Loop0_TestCase1, YES, 2750)
(Incorrect_Bit_Calculation_2_T_Loop0_TestCase2, MAYBE, 2612)
(Incorrect_Bit_Calculation_2_T_Loop0_TestCase3, MAYBE, 2596)
(Incorrect_Bit_Calculation_2_T_Loop0_TestCase7, YES, 2757)
(Incorrect_Bit_Calculation_2_T_Loop0_TestCase6, YES, 2703)
(Incorrect_Bit_Calculation_2_T_Loop0_TestCase4, MAYBE, 2688)
(Incorrect_Bit_Calculation_2_T_Loop0_TestCase5, MAYBE, 2651)</t>
  </si>
  <si>
    <t>(Incorrect_Bit_Calculation_2_T_Loop16_TestCase0, MAYBE, 2755)</t>
  </si>
  <si>
    <t>(Incorrect_Bit_Calculation_2_T_Loop0_TestCase0, MAYBE, 2825)</t>
  </si>
  <si>
    <t>(Incorrect_Bit_Calculation_2_NT_Loop20_TestCase10, MAYBE, 2593)
(Incorrect_Bit_Calculation_2_NT_Loop20_TestCase8, MAYBE, 2522)
(Incorrect_Bit_Calculation_2_NT_Loop20_TestCase9, MAYBE, 2609)
(Incorrect_Bit_Calculation_2_NT_Loop20_TestCase4, MAYBE, 2512)
(Incorrect_Bit_Calculation_2_NT_Loop20_TestCase5, MAYBE, 2581)
(Incorrect_Bit_Calculation_2_NT_Loop20_TestCase7, MAYBE, 2612)
(Incorrect_Bit_Calculation_2_NT_Loop20_TestCase6, MAYBE, 2595)
(Incorrect_Bit_Calculation_2_NT_Loop20_TestCase2, MAYBE, 2566)
(Incorrect_Bit_Calculation_2_NT_Loop20_TestCase3, MAYBE, 2602)
(Incorrect_Bit_Calculation_2_NT_Loop20_TestCase1, YES, 2592)</t>
  </si>
  <si>
    <t>(Incorrect_Bit_Calculation_2_NT_Loop0_TestCase9, MAYBE, 2646)
(Incorrect_Bit_Calculation_2_NT_Loop0_TestCase8, MAYBE, 2618)
(Incorrect_Bit_Calculation_2_NT_Loop0_TestCase10, MAYBE, 2664)
(Incorrect_Bit_Calculation_2_NT_Loop0_TestCase1, YES, 2677)
(Incorrect_Bit_Calculation_2_NT_Loop0_TestCase3, MAYBE, 2715)
(Incorrect_Bit_Calculation_2_NT_Loop0_TestCase2, MAYBE, 2656)
(Incorrect_Bit_Calculation_2_NT_Loop0_TestCase6, MAYBE, 2599)
(Incorrect_Bit_Calculation_2_NT_Loop0_TestCase7, MAYBE, 2634)
(Incorrect_Bit_Calculation_2_NT_Loop0_TestCase5, MAYBE, 2572)
(Incorrect_Bit_Calculation_2_NT_Loop0_TestCase4, MAYBE, 2671)</t>
  </si>
  <si>
    <t>(Incorrect_Bit_Calculation_2_NT_Loop20_TestCase0, MAYBE, 2590)</t>
  </si>
  <si>
    <t>(Incorrect_Bit_Calculation_2_NT_Loop0_TestCase0, MAYBE, 2748)</t>
  </si>
  <si>
    <t>(Incorrect_Bit_Calculation_1_T_Loop14_TestCase9, YES, 2490)
(Incorrect_Bit_Calculation_1_T_Loop14_TestCase8, YES, 2493)
(Incorrect_Bit_Calculation_1_T_Loop14_TestCase10, YES, 2451)
(Incorrect_Bit_Calculation_1_T_Loop14_TestCase5, MAYBE, 2525)
(Incorrect_Bit_Calculation_1_T_Loop14_TestCase4, MAYBE, 2505)
(Incorrect_Bit_Calculation_1_T_Loop14_TestCase6, YES, 2548)
(Incorrect_Bit_Calculation_1_T_Loop14_TestCase7, YES, 2450)
(Incorrect_Bit_Calculation_1_T_Loop14_TestCase3, MAYBE, 2483)
(Incorrect_Bit_Calculation_1_T_Loop14_TestCase2, MAYBE, 2507)
(Incorrect_Bit_Calculation_1_T_Loop14_TestCase1, YES, 2444)</t>
  </si>
  <si>
    <t>(Incorrect_Bit_Calculation_1_T_Loop0_TestCase5, MAYBE, 2540)
(Incorrect_Bit_Calculation_1_T_Loop0_TestCase4, MAYBE, 2605)
(Incorrect_Bit_Calculation_1_T_Loop0_TestCase6, YES, 2640)
(Incorrect_Bit_Calculation_1_T_Loop0_TestCase7, YES, 2529)
(Incorrect_Bit_Calculation_1_T_Loop0_TestCase3, MAYBE, 2590)
(Incorrect_Bit_Calculation_1_T_Loop0_TestCase2, MAYBE, 2602)
(Incorrect_Bit_Calculation_1_T_Loop0_TestCase1, YES, 2578)
(Incorrect_Bit_Calculation_1_T_Loop0_TestCase10, YES, 2561)
(Incorrect_Bit_Calculation_1_T_Loop0_TestCase9, YES, 2588)
(Incorrect_Bit_Calculation_1_T_Loop0_TestCase8, YES, 2628)</t>
  </si>
  <si>
    <t>(Incorrect_Bit_Calculation_1_T_Loop14_TestCase0, MAYBE, 2434)</t>
  </si>
  <si>
    <t>(Incorrect_Bit_Calculation_1_T_Loop0_TestCase0, MAYBE, 2603)</t>
  </si>
  <si>
    <t>(Incorrect_Bit_Calculation_1_NT_Loop15_TestCase10, MAYBE, 2466)
(Incorrect_Bit_Calculation_1_NT_Loop15_TestCase6, MAYBE, 2530)
(Incorrect_Bit_Calculation_1_NT_Loop15_TestCase7, MAYBE, 2416)
(Incorrect_Bit_Calculation_1_NT_Loop15_TestCase5, MAYBE, 2447)
(Incorrect_Bit_Calculation_1_NT_Loop15_TestCase4, MAYBE, 2530)
(Incorrect_Bit_Calculation_1_NT_Loop15_TestCase1, YES, 2460)
(Incorrect_Bit_Calculation_1_NT_Loop15_TestCase3, YES, 2518)
(Incorrect_Bit_Calculation_1_NT_Loop15_TestCase2, YES, 2484)
(Incorrect_Bit_Calculation_1_NT_Loop15_TestCase9, MAYBE, 2489)
(Incorrect_Bit_Calculation_1_NT_Loop15_TestCase8, MAYBE, 2469)</t>
  </si>
  <si>
    <t>(Incorrect_Bit_Calculation_1_NT_Loop0_TestCase10, MAYBE, 2551)
(Incorrect_Bit_Calculation_1_NT_Loop0_TestCase9, MAYBE, 2570)
(Incorrect_Bit_Calculation_1_NT_Loop0_TestCase8, MAYBE, 2564)
(Incorrect_Bit_Calculation_1_NT_Loop0_TestCase5, MAYBE, 2515)
(Incorrect_Bit_Calculation_1_NT_Loop0_TestCase4, MAYBE, 2523)
(Incorrect_Bit_Calculation_1_NT_Loop0_TestCase6, MAYBE, 2551)
(Incorrect_Bit_Calculation_1_NT_Loop0_TestCase7, MAYBE, 2555)
(Incorrect_Bit_Calculation_1_NT_Loop0_TestCase3, YES, 2554)
(Incorrect_Bit_Calculation_1_NT_Loop0_TestCase2, YES, 2623)
(Incorrect_Bit_Calculation_1_NT_Loop0_TestCase1, YES, 2675)</t>
  </si>
  <si>
    <t>(Incorrect_Bit_Calculation_1_NT_Loop15_TestCase0, MAYBE, 2568)</t>
  </si>
  <si>
    <t>(Incorrect_Bit_Calculation_1_NT_Loop0_TestCase0, MAYBE, 2645)</t>
  </si>
  <si>
    <t>(Adding_Subtracting_Zero_5_T_Loop21_TestCase8, YES, 5416)
(Adding_Subtracting_Zero_5_T_Loop21_TestCase9, YES, 5534)
(Adding_Subtracting_Zero_5_T_Loop38_TestCase10, MAYBE, 10692)
(Adding_Subtracting_Zero_5_T_Loop21_TestCase10, YES, 5461)
(Adding_Subtracting_Zero_5_T_Loop38_TestCase8, MAYBE, 10558)
(Adding_Subtracting_Zero_5_T_Loop38_TestCase9, MAYBE, 10489)
(Adding_Subtracting_Zero_5_T_Loop38_TestCase4, YES, 2937)
(Adding_Subtracting_Zero_5_T_Loop38_TestCase5, YES, 2834)
(Adding_Subtracting_Zero_5_T_Loop38_TestCase7, YES, 3712)
(Adding_Subtracting_Zero_5_T_Loop38_TestCase6, YES, 3501)
(Adding_Subtracting_Zero_5_T_Loop38_TestCase2, YES, 2883)
(Adding_Subtracting_Zero_5_T_Loop38_TestCase3, YES, 2849)
(Adding_Subtracting_Zero_5_T_Loop38_TestCase1, YES, 2739)
(Adding_Subtracting_Zero_5_T_Loop21_TestCase1, YES, 2622)
(Adding_Subtracting_Zero_5_T_Loop21_TestCase2, YES, 2658)
(Adding_Subtracting_Zero_5_T_Loop21_TestCase3, YES, 2691)
(Adding_Subtracting_Zero_5_T_Loop21_TestCase7, YES, 3041)
(Adding_Subtracting_Zero_5_T_Loop21_TestCase6, YES, 3012)
(Adding_Subtracting_Zero_5_T_Loop21_TestCase4, YES, 2694)
(Adding_Subtracting_Zero_5_T_Loop21_TestCase5, YES, 2684)</t>
  </si>
  <si>
    <t>(Adding_Subtracting_Zero_5_T_Loop0_TestCase3, YES, 3055)
(Adding_Subtracting_Zero_5_T_Loop0_TestCase2, YES, 2829)
(Adding_Subtracting_Zero_5_T_Loop0_TestCase1, YES, 2921)
(Adding_Subtracting_Zero_5_T_Loop0_TestCase5, YES, 2889)
(Adding_Subtracting_Zero_5_T_Loop0_TestCase4, YES, 2982)
(Adding_Subtracting_Zero_5_T_Loop0_TestCase6, YES, 3503)
(Adding_Subtracting_Zero_5_T_Loop0_TestCase7, YES, 3765)
(Adding_Subtracting_Zero_5_T_Loop0_TestCase10, MAYBE, 10805)
(Adding_Subtracting_Zero_5_T_Loop0_TestCase9, MAYBE, 10859)
(Adding_Subtracting_Zero_5_T_Loop0_TestCase8, MAYBE, 10955)</t>
  </si>
  <si>
    <t>(Adding_Subtracting_Zero_5_T_Loop38_TestCase0, MAYBE, 12418)
(Adding_Subtracting_Zero_5_T_Loop21_TestCase0, YES, 5520)</t>
  </si>
  <si>
    <t>(Adding_Subtracting_Zero_5_T_Loop0_TestCase0, MAYBE, 13044)</t>
  </si>
  <si>
    <t>(Adding_Subtracting_Zero_5_NT_Loop21_TestCase7, YES, 3113)
(Adding_Subtracting_Zero_5_NT_Loop21_TestCase6, YES, 3068)
(Adding_Subtracting_Zero_5_NT_Loop21_TestCase4, YES, 2901)
(Adding_Subtracting_Zero_5_NT_Loop21_TestCase5, YES, 2670)
(Adding_Subtracting_Zero_5_NT_Loop21_TestCase1, YES, 2669)
(Adding_Subtracting_Zero_5_NT_Loop21_TestCase2, YES, 2662)
(Adding_Subtracting_Zero_5_NT_Loop21_TestCase3, YES, 2719)
(Adding_Subtracting_Zero_5_NT_Loop38_TestCase2, YES, 2869)
(Adding_Subtracting_Zero_5_NT_Loop38_TestCase3, YES, 3054)
(Adding_Subtracting_Zero_5_NT_Loop38_TestCase1, YES, 2872)
(Adding_Subtracting_Zero_5_NT_Loop38_TestCase4, YES, 2798)
(Adding_Subtracting_Zero_5_NT_Loop38_TestCase5, YES, 2851)
(Adding_Subtracting_Zero_5_NT_Loop38_TestCase7, NO, 7026)
(Adding_Subtracting_Zero_5_NT_Loop38_TestCase6, NO, 6291)
(Adding_Subtracting_Zero_5_NT_Loop38_TestCase8, MAYBE, 9544)
(Adding_Subtracting_Zero_5_NT_Loop38_TestCase9, MAYBE, 9983)
(Adding_Subtracting_Zero_5_NT_Loop38_TestCase10, MAYBE, 9778)
(Adding_Subtracting_Zero_5_NT_Loop21_TestCase8, YES, 5551)
(Adding_Subtracting_Zero_5_NT_Loop21_TestCase9, YES, 5443)
(Adding_Subtracting_Zero_5_NT_Loop21_TestCase10, YES, 5387)</t>
  </si>
  <si>
    <t>(Adding_Subtracting_Zero_5_NT_Loop0_TestCase10, MAYBE, 10081)
(Adding_Subtracting_Zero_5_NT_Loop0_TestCase6, NO, 6337)
(Adding_Subtracting_Zero_5_NT_Loop0_TestCase7, NO, 7161)
(Adding_Subtracting_Zero_5_NT_Loop0_TestCase5, YES, 2922)
(Adding_Subtracting_Zero_5_NT_Loop0_TestCase4, YES, 2874)
(Adding_Subtracting_Zero_5_NT_Loop0_TestCase1, YES, 2806)
(Adding_Subtracting_Zero_5_NT_Loop0_TestCase3, YES, 2875)
(Adding_Subtracting_Zero_5_NT_Loop0_TestCase2, YES, 2882)
(Adding_Subtracting_Zero_5_NT_Loop0_TestCase9, MAYBE, 10044)
(Adding_Subtracting_Zero_5_NT_Loop0_TestCase8, MAYBE, 10087)</t>
  </si>
  <si>
    <t>(Adding_Subtracting_Zero_5_NT_Loop21_TestCase0, YES, 5435)
(Adding_Subtracting_Zero_5_NT_Loop38_TestCase0, MAYBE, 10902)</t>
  </si>
  <si>
    <t>(Adding_Subtracting_Zero_5_NT_Loop0_TestCase0, MAYBE, 10976)</t>
  </si>
  <si>
    <t>(Adding_Subtracting_Zero_4_T_Loop16_TestCase9, YES, 9632)
(Adding_Subtracting_Zero_4_T_Loop16_TestCase8, YES, 9843)
(Adding_Subtracting_Zero_4_T_Loop51_TestCase9, YES, 8380)
(Adding_Subtracting_Zero_4_T_Loop16_TestCase10, YES, 9998)
(Adding_Subtracting_Zero_4_T_Loop51_TestCase8, YES, 8170)
(Adding_Subtracting_Zero_4_T_Loop51_TestCase6, YES, 8143)
(Adding_Subtracting_Zero_4_T_Loop51_TestCase7, YES, 8182)
(Adding_Subtracting_Zero_4_T_Loop51_TestCase5, YES, 9264)
(Adding_Subtracting_Zero_4_T_Loop51_TestCase4, YES, 10158)
(Adding_Subtracting_Zero_4_T_Loop51_TestCase1, YES, 3057)
(Adding_Subtracting_Zero_4_T_Loop51_TestCase3, YES, 8385)
(Adding_Subtracting_Zero_4_T_Loop51_TestCase2, YES, 7235)
(Adding_Subtracting_Zero_4_T_Loop16_TestCase1, YES, 2888)
(Adding_Subtracting_Zero_4_T_Loop16_TestCase3, YES, 5519)
(Adding_Subtracting_Zero_4_T_Loop16_TestCase2, YES, 3281)
(Adding_Subtracting_Zero_4_T_Loop51_TestCase10, YES, 7965)
(Adding_Subtracting_Zero_4_T_Loop16_TestCase6, YES, 6103)
(Adding_Subtracting_Zero_4_T_Loop16_TestCase7, YES, 9603)
(Adding_Subtracting_Zero_4_T_Loop16_TestCase5, YES, 6727)
(Adding_Subtracting_Zero_4_T_Loop16_TestCase4, YES, 6539)</t>
  </si>
  <si>
    <t>(Adding_Subtracting_Zero_4_T_Loop0_TestCase9, YES, 7691)
(Adding_Subtracting_Zero_4_T_Loop0_TestCase8, YES, 7775)
(Adding_Subtracting_Zero_4_T_Loop0_TestCase1, YES, 3014)
(Adding_Subtracting_Zero_4_T_Loop0_TestCase3, YES, 8086)
(Adding_Subtracting_Zero_4_T_Loop0_TestCase2, YES, 6591)
(Adding_Subtracting_Zero_4_T_Loop0_TestCase6, YES, 7606)
(Adding_Subtracting_Zero_4_T_Loop0_TestCase7, YES, 7546)
(Adding_Subtracting_Zero_4_T_Loop0_TestCase5, YES, 9440)
(Adding_Subtracting_Zero_4_T_Loop0_TestCase10, YES, 7636)
(Adding_Subtracting_Zero_4_T_Loop0_TestCase4, YES, 9710)</t>
  </si>
  <si>
    <t>(Adding_Subtracting_Zero_4_T_Loop51_TestCase0, YES, 32621)
(Adding_Subtracting_Zero_4_T_Loop16_TestCase0, YES, 60944)</t>
  </si>
  <si>
    <t>(Adding_Subtracting_Zero_4_T_Loop0_TestCase0, YES, 31914)</t>
  </si>
  <si>
    <t>(Adding_Subtracting_Zero_4_NT_Loop16_TestCase9, NO, 8710)
(Adding_Subtracting_Zero_4_NT_Loop16_TestCase10, NO, 8664)
(Adding_Subtracting_Zero_4_NT_Loop16_TestCase8, NO, 8645)
(Adding_Subtracting_Zero_4_NT_Loop50_TestCase7, NO, 6166)
(Adding_Subtracting_Zero_4_NT_Loop50_TestCase6, NO, 6021)
(Adding_Subtracting_Zero_4_NT_Loop50_TestCase4, NO, 7589)
(Adding_Subtracting_Zero_4_NT_Loop50_TestCase5, NO, 7774)
(Adding_Subtracting_Zero_4_NT_Loop50_TestCase1, YES, 2836)
(Adding_Subtracting_Zero_4_NT_Loop50_TestCase2, NO, 5238)
(Adding_Subtracting_Zero_4_NT_Loop50_TestCase3, NO, 7157)
(Adding_Subtracting_Zero_4_NT_Loop50_TestCase10, NO, 5811)
(Adding_Subtracting_Zero_4_NT_Loop50_TestCase8, NO, 6027)
(Adding_Subtracting_Zero_4_NT_Loop50_TestCase9, NO, 6456)
(Adding_Subtracting_Zero_4_NT_Loop16_TestCase6, NO, 4923)
(Adding_Subtracting_Zero_4_NT_Loop16_TestCase7, NO, 8189)
(Adding_Subtracting_Zero_4_NT_Loop16_TestCase5, YES, 6487)
(Adding_Subtracting_Zero_4_NT_Loop16_TestCase4, YES, 6483)
(Adding_Subtracting_Zero_4_NT_Loop16_TestCase1, YES, 2721)
(Adding_Subtracting_Zero_4_NT_Loop16_TestCase3, YES, 5191)
(Adding_Subtracting_Zero_4_NT_Loop16_TestCase2, YES, 3068)</t>
  </si>
  <si>
    <t>(Adding_Subtracting_Zero_4_NT_Loop0_TestCase2, NO, 5471)
(Adding_Subtracting_Zero_4_NT_Loop0_TestCase3, NO, 6947)
(Adding_Subtracting_Zero_4_NT_Loop0_TestCase1, YES, 2853)
(Adding_Subtracting_Zero_4_NT_Loop0_TestCase4, NO, 8528)
(Adding_Subtracting_Zero_4_NT_Loop0_TestCase5, NO, 8447)
(Adding_Subtracting_Zero_4_NT_Loop0_TestCase7, NO, 6169)
(Adding_Subtracting_Zero_4_NT_Loop0_TestCase6, NO, 6058)
(Adding_Subtracting_Zero_4_NT_Loop0_TestCase10, NO, 5926)
(Adding_Subtracting_Zero_4_NT_Loop0_TestCase8, NO, 5961)
(Adding_Subtracting_Zero_4_NT_Loop0_TestCase9, NO, 6034)</t>
  </si>
  <si>
    <t>(Adding_Subtracting_Zero_4_NT_Loop50_TestCase0, NO, 18176)
(Adding_Subtracting_Zero_4_NT_Loop16_TestCase0, ERROR, 147132)</t>
  </si>
  <si>
    <t>(Adding_Subtracting_Zero_4_NT_Loop0_TestCase0, NO, 17620)</t>
  </si>
  <si>
    <t>(Adding_Subtracting_Zero_3_T_Loop72_TestCase9, YES, 7151)
(Adding_Subtracting_Zero_3_T_Loop72_TestCase10, YES, 7129)
(Adding_Subtracting_Zero_3_T_Loop72_TestCase8, YES, 7230)
(Adding_Subtracting_Zero_3_T_Loop37_TestCase1, YES, 2919)
(Adding_Subtracting_Zero_3_T_Loop37_TestCase2, YES, 2898)
(Adding_Subtracting_Zero_3_T_Loop37_TestCase3, YES, 6581)
(Adding_Subtracting_Zero_3_T_Loop37_TestCase7, YES, 8422)
(Adding_Subtracting_Zero_3_T_Loop37_TestCase6, YES, 8127)
(Adding_Subtracting_Zero_3_T_Loop37_TestCase4, YES, 6881)
(Adding_Subtracting_Zero_3_T_Loop37_TestCase5, YES, 6656)
(Adding_Subtracting_Zero_3_T_Loop37_TestCase8, YES, 8518)
(Adding_Subtracting_Zero_3_T_Loop37_TestCase9, YES, 8549)
(Adding_Subtracting_Zero_3_T_Loop72_TestCase5, YES, 6888)
(Adding_Subtracting_Zero_3_T_Loop72_TestCase4, YES, 7016)
(Adding_Subtracting_Zero_3_T_Loop37_TestCase10, YES, 8503)
(Adding_Subtracting_Zero_3_T_Loop72_TestCase6, YES, 6542)
(Adding_Subtracting_Zero_3_T_Loop72_TestCase7, YES, 7191)
(Adding_Subtracting_Zero_3_T_Loop72_TestCase3, YES, 6940)
(Adding_Subtracting_Zero_3_T_Loop72_TestCase2, YES, 3122)
(Adding_Subtracting_Zero_3_T_Loop72_TestCase1, YES, 3027)</t>
  </si>
  <si>
    <t>(Adding_Subtracting_Zero_3_T_Loop0_TestCase7, YES, 7208)
(Adding_Subtracting_Zero_3_T_Loop0_TestCase6, YES, 6364)
(Adding_Subtracting_Zero_3_T_Loop0_TestCase4, YES, 6990)
(Adding_Subtracting_Zero_3_T_Loop0_TestCase5, YES, 6862)
(Adding_Subtracting_Zero_3_T_Loop0_TestCase1, YES, 3038)
(Adding_Subtracting_Zero_3_T_Loop0_TestCase2, YES, 3062)
(Adding_Subtracting_Zero_3_T_Loop0_TestCase3, YES, 6808)
(Adding_Subtracting_Zero_3_T_Loop0_TestCase8, YES, 7199)
(Adding_Subtracting_Zero_3_T_Loop0_TestCase10, YES, 7058)
(Adding_Subtracting_Zero_3_T_Loop0_TestCase9, YES, 7172)</t>
  </si>
  <si>
    <t>(Adding_Subtracting_Zero_3_T_Loop37_TestCase0, MAYBE, 19736)
(Adding_Subtracting_Zero_3_T_Loop72_TestCase0, ERROR, 300518)</t>
  </si>
  <si>
    <t>(Adding_Subtracting_Zero_3_T_Loop0_TestCase0, ERROR, 300591)</t>
  </si>
  <si>
    <t>(Adding_Subtracting_Zero_3_NT_Loop40_TestCase1, YES, 2945)
(Adding_Subtracting_Zero_3_NT_Loop40_TestCase2, YES, 2874)
(Adding_Subtracting_Zero_3_NT_Loop40_TestCase3, YES, 6790)
(Adding_Subtracting_Zero_3_NT_Loop40_TestCase7, NO, 10165)
(Adding_Subtracting_Zero_3_NT_Loop40_TestCase6, NO, 8013)
(Adding_Subtracting_Zero_3_NT_Loop40_TestCase4, YES, 7167)
(Adding_Subtracting_Zero_3_NT_Loop40_TestCase5, YES, 6770)
(Adding_Subtracting_Zero_3_NT_Loop40_TestCase10, NO, 10338)
(Adding_Subtracting_Zero_3_NT_Loop75_TestCase9, NO, 6285)
(Adding_Subtracting_Zero_3_NT_Loop75_TestCase8, NO, 6436)
(Adding_Subtracting_Zero_3_NT_Loop75_TestCase6, NO, 6490)
(Adding_Subtracting_Zero_3_NT_Loop75_TestCase10, NO, 6338)
(Adding_Subtracting_Zero_3_NT_Loop75_TestCase7, NO, 6630)
(Adding_Subtracting_Zero_3_NT_Loop75_TestCase5, YES, 6971)
(Adding_Subtracting_Zero_3_NT_Loop75_TestCase4, YES, 7004)
(Adding_Subtracting_Zero_3_NT_Loop75_TestCase1, YES, 3069)
(Adding_Subtracting_Zero_3_NT_Loop75_TestCase3, YES, 6910)
(Adding_Subtracting_Zero_3_NT_Loop75_TestCase2, YES, 3176)
(Adding_Subtracting_Zero_3_NT_Loop40_TestCase8, NO, 9969)
(Adding_Subtracting_Zero_3_NT_Loop40_TestCase9, NO, 10339)</t>
  </si>
  <si>
    <t>(Adding_Subtracting_Zero_3_NT_Loop0_TestCase1, YES, 3107)
(Adding_Subtracting_Zero_3_NT_Loop0_TestCase2, YES, 3109)
(Adding_Subtracting_Zero_3_NT_Loop0_TestCase3, YES, 6755)
(Adding_Subtracting_Zero_3_NT_Loop0_TestCase7, NO, 6515)
(Adding_Subtracting_Zero_3_NT_Loop0_TestCase6, NO, 6256)
(Adding_Subtracting_Zero_3_NT_Loop0_TestCase4, YES, 7185)
(Adding_Subtracting_Zero_3_NT_Loop0_TestCase5, YES, 6955)
(Adding_Subtracting_Zero_3_NT_Loop0_TestCase8, NO, 6332)
(Adding_Subtracting_Zero_3_NT_Loop0_TestCase9, NO, 6367)
(Adding_Subtracting_Zero_3_NT_Loop0_TestCase10, NO, 6277)</t>
  </si>
  <si>
    <t>(Adding_Subtracting_Zero_3_NT_Loop40_TestCase0, ERROR, 300524)
(Adding_Subtracting_Zero_3_NT_Loop75_TestCase0, ERROR, 300678)</t>
  </si>
  <si>
    <t>(Adding_Subtracting_Zero_3_NT_Loop0_TestCase0, ERROR, 300371)</t>
  </si>
  <si>
    <t>(Adding_Subtracting_Zero_2_T_Loop35_TestCase10, YES, 3261)
(Adding_Subtracting_Zero_2_T_Loop35_TestCase8, YES, 3216)
(Adding_Subtracting_Zero_2_T_Loop35_TestCase9, YES, 3203)
(Adding_Subtracting_Zero_2_T_Loop35_TestCase7, YES, 3206)
(Adding_Subtracting_Zero_2_T_Loop35_TestCase6, YES, 3258)
(Adding_Subtracting_Zero_2_T_Loop35_TestCase4, YES, 3196)
(Adding_Subtracting_Zero_2_T_Loop35_TestCase5, YES, 4908)
(Adding_Subtracting_Zero_2_T_Loop35_TestCase1, YES, 2882)
(Adding_Subtracting_Zero_2_T_Loop35_TestCase2, YES, 2847)
(Adding_Subtracting_Zero_2_T_Loop35_TestCase3, YES, 3308)</t>
  </si>
  <si>
    <t>(Adding_Subtracting_Zero_2_T_Loop0_TestCase8, YES, 3320)
(Adding_Subtracting_Zero_2_T_Loop0_TestCase9, YES, 3264)
(Adding_Subtracting_Zero_2_T_Loop0_TestCase4, YES, 3233)
(Adding_Subtracting_Zero_2_T_Loop0_TestCase5, YES, 5021)
(Adding_Subtracting_Zero_2_T_Loop0_TestCase7, YES, 3274)
(Adding_Subtracting_Zero_2_T_Loop0_TestCase10, YES, 3159)
(Adding_Subtracting_Zero_2_T_Loop0_TestCase6, YES, 3199)
(Adding_Subtracting_Zero_2_T_Loop0_TestCase2, YES, 2975)
(Adding_Subtracting_Zero_2_T_Loop0_TestCase3, YES, 3290)
(Adding_Subtracting_Zero_2_T_Loop0_TestCase1, YES, 2871)</t>
  </si>
  <si>
    <t>(Adding_Subtracting_Zero_2_T_Loop35_TestCase0, YES, 16736)</t>
  </si>
  <si>
    <t>(Adding_Subtracting_Zero_2_T_Loop0_TestCase0, YES, 17244)</t>
  </si>
  <si>
    <t>(Adding_Subtracting_Zero_2_NT_Loop34_TestCase10, NO, 5282)
(Adding_Subtracting_Zero_2_NT_Loop34_TestCase8, NO, 5437)
(Adding_Subtracting_Zero_2_NT_Loop34_TestCase9, NO, 5600)
(Adding_Subtracting_Zero_2_NT_Loop34_TestCase7, NO, 4976)
(Adding_Subtracting_Zero_2_NT_Loop34_TestCase6, NO, 5403)
(Adding_Subtracting_Zero_2_NT_Loop34_TestCase4, NO, 5411)
(Adding_Subtracting_Zero_2_NT_Loop34_TestCase5, NO, 6382)
(Adding_Subtracting_Zero_2_NT_Loop34_TestCase1, YES, 2748)
(Adding_Subtracting_Zero_2_NT_Loop34_TestCase2, YES, 2877)
(Adding_Subtracting_Zero_2_NT_Loop34_TestCase3, YES, 3238)</t>
  </si>
  <si>
    <t>(Adding_Subtracting_Zero_2_NT_Loop0_TestCase5, NO, 6028)
(Adding_Subtracting_Zero_2_NT_Loop0_TestCase4, NO, 5269)
(Adding_Subtracting_Zero_2_NT_Loop0_TestCase6, NO, 5267)
(Adding_Subtracting_Zero_2_NT_Loop0_TestCase7, NO, 4846)
(Adding_Subtracting_Zero_2_NT_Loop0_TestCase3, YES, 3143)
(Adding_Subtracting_Zero_2_NT_Loop0_TestCase2, YES, 2906)
(Adding_Subtracting_Zero_2_NT_Loop0_TestCase10, NO, 4632)
(Adding_Subtracting_Zero_2_NT_Loop0_TestCase1, YES, 2853)
(Adding_Subtracting_Zero_2_NT_Loop0_TestCase9, NO, 4807)
(Adding_Subtracting_Zero_2_NT_Loop0_TestCase8, NO, 5058)</t>
  </si>
  <si>
    <t>(Adding_Subtracting_Zero_2_NT_Loop34_TestCase0, MAYBE, 247302)</t>
  </si>
  <si>
    <t>(Adding_Subtracting_Zero_2_NT_Loop0_TestCase0, MAYBE, 233945)</t>
  </si>
  <si>
    <t>(Adding_Subtracting_Zero_1_T_Loop17_TestCase5, YES, 4284)
(Adding_Subtracting_Zero_1_T_Loop17_TestCase4, YES, 2694)
(Adding_Subtracting_Zero_1_T_Loop17_TestCase6, YES, 2716)
(Adding_Subtracting_Zero_1_T_Loop17_TestCase7, YES, 2734)
(Adding_Subtracting_Zero_1_T_Loop17_TestCase3, YES, 4361)
(Adding_Subtracting_Zero_1_T_Loop17_TestCase2, YES, 2685)
(Adding_Subtracting_Zero_1_T_Loop17_TestCase1, YES, 2718)
(Adding_Subtracting_Zero_1_T_Loop17_TestCase9, YES, 2732)
(Adding_Subtracting_Zero_1_T_Loop17_TestCase8, YES, 2741)
(Adding_Subtracting_Zero_1_T_Loop17_TestCase10, YES, 2724)</t>
  </si>
  <si>
    <t>(Adding_Subtracting_Zero_1_T_Loop0_TestCase1, YES, 2677)
(Adding_Subtracting_Zero_1_T_Loop0_TestCase3, YES, 4270)
(Adding_Subtracting_Zero_1_T_Loop0_TestCase2, YES, 2712)
(Adding_Subtracting_Zero_1_T_Loop0_TestCase6, YES, 2685)
(Adding_Subtracting_Zero_1_T_Loop0_TestCase7, YES, 2773)
(Adding_Subtracting_Zero_1_T_Loop0_TestCase5, YES, 4199)
(Adding_Subtracting_Zero_1_T_Loop0_TestCase4, YES, 2797)
(Adding_Subtracting_Zero_1_T_Loop0_TestCase9, YES, 2763)
(Adding_Subtracting_Zero_1_T_Loop0_TestCase8, YES, 2698)
(Adding_Subtracting_Zero_1_T_Loop0_TestCase10, YES, 2785)</t>
  </si>
  <si>
    <t>(Adding_Subtracting_Zero_1_T_Loop17_TestCase0, YES, 5704)</t>
  </si>
  <si>
    <t>(Adding_Subtracting_Zero_1_T_Loop0_TestCase0, YES, 5749)</t>
  </si>
  <si>
    <t>(Adding_Subtracting_Zero_1_NT_Loop17_TestCase8, NO, 3978)
(Adding_Subtracting_Zero_1_NT_Loop17_TestCase9, NO, 4005)
(Adding_Subtracting_Zero_1_NT_Loop17_TestCase10, NO, 4025)
(Adding_Subtracting_Zero_1_NT_Loop17_TestCase2, YES, 2655)
(Adding_Subtracting_Zero_1_NT_Loop17_TestCase3, YES, 4107)
(Adding_Subtracting_Zero_1_NT_Loop17_TestCase1, YES, 2557)
(Adding_Subtracting_Zero_1_NT_Loop17_TestCase4, YES, 2667)
(Adding_Subtracting_Zero_1_NT_Loop17_TestCase5, YES, 4101)
(Adding_Subtracting_Zero_1_NT_Loop17_TestCase7, NO, 4115)
(Adding_Subtracting_Zero_1_NT_Loop17_TestCase6, NO, 4157)</t>
  </si>
  <si>
    <t>(Adding_Subtracting_Zero_1_NT_Loop0_TestCase10, NO, 4541)
(Adding_Subtracting_Zero_1_NT_Loop0_TestCase1, YES, 2768)
(Adding_Subtracting_Zero_1_NT_Loop0_TestCase3, YES, 4367)
(Adding_Subtracting_Zero_1_NT_Loop0_TestCase2, YES, 2724)
(Adding_Subtracting_Zero_1_NT_Loop0_TestCase6, NO, 4657)
(Adding_Subtracting_Zero_1_NT_Loop0_TestCase7, NO, 4268)
(Adding_Subtracting_Zero_1_NT_Loop0_TestCase5, YES, 4243)
(Adding_Subtracting_Zero_1_NT_Loop0_TestCase4, YES, 2778)
(Adding_Subtracting_Zero_1_NT_Loop0_TestCase9, NO, 4449)
(Adding_Subtracting_Zero_1_NT_Loop0_TestCase8, NO, 4749)</t>
  </si>
  <si>
    <t>(Adding_Subtracting_Zero_1_NT_Loop17_TestCase0, NO, 6969)</t>
  </si>
  <si>
    <t>(Adding_Subtracting_Zero_1_NT_Loop0_TestCase0, NO, 7723)</t>
  </si>
  <si>
    <t>(Using_Erroneous_Condition_3_T_Loop24_TestCase1, ERROR, 4140)
(Using_Erroneous_Condition_3_T_Loop27_TestCase4, ERROR, 4149)
(Using_Erroneous_Condition_3_T_Loop27_TestCase5, ERROR, 4169)
(Using_Erroneous_Condition_3_T_Loop24_TestCase2, ERROR, 4145)
(Using_Erroneous_Condition_3_T_Loop27_TestCase7, ERROR, 4152)
(Using_Erroneous_Condition_3_T_Loop27_TestCase6, ERROR, 4127)
(Using_Erroneous_Condition_3_T_Loop24_TestCase3, ERROR, 4049)
(Using_Erroneous_Condition_3_T_Loop24_TestCase7, ERROR, 4134)
(Using_Erroneous_Condition_3_T_Loop27_TestCase2, ERROR, 4107)
(Using_Erroneous_Condition_3_T_Loop27_TestCase3, ERROR, 4152)
(Using_Erroneous_Condition_3_T_Loop24_TestCase6, ERROR, 4163)
(Using_Erroneous_Condition_3_T_Loop24_TestCase4, ERROR, 4145)
(Using_Erroneous_Condition_3_T_Loop27_TestCase1, ERROR, 4163)
(Using_Erroneous_Condition_3_T_Loop24_TestCase5, ERROR, 4163)
(Using_Erroneous_Condition_3_T_Loop17_TestCase5, ERROR, 4089)
(Using_Erroneous_Condition_3_T_Loop17_TestCase4, ERROR, 4103)
(Using_Erroneous_Condition_3_T_Loop17_TestCase10, ERROR, 4058)
(Using_Erroneous_Condition_3_T_Loop17_TestCase6, ERROR, 4102)
(Using_Erroneous_Condition_3_T_Loop17_TestCase7, ERROR, 4072)
(Using_Erroneous_Condition_3_T_Loop17_TestCase3, ERROR, 4100)
(Using_Erroneous_Condition_3_T_Loop17_TestCase2, ERROR, 4082)
(Using_Erroneous_Condition_3_T_Loop17_TestCase1, ERROR, 4079)
(Using_Erroneous_Condition_3_T_Loop24_TestCase10, ERROR, 4136)
(Using_Erroneous_Condition_3_T_Loop17_TestCase9, ERROR, 4104)
(Using_Erroneous_Condition_3_T_Loop17_TestCase8, ERROR, 4083)
(Using_Erroneous_Condition_3_T_Loop24_TestCase8, ERROR, 4167)
(Using_Erroneous_Condition_3_T_Loop24_TestCase9, ERROR, 4130)
(Using_Erroneous_Condition_3_T_Loop27_TestCase10, ERROR, 4109)
(Using_Erroneous_Condition_3_T_Loop27_TestCase8, ERROR, 4155)
(Using_Erroneous_Condition_3_T_Loop27_TestCase9, ERROR, 4137)</t>
  </si>
  <si>
    <t>(Using_Erroneous_Condition_3_T_Loop0_TestCase1, ERROR, 4156)
(Using_Erroneous_Condition_3_T_Loop0_TestCase3, ERROR, 4170)
(Using_Erroneous_Condition_3_T_Loop0_TestCase2, ERROR, 4201)
(Using_Erroneous_Condition_3_T_Loop0_TestCase6, ERROR, 4137)
(Using_Erroneous_Condition_3_T_Loop0_TestCase7, ERROR, 4179)
(Using_Erroneous_Condition_3_T_Loop0_TestCase5, ERROR, 4183)
(Using_Erroneous_Condition_3_T_Loop0_TestCase4, ERROR, 4175)
(Using_Erroneous_Condition_3_T_Loop0_TestCase9, ERROR, 4177)
(Using_Erroneous_Condition_3_T_Loop0_TestCase8, ERROR, 4189)
(Using_Erroneous_Condition_3_T_Loop0_TestCase10, ERROR, 4182)</t>
  </si>
  <si>
    <t>(Using_Erroneous_Condition_3_T_Loop24_TestCase0, ERROR, 4095)
(Using_Erroneous_Condition_3_T_Loop27_TestCase0, ERROR, 4085)
(Using_Erroneous_Condition_3_T_Loop17_TestCase0, ERROR, 4048)</t>
  </si>
  <si>
    <t>(Using_Erroneous_Condition_3_T_Loop0_TestCase0, ERROR, 4131)</t>
  </si>
  <si>
    <t>(Using_Erroneous_Condition_3_NT_Loop17_TestCase2, ERROR, 4088)
(Using_Erroneous_Condition_3_NT_Loop17_TestCase3, ERROR, 4085)
(Using_Erroneous_Condition_3_NT_Loop17_TestCase1, ERROR, 4091)
(Using_Erroneous_Condition_3_NT_Loop17_TestCase4, ERROR, 4132)
(Using_Erroneous_Condition_3_NT_Loop17_TestCase5, ERROR, 4099)
(Using_Erroneous_Condition_3_NT_Loop17_TestCase7, ERROR, 4091)
(Using_Erroneous_Condition_3_NT_Loop17_TestCase6, ERROR, 4086)
(Using_Erroneous_Condition_3_NT_Loop27_TestCase3, ERROR, 4168)
(Using_Erroneous_Condition_3_NT_Loop24_TestCase6, ERROR, 4076)
(Using_Erroneous_Condition_3_NT_Loop24_TestCase7, ERROR, 4052)
(Using_Erroneous_Condition_3_NT_Loop27_TestCase2, ERROR, 4096)
(Using_Erroneous_Condition_3_NT_Loop24_TestCase5, ERROR, 4120)
(Using_Erroneous_Condition_3_NT_Loop17_TestCase10, ERROR, 4103)
(Using_Erroneous_Condition_3_NT_Loop24_TestCase4, ERROR, 4158)
(Using_Erroneous_Condition_3_NT_Loop27_TestCase1, ERROR, 4137)
(Using_Erroneous_Condition_3_NT_Loop27_TestCase5, ERROR, 4134)
(Using_Erroneous_Condition_3_NT_Loop24_TestCase1, ERROR, 4134)
(Using_Erroneous_Condition_3_NT_Loop27_TestCase4, ERROR, 4139)
(Using_Erroneous_Condition_3_NT_Loop27_TestCase6, ERROR, 4132)
(Using_Erroneous_Condition_3_NT_Loop24_TestCase3, ERROR, 4135)
(Using_Erroneous_Condition_3_NT_Loop24_TestCase2, ERROR, 4115)
(Using_Erroneous_Condition_3_NT_Loop27_TestCase7, ERROR, 4161)
(Using_Erroneous_Condition_3_NT_Loop27_TestCase9, ERROR, 4106)
(Using_Erroneous_Condition_3_NT_Loop27_TestCase8, ERROR, 4115)
(Using_Erroneous_Condition_3_NT_Loop24_TestCase9, ERROR, 4120)
(Using_Erroneous_Condition_3_NT_Loop24_TestCase8, ERROR, 4187)
(Using_Erroneous_Condition_3_NT_Loop24_TestCase10, ERROR, 4134)
(Using_Erroneous_Condition_3_NT_Loop17_TestCase8, ERROR, 4064)
(Using_Erroneous_Condition_3_NT_Loop17_TestCase9, ERROR, 4071)
(Using_Erroneous_Condition_3_NT_Loop27_TestCase10, ERROR, 4177)</t>
  </si>
  <si>
    <t>(Using_Erroneous_Condition_3_NT_Loop0_TestCase1, ERROR, 4156)
(Using_Erroneous_Condition_3_NT_Loop0_TestCase3, ERROR, 4070)
(Using_Erroneous_Condition_3_NT_Loop0_TestCase2, ERROR, 4201)
(Using_Erroneous_Condition_3_NT_Loop0_TestCase6, ERROR, 4134)
(Using_Erroneous_Condition_3_NT_Loop0_TestCase7, ERROR, 4264)
(Using_Erroneous_Condition_3_NT_Loop0_TestCase5, ERROR, 4191)
(Using_Erroneous_Condition_3_NT_Loop0_TestCase4, ERROR, 4391)
(Using_Erroneous_Condition_3_NT_Loop0_TestCase10, ERROR, 4251)
(Using_Erroneous_Condition_3_NT_Loop0_TestCase9, ERROR, 4180)
(Using_Erroneous_Condition_3_NT_Loop0_TestCase8, ERROR, 4161)</t>
  </si>
  <si>
    <t>(Using_Erroneous_Condition_3_NT_Loop17_TestCase0, ERROR, 4123)
(Using_Erroneous_Condition_3_NT_Loop27_TestCase0, ERROR, 4089)
(Using_Erroneous_Condition_3_NT_Loop24_TestCase0, ERROR, 196)</t>
  </si>
  <si>
    <t>(Using_Erroneous_Condition_3_NT_Loop0_TestCase0, ERROR, 4115)</t>
  </si>
  <si>
    <t>(Using_Erroneous_Condition_2_T_Loop15_TestCase9, TRUE, 7139)
(Using_Erroneous_Condition_2_T_Loop15_TestCase8, TRUE, 4991)
(Using_Erroneous_Condition_2_T_Loop15_TestCase10, TRUE, 7438)
(Using_Erroneous_Condition_2_T_Loop15_TestCase3, TRUE, 4834)
(Using_Erroneous_Condition_2_T_Loop15_TestCase2, TRUE, 4783)
(Using_Erroneous_Condition_2_T_Loop15_TestCase1, TRUE, 4840)
(Using_Erroneous_Condition_2_T_Loop15_TestCase5, TRUE, 4810)
(Using_Erroneous_Condition_2_T_Loop15_TestCase4, TRUE, 4836)
(Using_Erroneous_Condition_2_T_Loop15_TestCase6, TRUE, 4830)
(Using_Erroneous_Condition_2_T_Loop15_TestCase7, TRUE, 4846)</t>
  </si>
  <si>
    <t>(Using_Erroneous_Condition_2_T_Loop0_TestCase9, TRUE, 6500)
(Using_Erroneous_Condition_2_T_Loop0_TestCase8, TRUE, 4844)
(Using_Erroneous_Condition_2_T_Loop0_TestCase10, TRUE, 6599)
(Using_Erroneous_Condition_2_T_Loop0_TestCase3, TRUE, 4790)
(Using_Erroneous_Condition_2_T_Loop0_TestCase2, TRUE, 4702)
(Using_Erroneous_Condition_2_T_Loop0_TestCase1, TRUE, 4758)
(Using_Erroneous_Condition_2_T_Loop0_TestCase5, TRUE, 4771)
(Using_Erroneous_Condition_2_T_Loop0_TestCase4, TRUE, 4782)
(Using_Erroneous_Condition_2_T_Loop0_TestCase6, TRUE, 4771)
(Using_Erroneous_Condition_2_T_Loop0_TestCase7, TRUE, 4793)</t>
  </si>
  <si>
    <t>(Using_Erroneous_Condition_2_T_Loop15_TestCase0, TRUE, 6423)</t>
  </si>
  <si>
    <t>(Using_Erroneous_Condition_2_T_Loop0_TestCase0, TRUE, 6890)</t>
  </si>
  <si>
    <t>(Using_Erroneous_Condition_2_NT_Loop16_TestCase10, FALSE, 4831)
(Using_Erroneous_Condition_2_NT_Loop16_TestCase1, TRUE, 4666)
(Using_Erroneous_Condition_2_NT_Loop16_TestCase2, TRUE, 4828)
(Using_Erroneous_Condition_2_NT_Loop16_TestCase3, TRUE, 4785)
(Using_Erroneous_Condition_2_NT_Loop16_TestCase7, FALSE, 4845)
(Using_Erroneous_Condition_2_NT_Loop16_TestCase6, FALSE, 4856)
(Using_Erroneous_Condition_2_NT_Loop16_TestCase4, TRUE, 4784)
(Using_Erroneous_Condition_2_NT_Loop16_TestCase5, TRUE, 4804)
(Using_Erroneous_Condition_2_NT_Loop16_TestCase8, FALSE, 4872)
(Using_Erroneous_Condition_2_NT_Loop16_TestCase9, FALSE, 4875)</t>
  </si>
  <si>
    <t>(Using_Erroneous_Condition_2_NT_Loop0_TestCase4, TRUE, 4676)
(Using_Erroneous_Condition_2_NT_Loop0_TestCase5, TRUE, 4778)
(Using_Erroneous_Condition_2_NT_Loop0_TestCase7, FALSE, 5335)
(Using_Erroneous_Condition_2_NT_Loop0_TestCase6, FALSE, 5248)
(Using_Erroneous_Condition_2_NT_Loop0_TestCase2, TRUE, 4743)
(Using_Erroneous_Condition_2_NT_Loop0_TestCase3, TRUE, 4794)
(Using_Erroneous_Condition_2_NT_Loop0_TestCase1, TRUE, 4783)
(Using_Erroneous_Condition_2_NT_Loop0_TestCase10, FALSE, 5287)
(Using_Erroneous_Condition_2_NT_Loop0_TestCase8, FALSE, 5271)
(Using_Erroneous_Condition_2_NT_Loop0_TestCase9, FALSE, 5260)</t>
  </si>
  <si>
    <t>(Using_Erroneous_Condition_2_NT_Loop16_TestCase0, FALSE, 4772)</t>
  </si>
  <si>
    <t>(Using_Erroneous_Condition_2_NT_Loop0_TestCase0, FALSE, 5344)</t>
  </si>
  <si>
    <t>(Using_Erroneous_Condition_1_T_Loop39_TestCase4, ERROR, 4271)
(Using_Erroneous_Condition_1_T_Loop39_TestCase5, ERROR, 4274)
(Using_Erroneous_Condition_1_T_Loop39_TestCase7, ERROR, 4162)
(Using_Erroneous_Condition_1_T_Loop39_TestCase6, ERROR, 4232)
(Using_Erroneous_Condition_1_T_Loop39_TestCase2, ERROR, 4229)
(Using_Erroneous_Condition_1_T_Loop39_TestCase3, ERROR, 4227)
(Using_Erroneous_Condition_1_T_Loop39_TestCase1, ERROR, 4249)
(Using_Erroneous_Condition_1_T_Loop39_TestCase10, ERROR, 4277)
(Using_Erroneous_Condition_1_T_Loop39_TestCase8, ERROR, 4248)
(Using_Erroneous_Condition_1_T_Loop39_TestCase9, ERROR, 4266)</t>
  </si>
  <si>
    <t>(Using_Erroneous_Condition_1_T_Loop0_TestCase7, ERROR, 4216)
(Using_Erroneous_Condition_1_T_Loop0_TestCase6, ERROR, 4225)
(Using_Erroneous_Condition_1_T_Loop0_TestCase4, ERROR, 4251)
(Using_Erroneous_Condition_1_T_Loop0_TestCase5, ERROR, 4235)
(Using_Erroneous_Condition_1_T_Loop0_TestCase1, ERROR, 4211)
(Using_Erroneous_Condition_1_T_Loop0_TestCase2, ERROR, 4158)
(Using_Erroneous_Condition_1_T_Loop0_TestCase3, ERROR, 4198)
(Using_Erroneous_Condition_1_T_Loop0_TestCase10, ERROR, 4204)
(Using_Erroneous_Condition_1_T_Loop0_TestCase8, ERROR, 4245)
(Using_Erroneous_Condition_1_T_Loop0_TestCase9, ERROR, 4254)</t>
  </si>
  <si>
    <t>(Using_Erroneous_Condition_1_T_Loop39_TestCase0, ERROR, 4170)</t>
  </si>
  <si>
    <t>(Using_Erroneous_Condition_1_T_Loop0_TestCase0, ERROR, 4186)</t>
  </si>
  <si>
    <t>(Using_Erroneous_Condition_1_NT_Loop39_TestCase9, ERROR, 4235)
(Using_Erroneous_Condition_1_NT_Loop39_TestCase8, ERROR, 4318)
(Using_Erroneous_Condition_1_NT_Loop39_TestCase10, ERROR, 4228)
(Using_Erroneous_Condition_1_NT_Loop39_TestCase3, ERROR, 4261)
(Using_Erroneous_Condition_1_NT_Loop39_TestCase2, ERROR, 4318)
(Using_Erroneous_Condition_1_NT_Loop39_TestCase1, ERROR, 4235)
(Using_Erroneous_Condition_1_NT_Loop39_TestCase5, ERROR, 4293)
(Using_Erroneous_Condition_1_NT_Loop39_TestCase4, ERROR, 4247)
(Using_Erroneous_Condition_1_NT_Loop39_TestCase6, ERROR, 4205)
(Using_Erroneous_Condition_1_NT_Loop39_TestCase7, ERROR, 4235)</t>
  </si>
  <si>
    <t>(Using_Erroneous_Condition_1_NT_Loop0_TestCase1, ERROR, 4237)
(Using_Erroneous_Condition_1_NT_Loop0_TestCase2, ERROR, 4231)
(Using_Erroneous_Condition_1_NT_Loop0_TestCase3, ERROR, 4211)
(Using_Erroneous_Condition_1_NT_Loop0_TestCase7, ERROR, 4272)
(Using_Erroneous_Condition_1_NT_Loop0_TestCase6, ERROR, 4213)
(Using_Erroneous_Condition_1_NT_Loop0_TestCase4, ERROR, 4227)
(Using_Erroneous_Condition_1_NT_Loop0_TestCase5, ERROR, 4303)
(Using_Erroneous_Condition_1_NT_Loop0_TestCase10, ERROR, 4222)
(Using_Erroneous_Condition_1_NT_Loop0_TestCase8, ERROR, 4222)
(Using_Erroneous_Condition_1_NT_Loop0_TestCase9, ERROR, 4215)</t>
  </si>
  <si>
    <t>(Using_Erroneous_Condition_1_NT_Loop39_TestCase0, ERROR, 4347)</t>
  </si>
  <si>
    <t>(Using_Erroneous_Condition_1_NT_Loop0_TestCase0, ERROR, 4489)</t>
  </si>
  <si>
    <t>(Unsigned_Wraparound_Error_4_T_Loop13_TestCase9, TRUE, 6574)
(Unsigned_Wraparound_Error_4_T_Loop13_TestCase8, TRUE, 5866)
(Unsigned_Wraparound_Error_4_T_Loop13_TestCase6, TRUE, 4866)
(Unsigned_Wraparound_Error_4_T_Loop13_TestCase7, TRUE, 4936)
(Unsigned_Wraparound_Error_4_T_Loop13_TestCase5, UNKNOWN, 301171)
(Unsigned_Wraparound_Error_4_T_Loop13_TestCase4, TRUE, 6796)
(Unsigned_Wraparound_Error_4_T_Loop13_TestCase1, TRUE, 5173)
(Unsigned_Wraparound_Error_4_T_Loop13_TestCase3, TRUE, 4954)
(Unsigned_Wraparound_Error_4_T_Loop13_TestCase2, TRUE, 4889)
(Unsigned_Wraparound_Error_4_T_Loop13_TestCase10, UNKNOWN, 301073)</t>
  </si>
  <si>
    <t>(Unsigned_Wraparound_Error_4_T_Loop0_TestCase8, TRUE, 5858)
(Unsigned_Wraparound_Error_4_T_Loop0_TestCase9, TRUE, 6608)
(Unsigned_Wraparound_Error_4_T_Loop0_TestCase10, UNKNOWN, 301181)
(Unsigned_Wraparound_Error_4_T_Loop0_TestCase2, TRUE, 4822)
(Unsigned_Wraparound_Error_4_T_Loop0_TestCase3, TRUE, 4969)
(Unsigned_Wraparound_Error_4_T_Loop0_TestCase1, TRUE, 5150)
(Unsigned_Wraparound_Error_4_T_Loop0_TestCase4, TRUE, 6753)
(Unsigned_Wraparound_Error_4_T_Loop0_TestCase5, UNKNOWN, 301134)
(Unsigned_Wraparound_Error_4_T_Loop0_TestCase7, TRUE, 4926)
(Unsigned_Wraparound_Error_4_T_Loop0_TestCase6, TRUE, 4922)</t>
  </si>
  <si>
    <t>(Unsigned_Wraparound_Error_4_T_Loop13_TestCase0, UNKNOWN, 301343)</t>
  </si>
  <si>
    <t>(Unsigned_Wraparound_Error_4_T_Loop0_TestCase0, UNKNOWN, 301388)</t>
  </si>
  <si>
    <t>(Unsigned_Wraparound_Error_4_NT_Loop15_TestCase2, TRUE, 5195)
(Unsigned_Wraparound_Error_4_NT_Loop15_TestCase10, UNKNOWN, 301075)
(Unsigned_Wraparound_Error_4_NT_Loop15_TestCase3, TRUE, 5252)
(Unsigned_Wraparound_Error_4_NT_Loop15_TestCase1, TRUE, 5054)
(Unsigned_Wraparound_Error_4_NT_Loop15_TestCase4, TRUE, 6131)
(Unsigned_Wraparound_Error_4_NT_Loop15_TestCase5, UNKNOWN, 301156)
(Unsigned_Wraparound_Error_4_NT_Loop15_TestCase7, UNKNOWN, 301106)
(Unsigned_Wraparound_Error_4_NT_Loop15_TestCase6, UNKNOWN, 301066)
(Unsigned_Wraparound_Error_4_NT_Loop15_TestCase8, UNKNOWN, 301225)
(Unsigned_Wraparound_Error_4_NT_Loop15_TestCase9, UNKNOWN, 301177)</t>
  </si>
  <si>
    <t>(Unsigned_Wraparound_Error_4_NT_Loop0_TestCase8, UNKNOWN, 301107)
(Unsigned_Wraparound_Error_4_NT_Loop0_TestCase9, UNKNOWN, 301061)
(Unsigned_Wraparound_Error_4_NT_Loop0_TestCase10, UNKNOWN, 301180)
(Unsigned_Wraparound_Error_4_NT_Loop0_TestCase2, TRUE, 5199)
(Unsigned_Wraparound_Error_4_NT_Loop0_TestCase3, TRUE, 5202)
(Unsigned_Wraparound_Error_4_NT_Loop0_TestCase1, TRUE, 4834)
(Unsigned_Wraparound_Error_4_NT_Loop0_TestCase4, TRUE, 6772)
(Unsigned_Wraparound_Error_4_NT_Loop0_TestCase5, UNKNOWN, 301235)
(Unsigned_Wraparound_Error_4_NT_Loop0_TestCase7, UNKNOWN, 301142)
(Unsigned_Wraparound_Error_4_NT_Loop0_TestCase6, UNKNOWN, 301194)</t>
  </si>
  <si>
    <t>(Unsigned_Wraparound_Error_4_NT_Loop15_TestCase0, UNKNOWN, 301265)</t>
  </si>
  <si>
    <t>(Unsigned_Wraparound_Error_4_NT_Loop0_TestCase0, UNKNOWN, 301349)</t>
  </si>
  <si>
    <t>(Unsigned_Wraparound_Error_3_T_Loop19_TestCase8, TRUE, 5744)
(Unsigned_Wraparound_Error_3_T_Loop19_TestCase9, TRUE, 5800)
(Unsigned_Wraparound_Error_3_T_Loop19_TestCase1, TRUE, 4943)
(Unsigned_Wraparound_Error_3_T_Loop19_TestCase2, TRUE, 4943)
(Unsigned_Wraparound_Error_3_T_Loop19_TestCase3, TRUE, 4879)
(Unsigned_Wraparound_Error_3_T_Loop19_TestCase7, TRUE, 6102)
(Unsigned_Wraparound_Error_3_T_Loop19_TestCase6, TRUE, 5666)
(Unsigned_Wraparound_Error_3_T_Loop19_TestCase10, TRUE, 6030)
(Unsigned_Wraparound_Error_3_T_Loop19_TestCase4, TRUE, 4848)
(Unsigned_Wraparound_Error_3_T_Loop19_TestCase5, TRUE, 4894)</t>
  </si>
  <si>
    <t>(Unsigned_Wraparound_Error_3_T_Loop0_TestCase5, TRUE, 4809)
(Unsigned_Wraparound_Error_3_T_Loop0_TestCase4, TRUE, 4780)
(Unsigned_Wraparound_Error_3_T_Loop0_TestCase6, TRUE, 5673)
(Unsigned_Wraparound_Error_3_T_Loop0_TestCase7, TRUE, 5656)
(Unsigned_Wraparound_Error_3_T_Loop0_TestCase10, TRUE, 6068)
(Unsigned_Wraparound_Error_3_T_Loop0_TestCase3, TRUE, 4803)
(Unsigned_Wraparound_Error_3_T_Loop0_TestCase2, TRUE, 4951)
(Unsigned_Wraparound_Error_3_T_Loop0_TestCase1, TRUE, 4930)
(Unsigned_Wraparound_Error_3_T_Loop0_TestCase9, TRUE, 5774)
(Unsigned_Wraparound_Error_3_T_Loop0_TestCase8, TRUE, 5745)</t>
  </si>
  <si>
    <t>(Unsigned_Wraparound_Error_3_T_Loop19_TestCase0, FALSE, 5813)</t>
  </si>
  <si>
    <t>(Unsigned_Wraparound_Error_3_T_Loop0_TestCase0, FALSE, 5819)</t>
  </si>
  <si>
    <t>(Unsigned_Wraparound_Error_3_NT_Loop20_TestCase8, FALSE, 6036)
(Unsigned_Wraparound_Error_3_NT_Loop20_TestCase9, FALSE, 6073)
(Unsigned_Wraparound_Error_3_NT_Loop20_TestCase10, FALSE, 6028)
(Unsigned_Wraparound_Error_3_NT_Loop20_TestCase7, FALSE, 5726)
(Unsigned_Wraparound_Error_3_NT_Loop20_TestCase6, FALSE, 5851)
(Unsigned_Wraparound_Error_3_NT_Loop20_TestCase4, TRUE, 4797)
(Unsigned_Wraparound_Error_3_NT_Loop20_TestCase5, TRUE, 4869)
(Unsigned_Wraparound_Error_3_NT_Loop20_TestCase1, TRUE, 4980)
(Unsigned_Wraparound_Error_3_NT_Loop20_TestCase2, TRUE, 4879)
(Unsigned_Wraparound_Error_3_NT_Loop20_TestCase3, TRUE, 4839)</t>
  </si>
  <si>
    <t>(Unsigned_Wraparound_Error_3_NT_Loop0_TestCase10, FALSE, 6088)
(Unsigned_Wraparound_Error_3_NT_Loop0_TestCase8, FALSE, 6052)
(Unsigned_Wraparound_Error_3_NT_Loop0_TestCase9, FALSE, 5989)
(Unsigned_Wraparound_Error_3_NT_Loop0_TestCase1, TRUE, 4919)
(Unsigned_Wraparound_Error_3_NT_Loop0_TestCase2, TRUE, 4894)
(Unsigned_Wraparound_Error_3_NT_Loop0_TestCase3, TRUE, 4754)
(Unsigned_Wraparound_Error_3_NT_Loop0_TestCase7, FALSE, 5850)
(Unsigned_Wraparound_Error_3_NT_Loop0_TestCase6, FALSE, 5863)
(Unsigned_Wraparound_Error_3_NT_Loop0_TestCase4, TRUE, 4764)
(Unsigned_Wraparound_Error_3_NT_Loop0_TestCase5, TRUE, 4792)</t>
  </si>
  <si>
    <t>(Unsigned_Wraparound_Error_3_NT_Loop20_TestCase0, FALSE, 4896)</t>
  </si>
  <si>
    <t>(Unsigned_Wraparound_Error_3_NT_Loop0_TestCase0, FALSE, 4882)</t>
  </si>
  <si>
    <t>(Unsigned_Wraparound_Error_2_T_Loop18_TestCase2, TRUE, 4999)
(Unsigned_Wraparound_Error_2_T_Loop18_TestCase3, TRUE, 5056)
(Unsigned_Wraparound_Error_2_T_Loop18_TestCase1, TRUE, 4856)
(Unsigned_Wraparound_Error_2_T_Loop18_TestCase4, TRUE, 5169)
(Unsigned_Wraparound_Error_2_T_Loop18_TestCase5, TRUE, 5740)
(Unsigned_Wraparound_Error_2_T_Loop18_TestCase10, TRUE, 5701)
(Unsigned_Wraparound_Error_2_T_Loop18_TestCase7, TRUE, 5788)
(Unsigned_Wraparound_Error_2_T_Loop18_TestCase6, TRUE, 5793)
(Unsigned_Wraparound_Error_2_T_Loop18_TestCase8, TRUE, 5796)
(Unsigned_Wraparound_Error_2_T_Loop18_TestCase9, TRUE, 5772)</t>
  </si>
  <si>
    <t>(Unsigned_Wraparound_Error_2_T_Loop0_TestCase10, TRUE, 5644)
(Unsigned_Wraparound_Error_2_T_Loop0_TestCase9, TRUE, 5635)
(Unsigned_Wraparound_Error_2_T_Loop0_TestCase8, TRUE, 5683)
(Unsigned_Wraparound_Error_2_T_Loop0_TestCase6, TRUE, 5628)
(Unsigned_Wraparound_Error_2_T_Loop0_TestCase7, TRUE, 5656)
(Unsigned_Wraparound_Error_2_T_Loop0_TestCase5, TRUE, 5625)
(Unsigned_Wraparound_Error_2_T_Loop0_TestCase4, TRUE, 5048)
(Unsigned_Wraparound_Error_2_T_Loop0_TestCase1, TRUE, 4785)
(Unsigned_Wraparound_Error_2_T_Loop0_TestCase3, TRUE, 5018)
(Unsigned_Wraparound_Error_2_T_Loop0_TestCase2, TRUE, 4882)</t>
  </si>
  <si>
    <t>(Unsigned_Wraparound_Error_2_T_Loop18_TestCase0, TRUE, 6967)</t>
  </si>
  <si>
    <t>(Unsigned_Wraparound_Error_2_T_Loop0_TestCase0, TRUE, 6745)</t>
  </si>
  <si>
    <t>(Unsigned_Wraparound_Error_2_NT_Loop18_TestCase8, FALSE, 5815)
(Unsigned_Wraparound_Error_2_NT_Loop18_TestCase9, FALSE, 5949)
(Unsigned_Wraparound_Error_2_NT_Loop18_TestCase4, TRUE, 5079)
(Unsigned_Wraparound_Error_2_NT_Loop18_TestCase5, TRUE, 5552)
(Unsigned_Wraparound_Error_2_NT_Loop18_TestCase7, FALSE, 5886)
(Unsigned_Wraparound_Error_2_NT_Loop18_TestCase6, FALSE, 5910)
(Unsigned_Wraparound_Error_2_NT_Loop18_TestCase2, TRUE, 4880)
(Unsigned_Wraparound_Error_2_NT_Loop18_TestCase3, TRUE, 4976)
(Unsigned_Wraparound_Error_2_NT_Loop18_TestCase1, TRUE, 4799)
(Unsigned_Wraparound_Error_2_NT_Loop18_TestCase10, FALSE, 5809)</t>
  </si>
  <si>
    <t>(Unsigned_Wraparound_Error_2_NT_Loop0_TestCase9, FALSE, 5692)
(Unsigned_Wraparound_Error_2_NT_Loop0_TestCase8, FALSE, 5847)
(Unsigned_Wraparound_Error_2_NT_Loop0_TestCase10, FALSE, 5946)
(Unsigned_Wraparound_Error_2_NT_Loop0_TestCase5, TRUE, 5576)
(Unsigned_Wraparound_Error_2_NT_Loop0_TestCase4, TRUE, 5007)
(Unsigned_Wraparound_Error_2_NT_Loop0_TestCase6, FALSE, 5874)
(Unsigned_Wraparound_Error_2_NT_Loop0_TestCase7, FALSE, 5898)
(Unsigned_Wraparound_Error_2_NT_Loop0_TestCase3, TRUE, 4974)
(Unsigned_Wraparound_Error_2_NT_Loop0_TestCase2, TRUE, 4901)
(Unsigned_Wraparound_Error_2_NT_Loop0_TestCase1, TRUE, 4819)</t>
  </si>
  <si>
    <t>(Unsigned_Wraparound_Error_2_NT_Loop18_TestCase0, FALSE, 6363)</t>
  </si>
  <si>
    <t>(Unsigned_Wraparound_Error_2_NT_Loop0_TestCase0, FALSE, 6427)</t>
  </si>
  <si>
    <t>(Unsigned_Wraparound_Error_1_T_Loop22_TestCase2, TRUE, 5104)
(Unsigned_Wraparound_Error_1_T_Loop22_TestCase3, TRUE, 8417)
(Unsigned_Wraparound_Error_1_T_Loop22_TestCase1, TRUE, 4924)
(Unsigned_Wraparound_Error_1_T_Loop22_TestCase4, TRUE, 5238)
(Unsigned_Wraparound_Error_1_T_Loop22_TestCase5, TRUE, 5286)
(Unsigned_Wraparound_Error_1_T_Loop22_TestCase7, UNKNOWN, 301236)
(Unsigned_Wraparound_Error_1_T_Loop22_TestCase6, UNKNOWN, 301149)
(Unsigned_Wraparound_Error_1_T_Loop22_TestCase8, UNKNOWN, 301169)
(Unsigned_Wraparound_Error_1_T_Loop22_TestCase9, UNKNOWN, 301062)
(Unsigned_Wraparound_Error_1_T_Loop22_TestCase10, TRUE, 5279)</t>
  </si>
  <si>
    <t>(Unsigned_Wraparound_Error_1_T_Loop0_TestCase2, TRUE, 5066)
(Unsigned_Wraparound_Error_1_T_Loop0_TestCase3, TRUE, 8412)
(Unsigned_Wraparound_Error_1_T_Loop0_TestCase1, TRUE, 4839)
(Unsigned_Wraparound_Error_1_T_Loop0_TestCase4, TRUE, 5257)
(Unsigned_Wraparound_Error_1_T_Loop0_TestCase5, TRUE, 5589)
(Unsigned_Wraparound_Error_1_T_Loop0_TestCase7, UNKNOWN, 301337)
(Unsigned_Wraparound_Error_1_T_Loop0_TestCase6, UNKNOWN, 301225)
(Unsigned_Wraparound_Error_1_T_Loop0_TestCase10, TRUE, 5091)
(Unsigned_Wraparound_Error_1_T_Loop0_TestCase8, UNKNOWN, 301158)
(Unsigned_Wraparound_Error_1_T_Loop0_TestCase9, UNKNOWN, 301310)</t>
  </si>
  <si>
    <t>(Unsigned_Wraparound_Error_1_T_Loop22_TestCase0, UNKNOWN, 300788)</t>
  </si>
  <si>
    <t>(Unsigned_Wraparound_Error_1_T_Loop0_TestCase0, UNKNOWN, 300819)</t>
  </si>
  <si>
    <t>(Unsigned_Wraparound_Error_1_NT_Loop22_TestCase8, UNKNOWN, 301152)
(Unsigned_Wraparound_Error_1_NT_Loop22_TestCase9, ERROR, 5774)
(Unsigned_Wraparound_Error_1_NT_Loop22_TestCase4, TRUE, 5142)
(Unsigned_Wraparound_Error_1_NT_Loop22_TestCase5, TRUE, 5163)
(Unsigned_Wraparound_Error_1_NT_Loop22_TestCase10, FALSE, 5282)
(Unsigned_Wraparound_Error_1_NT_Loop22_TestCase7, UNKNOWN, 301131)
(Unsigned_Wraparound_Error_1_NT_Loop22_TestCase6, UNKNOWN, 301113)
(Unsigned_Wraparound_Error_1_NT_Loop22_TestCase2, TRUE, 5146)
(Unsigned_Wraparound_Error_1_NT_Loop22_TestCase3, TRUE, 7180)
(Unsigned_Wraparound_Error_1_NT_Loop22_TestCase1, TRUE, 4844)</t>
  </si>
  <si>
    <t>(Unsigned_Wraparound_Error_1_NT_Loop0_TestCase9, UNKNOWN, 301174)
(Unsigned_Wraparound_Error_1_NT_Loop0_TestCase8, UNKNOWN, 301048)
(Unsigned_Wraparound_Error_1_NT_Loop0_TestCase1, TRUE, 4841)
(Unsigned_Wraparound_Error_1_NT_Loop0_TestCase10, FALSE, 4987)
(Unsigned_Wraparound_Error_1_NT_Loop0_TestCase3, TRUE, 10603)
(Unsigned_Wraparound_Error_1_NT_Loop0_TestCase2, TRUE, 4861)
(Unsigned_Wraparound_Error_1_NT_Loop0_TestCase6, UNKNOWN, 301152)
(Unsigned_Wraparound_Error_1_NT_Loop0_TestCase7, UNKNOWN, 301124)
(Unsigned_Wraparound_Error_1_NT_Loop0_TestCase5, TRUE, 5205)
(Unsigned_Wraparound_Error_1_NT_Loop0_TestCase4, TRUE, 5711)</t>
  </si>
  <si>
    <t>(Unsigned_Wraparound_Error_1_NT_Loop22_TestCase0, FALSE, 5028)</t>
  </si>
  <si>
    <t>(Unsigned_Wraparound_Error_1_NT_Loop0_TestCase0, FALSE, 5161)</t>
  </si>
  <si>
    <t>(Undefined_Behavior_3_T_Loop15_TestCase9, TRUE, 4948)
(Undefined_Behavior_3_T_Loop15_TestCase8, TRUE, 4940)
(Undefined_Behavior_3_T_Loop15_TestCase10, TRUE, 4910)
(Undefined_Behavior_3_T_Loop15_TestCase5, TRUE, 4868)
(Undefined_Behavior_3_T_Loop15_TestCase4, TRUE, 4886)
(Undefined_Behavior_3_T_Loop15_TestCase6, TRUE, 4934)
(Undefined_Behavior_3_T_Loop15_TestCase7, TRUE, 4908)
(Undefined_Behavior_3_T_Loop15_TestCase3, TRUE, 4736)
(Undefined_Behavior_3_T_Loop15_TestCase2, TRUE, 4874)
(Undefined_Behavior_3_T_Loop15_TestCase1, TRUE, 4798)</t>
  </si>
  <si>
    <t>(Undefined_Behavior_3_T_Loop0_TestCase8, TRUE, 4922)
(Undefined_Behavior_3_T_Loop0_TestCase9, TRUE, 4949)
(Undefined_Behavior_3_T_Loop0_TestCase10, TRUE, 4931)
(Undefined_Behavior_3_T_Loop0_TestCase7, TRUE, 4927)
(Undefined_Behavior_3_T_Loop0_TestCase6, TRUE, 4892)
(Undefined_Behavior_3_T_Loop0_TestCase4, TRUE, 4917)
(Undefined_Behavior_3_T_Loop0_TestCase5, TRUE, 4885)
(Undefined_Behavior_3_T_Loop0_TestCase1, TRUE, 4863)
(Undefined_Behavior_3_T_Loop0_TestCase2, TRUE, 4967)
(Undefined_Behavior_3_T_Loop0_TestCase3, TRUE, 4928)</t>
  </si>
  <si>
    <t>(Undefined_Behavior_3_T_Loop15_TestCase0, TRUE, 4992)</t>
  </si>
  <si>
    <t>(Undefined_Behavior_3_T_Loop0_TestCase0, TRUE, 4969)</t>
  </si>
  <si>
    <t>(Undefined_Behavior_3_Loop15_TestCase3, TRUE, 4854)
(Undefined_Behavior_3_Loop15_TestCase2, TRUE, 4902)
(Undefined_Behavior_3_Loop15_TestCase1, TRUE, 4758)
(Undefined_Behavior_3_Loop15_TestCase5, TRUE, 4868)
(Undefined_Behavior_3_Loop15_TestCase4, TRUE, 4805)
(Undefined_Behavior_3_Loop15_TestCase6, TRUE, 4878)
(Undefined_Behavior_3_Loop15_TestCase7, TRUE, 4868)
(Undefined_Behavior_3_Loop15_TestCase10, TRUE, 4898)
(Undefined_Behavior_3_Loop15_TestCase9, TRUE, 4917)
(Undefined_Behavior_3_Loop15_TestCase8, TRUE, 4898)</t>
  </si>
  <si>
    <t>(Undefined_Behavior_3_Loop0_TestCase6, TRUE, 4949)
(Undefined_Behavior_3_Loop0_TestCase7, TRUE, 4954)
(Undefined_Behavior_3_Loop0_TestCase5, TRUE, 4901)
(Undefined_Behavior_3_Loop0_TestCase4, TRUE, 4942)
(Undefined_Behavior_3_Loop0_TestCase1, TRUE, 4739)
(Undefined_Behavior_3_Loop0_TestCase3, TRUE, 4906)
(Undefined_Behavior_3_Loop0_TestCase2, TRUE, 4922)
(Undefined_Behavior_3_Loop0_TestCase10, TRUE, 5108)
(Undefined_Behavior_3_Loop0_TestCase9, TRUE, 4934)
(Undefined_Behavior_3_Loop0_TestCase8, TRUE, 4990)</t>
  </si>
  <si>
    <t>(Undefined_Behavior_3_Loop15_TestCase0, UNKNOWN, 301169)</t>
  </si>
  <si>
    <t>(Undefined_Behavior_3_Loop0_TestCase0, UNKNOWN, 301176)</t>
  </si>
  <si>
    <t>(Undefined_Behavior_2_T_Loop25_TestCase9, ERROR, 4209)
(Undefined_Behavior_2_T_Loop25_TestCase8, ERROR, 4189)
(Undefined_Behavior_2_T_Loop14_TestCase6, ERROR, 4220)
(Undefined_Behavior_2_T_Loop14_TestCase7, ERROR, 4185)
(Undefined_Behavior_2_T_Loop14_TestCase5, ERROR, 4235)
(Undefined_Behavior_2_T_Loop25_TestCase10, ERROR, 4242)
(Undefined_Behavior_2_T_Loop14_TestCase4, ERROR, 4213)
(Undefined_Behavior_2_T_Loop14_TestCase1, ERROR, 4217)
(Undefined_Behavior_2_T_Loop14_TestCase3, ERROR, 4245)
(Undefined_Behavior_2_T_Loop14_TestCase2, ERROR, 4231)
(Undefined_Behavior_2_T_Loop14_TestCase9, ERROR, 4208)
(Undefined_Behavior_2_T_Loop14_TestCase8, ERROR, 4238)
(Undefined_Behavior_2_T_Loop14_TestCase10, ERROR, 4225)
(Undefined_Behavior_2_T_Loop25_TestCase1, ERROR, 4213)
(Undefined_Behavior_2_T_Loop25_TestCase3, ERROR, 4202)
(Undefined_Behavior_2_T_Loop25_TestCase2, ERROR, 4242)
(Undefined_Behavior_2_T_Loop25_TestCase6, ERROR, 4162)
(Undefined_Behavior_2_T_Loop25_TestCase7, ERROR, 4239)
(Undefined_Behavior_2_T_Loop25_TestCase5, ERROR, 4164)
(Undefined_Behavior_2_T_Loop25_TestCase4, ERROR, 4221)</t>
  </si>
  <si>
    <t>(Undefined_Behavior_2_T_Loop0_TestCase4, ERROR, 4207)
(Undefined_Behavior_2_T_Loop0_TestCase5, ERROR, 4218)
(Undefined_Behavior_2_T_Loop0_TestCase7, ERROR, 4217)
(Undefined_Behavior_2_T_Loop0_TestCase6, ERROR, 4237)
(Undefined_Behavior_2_T_Loop0_TestCase2, ERROR, 4191)
(Undefined_Behavior_2_T_Loop0_TestCase3, ERROR, 4200)
(Undefined_Behavior_2_T_Loop0_TestCase1, ERROR, 4200)
(Undefined_Behavior_2_T_Loop0_TestCase8, ERROR, 4201)
(Undefined_Behavior_2_T_Loop0_TestCase9, ERROR, 4212)
(Undefined_Behavior_2_T_Loop0_TestCase10, ERROR, 4166)</t>
  </si>
  <si>
    <t>(Undefined_Behavior_2_T_Loop14_TestCase0, ERROR, 4288)
(Undefined_Behavior_2_T_Loop25_TestCase0, ERROR, 4233)</t>
  </si>
  <si>
    <t>(Undefined_Behavior_2_T_Loop0_TestCase0, ERROR, 4457)</t>
  </si>
  <si>
    <t>(Undefined_Behavior_2_Loop13_TestCase10, ERROR, 4221)
(Undefined_Behavior_2_Loop24_TestCase9, ERROR, 4231)
(Undefined_Behavior_2_Loop24_TestCase8, ERROR, 4202)
(Undefined_Behavior_2_Loop13_TestCase9, ERROR, 4202)
(Undefined_Behavior_2_Loop13_TestCase8, ERROR, 4136)
(Undefined_Behavior_2_Loop13_TestCase3, ERROR, 4200)
(Undefined_Behavior_2_Loop13_TestCase2, ERROR, 4191)
(Undefined_Behavior_2_Loop24_TestCase10, ERROR, 4242)
(Undefined_Behavior_2_Loop13_TestCase1, ERROR, 4195)
(Undefined_Behavior_2_Loop13_TestCase5, ERROR, 4189)
(Undefined_Behavior_2_Loop13_TestCase4, ERROR, 4234)
(Undefined_Behavior_2_Loop13_TestCase6, ERROR, 4267)
(Undefined_Behavior_2_Loop13_TestCase7, ERROR, 4191)
(Undefined_Behavior_2_Loop24_TestCase6, ERROR, 4234)
(Undefined_Behavior_2_Loop24_TestCase7, ERROR, 4212)
(Undefined_Behavior_2_Loop24_TestCase5, ERROR, 4266)
(Undefined_Behavior_2_Loop24_TestCase4, ERROR, 4195)
(Undefined_Behavior_2_Loop24_TestCase1, ERROR, 4258)
(Undefined_Behavior_2_Loop24_TestCase3, ERROR, 4202)
(Undefined_Behavior_2_Loop24_TestCase2, ERROR, 4248)</t>
  </si>
  <si>
    <t>(Undefined_Behavior_2_Loop0_TestCase7, ERROR, 4217)
(Undefined_Behavior_2_Loop0_TestCase10, ERROR, 4177)
(Undefined_Behavior_2_Loop0_TestCase6, ERROR, 4249)
(Undefined_Behavior_2_Loop0_TestCase4, ERROR, 4208)
(Undefined_Behavior_2_Loop0_TestCase5, ERROR, 4253)
(Undefined_Behavior_2_Loop0_TestCase1, ERROR, 4188)
(Undefined_Behavior_2_Loop0_TestCase2, ERROR, 4204)
(Undefined_Behavior_2_Loop0_TestCase3, ERROR, 4208)
(Undefined_Behavior_2_Loop0_TestCase8, ERROR, 4178)
(Undefined_Behavior_2_Loop0_TestCase9, ERROR, 4203)</t>
  </si>
  <si>
    <t>(Undefined_Behavior_2_Loop13_TestCase0, ERROR, 4175)
(Undefined_Behavior_2_Loop24_TestCase0, ERROR, 4178)</t>
  </si>
  <si>
    <t>(Undefined_Behavior_2_Loop0_TestCase0, ERROR, 4183)</t>
  </si>
  <si>
    <t>(Undefined_Behavior_1_T_Loop15_TestCase8, TRUE, 4975)
(Undefined_Behavior_1_T_Loop15_TestCase9, TRUE, 4891)
(Undefined_Behavior_1_T_Loop15_TestCase4, TRUE, 4860)
(Undefined_Behavior_1_T_Loop15_TestCase10, TRUE, 4861)
(Undefined_Behavior_1_T_Loop15_TestCase5, TRUE, 4867)
(Undefined_Behavior_1_T_Loop15_TestCase7, TRUE, 4903)
(Undefined_Behavior_1_T_Loop15_TestCase6, TRUE, 4927)
(Undefined_Behavior_1_T_Loop15_TestCase2, TRUE, 4860)
(Undefined_Behavior_1_T_Loop15_TestCase3, TRUE, 4881)
(Undefined_Behavior_1_T_Loop15_TestCase1, TRUE, 4775)</t>
  </si>
  <si>
    <t>(Undefined_Behavior_1_T_Loop0_TestCase9, TRUE, 4958)
(Undefined_Behavior_1_T_Loop0_TestCase8, TRUE, 4967)
(Undefined_Behavior_1_T_Loop0_TestCase1, TRUE, 4817)
(Undefined_Behavior_1_T_Loop0_TestCase3, TRUE, 4892)
(Undefined_Behavior_1_T_Loop0_TestCase2, TRUE, 4852)
(Undefined_Behavior_1_T_Loop0_TestCase6, TRUE, 4933)
(Undefined_Behavior_1_T_Loop0_TestCase7, TRUE, 5013)
(Undefined_Behavior_1_T_Loop0_TestCase5, TRUE, 4875)
(Undefined_Behavior_1_T_Loop0_TestCase10, TRUE, 4989)
(Undefined_Behavior_1_T_Loop0_TestCase4, TRUE, 4966)</t>
  </si>
  <si>
    <t>(Undefined_Behavior_1_T_Loop15_TestCase0, FALSE, 5347)</t>
  </si>
  <si>
    <t>(Undefined_Behavior_1_T_Loop0_TestCase0, UNKNOWN, 301152)</t>
  </si>
  <si>
    <t>(Undefined_Behavior_1_Loop14_TestCase3, TRUE, 4789)
(Undefined_Behavior_1_Loop14_TestCase2, TRUE, 4829)
(Undefined_Behavior_1_Loop14_TestCase1, TRUE, 4857)
(Undefined_Behavior_1_Loop14_TestCase5, TRUE, 4898)
(Undefined_Behavior_1_Loop14_TestCase4, TRUE, 4883)
(Undefined_Behavior_1_Loop14_TestCase6, TRUE, 4879)
(Undefined_Behavior_1_Loop14_TestCase7, TRUE, 4926)
(Undefined_Behavior_1_Loop14_TestCase10, TRUE, 4900)
(Undefined_Behavior_1_Loop14_TestCase9, TRUE, 4970)
(Undefined_Behavior_1_Loop14_TestCase8, TRUE, 4906)</t>
  </si>
  <si>
    <t>(Undefined_Behavior_1_Loop0_TestCase5, TRUE, 4911)
(Undefined_Behavior_1_Loop0_TestCase4, TRUE, 4874)
(Undefined_Behavior_1_Loop0_TestCase6, TRUE, 4896)
(Undefined_Behavior_1_Loop0_TestCase7, TRUE, 4852)
(Undefined_Behavior_1_Loop0_TestCase3, TRUE, 4868)
(Undefined_Behavior_1_Loop0_TestCase2, TRUE, 4909)
(Undefined_Behavior_1_Loop0_TestCase1, TRUE, 4808)
(Undefined_Behavior_1_Loop0_TestCase9, TRUE, 4963)
(Undefined_Behavior_1_Loop0_TestCase8, TRUE, 4850)
(Undefined_Behavior_1_Loop0_TestCase10, TRUE, 4925)</t>
  </si>
  <si>
    <t>(Undefined_Behavior_1_Loop14_TestCase0, UNKNOWN, 301192)</t>
  </si>
  <si>
    <t>(Undefined_Behavior_1_Loop0_TestCase0, UNKNOWN, 301277)</t>
  </si>
  <si>
    <t>(Type_Conversion_in_Comparison_2_T_Loop16_TestCase8, FALSE, 5422)
(Type_Conversion_in_Comparison_2_T_Loop16_TestCase9, FALSE, 5350)
(Type_Conversion_in_Comparison_2_T_Loop16_TestCase10, FALSE, 5384)
(Type_Conversion_in_Comparison_2_T_Loop16_TestCase7, FALSE, 5408)
(Type_Conversion_in_Comparison_2_T_Loop16_TestCase6, TRUE, 4822)
(Type_Conversion_in_Comparison_2_T_Loop16_TestCase4, TRUE, 5392)
(Type_Conversion_in_Comparison_2_T_Loop16_TestCase5, FALSE, 5419)
(Type_Conversion_in_Comparison_2_T_Loop16_TestCase1, TRUE, 4823)
(Type_Conversion_in_Comparison_2_T_Loop16_TestCase2, TRUE, 4962)
(Type_Conversion_in_Comparison_2_T_Loop16_TestCase3, TRUE, 4910)</t>
  </si>
  <si>
    <t>(Type_Conversion_in_Comparison_2_T_Loop0_TestCase9, FALSE, 5339)
(Type_Conversion_in_Comparison_2_T_Loop0_TestCase8, FALSE, 5398)
(Type_Conversion_in_Comparison_2_T_Loop0_TestCase10, FALSE, 5476)
(Type_Conversion_in_Comparison_2_T_Loop0_TestCase1, TRUE, 4968)
(Type_Conversion_in_Comparison_2_T_Loop0_TestCase3, TRUE, 4869)
(Type_Conversion_in_Comparison_2_T_Loop0_TestCase2, TRUE, 4985)
(Type_Conversion_in_Comparison_2_T_Loop0_TestCase6, TRUE, 4777)
(Type_Conversion_in_Comparison_2_T_Loop0_TestCase7, FALSE, 5478)
(Type_Conversion_in_Comparison_2_T_Loop0_TestCase5, FALSE, 5348)
(Type_Conversion_in_Comparison_2_T_Loop0_TestCase4, TRUE, 5474)</t>
  </si>
  <si>
    <t>(Type_Conversion_in_Comparison_2_T_Loop16_TestCase0, FALSE, 5618)</t>
  </si>
  <si>
    <t>(Type_Conversion_in_Comparison_2_T_Loop0_TestCase0, FALSE, 5721)</t>
  </si>
  <si>
    <t>(Type_Conversion_in_Comparison_2_NT_Loop17_TestCase8, FALSE, 5417)
(Type_Conversion_in_Comparison_2_NT_Loop17_TestCase9, FALSE, 5358)
(Type_Conversion_in_Comparison_2_NT_Loop17_TestCase10, FALSE, 5319)
(Type_Conversion_in_Comparison_2_NT_Loop17_TestCase1, TRUE, 4810)
(Type_Conversion_in_Comparison_2_NT_Loop17_TestCase2, TRUE, 4974)
(Type_Conversion_in_Comparison_2_NT_Loop17_TestCase3, TRUE, 4868)
(Type_Conversion_in_Comparison_2_NT_Loop17_TestCase7, FALSE, 5356)
(Type_Conversion_in_Comparison_2_NT_Loop17_TestCase6, FALSE, 12245)
(Type_Conversion_in_Comparison_2_NT_Loop17_TestCase4, TRUE, 5524)
(Type_Conversion_in_Comparison_2_NT_Loop17_TestCase5, FALSE, 5411)</t>
  </si>
  <si>
    <t>(Type_Conversion_in_Comparison_2_NT_Loop0_TestCase5, FALSE, 5341)
(Type_Conversion_in_Comparison_2_NT_Loop0_TestCase4, TRUE, 5626)
(Type_Conversion_in_Comparison_2_NT_Loop0_TestCase6, FALSE, 12101)
(Type_Conversion_in_Comparison_2_NT_Loop0_TestCase7, FALSE, 5458)
(Type_Conversion_in_Comparison_2_NT_Loop0_TestCase3, TRUE, 4836)
(Type_Conversion_in_Comparison_2_NT_Loop0_TestCase2, TRUE, 4980)
(Type_Conversion_in_Comparison_2_NT_Loop0_TestCase1, TRUE, 4817)
(Type_Conversion_in_Comparison_2_NT_Loop0_TestCase10, FALSE, 5382)
(Type_Conversion_in_Comparison_2_NT_Loop0_TestCase9, FALSE, 5383)
(Type_Conversion_in_Comparison_2_NT_Loop0_TestCase8, FALSE, 5364)</t>
  </si>
  <si>
    <t>(Type_Conversion_in_Comparison_2_NT_Loop17_TestCase0, FALSE, 5572)</t>
  </si>
  <si>
    <t>(Type_Conversion_in_Comparison_2_NT_Loop0_TestCase0, FALSE, 5871)</t>
  </si>
  <si>
    <t>(Type_Conversion_in_Comparison_1_T_Loop18_TestCase8, TRUE, 6748)
(Type_Conversion_in_Comparison_1_T_Loop18_TestCase9, TRUE, 7253)
(Type_Conversion_in_Comparison_1_T_Loop18_TestCase7, TRUE, 6793)
(Type_Conversion_in_Comparison_1_T_Loop18_TestCase6, TRUE, 5150)
(Type_Conversion_in_Comparison_1_T_Loop18_TestCase4, TRUE, 6253)
(Type_Conversion_in_Comparison_1_T_Loop18_TestCase5, TRUE, 7290)
(Type_Conversion_in_Comparison_1_T_Loop18_TestCase1, TRUE, 4867)
(Type_Conversion_in_Comparison_1_T_Loop18_TestCase2, TRUE, 4986)
(Type_Conversion_in_Comparison_1_T_Loop18_TestCase3, TRUE, 5135)
(Type_Conversion_in_Comparison_1_T_Loop18_TestCase10, TRUE, 4846)</t>
  </si>
  <si>
    <t>(Type_Conversion_in_Comparison_1_T_Loop0_TestCase4, TRUE, 7049)
(Type_Conversion_in_Comparison_1_T_Loop0_TestCase5, TRUE, 9515)
(Type_Conversion_in_Comparison_1_T_Loop0_TestCase7, TRUE, 105376)
(Type_Conversion_in_Comparison_1_T_Loop0_TestCase6, TRUE, 5769)
(Type_Conversion_in_Comparison_1_T_Loop0_TestCase2, TRUE, 5037)
(Type_Conversion_in_Comparison_1_T_Loop0_TestCase3, TRUE, 5564)
(Type_Conversion_in_Comparison_1_T_Loop0_TestCase1, TRUE, 4937)
(Type_Conversion_in_Comparison_1_T_Loop0_TestCase10, TRUE, 4973)
(Type_Conversion_in_Comparison_1_T_Loop0_TestCase8, UNKNOWN, 301181)
(Type_Conversion_in_Comparison_1_T_Loop0_TestCase9, UNKNOWN, 301179)</t>
  </si>
  <si>
    <t>(Type_Conversion_in_Comparison_1_T_Loop18_TestCase0, TRUE, 6446)</t>
  </si>
  <si>
    <t>(Type_Conversion_in_Comparison_1_T_Loop0_TestCase0, UNKNOWN, 301134)</t>
  </si>
  <si>
    <t>(Type_Conversion_in_Comparison_1_NT_Loop16_TestCase3, TRUE, 5451)
(Type_Conversion_in_Comparison_1_NT_Loop16_TestCase2, TRUE, 5273)
(Type_Conversion_in_Comparison_1_NT_Loop16_TestCase1, TRUE, 4838)
(Type_Conversion_in_Comparison_1_NT_Loop16_TestCase5, TRUE, 6809)
(Type_Conversion_in_Comparison_1_NT_Loop16_TestCase4, TRUE, 6236)
(Type_Conversion_in_Comparison_1_NT_Loop16_TestCase6, UNKNOWN, 301070)
(Type_Conversion_in_Comparison_1_NT_Loop16_TestCase7, UNKNOWN, 301230)
(Type_Conversion_in_Comparison_1_NT_Loop16_TestCase9, UNKNOWN, 301093)
(Type_Conversion_in_Comparison_1_NT_Loop16_TestCase8, UNKNOWN, 301087)
(Type_Conversion_in_Comparison_1_NT_Loop16_TestCase10, UNKNOWN, 300995)</t>
  </si>
  <si>
    <t>(Type_Conversion_in_Comparison_1_NT_Loop0_TestCase1, TRUE, 5185)
(Type_Conversion_in_Comparison_1_NT_Loop0_TestCase3, TRUE, 5477)
(Type_Conversion_in_Comparison_1_NT_Loop0_TestCase2, TRUE, 5339)
(Type_Conversion_in_Comparison_1_NT_Loop0_TestCase6, UNKNOWN, 301138)
(Type_Conversion_in_Comparison_1_NT_Loop0_TestCase10, UNKNOWN, 301119)
(Type_Conversion_in_Comparison_1_NT_Loop0_TestCase7, UNKNOWN, 301176)
(Type_Conversion_in_Comparison_1_NT_Loop0_TestCase5, TRUE, 6891)
(Type_Conversion_in_Comparison_1_NT_Loop0_TestCase4, TRUE, 6282)
(Type_Conversion_in_Comparison_1_NT_Loop0_TestCase9, UNKNOWN, 301199)
(Type_Conversion_in_Comparison_1_NT_Loop0_TestCase8, UNKNOWN, 301168)</t>
  </si>
  <si>
    <t>(Type_Conversion_in_Comparison_1_NT_Loop16_TestCase0, UNKNOWN, 300805)</t>
  </si>
  <si>
    <t>(Type_Conversion_in_Comparison_1_NT_Loop0_TestCase0, UNKNOWN, 300784)</t>
  </si>
  <si>
    <t>(Type_Conversion_in_Assignment_1_T_Loop26_TestCase6, ERROR, 4528)
(Type_Conversion_in_Assignment_1_T_Loop26_TestCase7, ERROR, 4312)
(Type_Conversion_in_Assignment_1_T_Loop26_TestCase5, ERROR, 4272)
(Type_Conversion_in_Assignment_1_T_Loop26_TestCase4, ERROR, 4305)
(Type_Conversion_in_Assignment_1_T_Loop26_TestCase1, ERROR, 4182)
(Type_Conversion_in_Assignment_1_T_Loop26_TestCase3, ERROR, 4292)
(Type_Conversion_in_Assignment_1_T_Loop26_TestCase2, ERROR, 4277)
(Type_Conversion_in_Assignment_1_T_Loop26_TestCase9, ERROR, 4315)
(Type_Conversion_in_Assignment_1_T_Loop26_TestCase8, ERROR, 4308)
(Type_Conversion_in_Assignment_1_T_Loop26_TestCase10, ERROR, 4290)</t>
  </si>
  <si>
    <t>(Type_Conversion_in_Assignment_1_T_Loop0_TestCase9, ERROR, 4831)
(Type_Conversion_in_Assignment_1_T_Loop0_TestCase8, ERROR, 4265)
(Type_Conversion_in_Assignment_1_T_Loop0_TestCase10, ERROR, 4485)
(Type_Conversion_in_Assignment_1_T_Loop0_TestCase1, TRUE, 4996)
(Type_Conversion_in_Assignment_1_T_Loop0_TestCase3, ERROR, 4638)
(Type_Conversion_in_Assignment_1_T_Loop0_TestCase2, ERROR, 4264)
(Type_Conversion_in_Assignment_1_T_Loop0_TestCase6, ERROR, 4273)
(Type_Conversion_in_Assignment_1_T_Loop0_TestCase7, ERROR, 4282)
(Type_Conversion_in_Assignment_1_T_Loop0_TestCase5, TRUE, 4889)
(Type_Conversion_in_Assignment_1_T_Loop0_TestCase4, TRUE, 4863)</t>
  </si>
  <si>
    <t>(Type_Conversion_in_Assignment_1_T_Loop26_TestCase0, ERROR, 4400)</t>
  </si>
  <si>
    <t>(Type_Conversion_in_Assignment_1_T_Loop0_TestCase0, ERROR, 4214)</t>
  </si>
  <si>
    <t>(Type_Conversion_in_Assignment_1_NT_Loop27_TestCase10, ERROR, 4293)
(Type_Conversion_in_Assignment_1_NT_Loop27_TestCase7, ERROR, 4384)
(Type_Conversion_in_Assignment_1_NT_Loop27_TestCase6, ERROR, 4247)
(Type_Conversion_in_Assignment_1_NT_Loop27_TestCase4, ERROR, 4307)
(Type_Conversion_in_Assignment_1_NT_Loop27_TestCase5, ERROR, 4275)
(Type_Conversion_in_Assignment_1_NT_Loop27_TestCase1, ERROR, 4186)
(Type_Conversion_in_Assignment_1_NT_Loop27_TestCase2, TRUE, 4942)
(Type_Conversion_in_Assignment_1_NT_Loop27_TestCase3, ERROR, 4314)
(Type_Conversion_in_Assignment_1_NT_Loop27_TestCase8, ERROR, 4266)
(Type_Conversion_in_Assignment_1_NT_Loop27_TestCase9, ERROR, 4303)</t>
  </si>
  <si>
    <t>(Type_Conversion_in_Assignment_1_NT_Loop0_TestCase9, ERROR, 4260)
(Type_Conversion_in_Assignment_1_NT_Loop0_TestCase8, ERROR, 4233)
(Type_Conversion_in_Assignment_1_NT_Loop0_TestCase10, ERROR, 4207)
(Type_Conversion_in_Assignment_1_NT_Loop0_TestCase5, ERROR, 4236)
(Type_Conversion_in_Assignment_1_NT_Loop0_TestCase4, TRUE, 4846)
(Type_Conversion_in_Assignment_1_NT_Loop0_TestCase6, ERROR, 4217)
(Type_Conversion_in_Assignment_1_NT_Loop0_TestCase7, ERROR, 4237)
(Type_Conversion_in_Assignment_1_NT_Loop0_TestCase3, ERROR, 4256)
(Type_Conversion_in_Assignment_1_NT_Loop0_TestCase2, TRUE, 4928)
(Type_Conversion_in_Assignment_1_NT_Loop0_TestCase1, ERROR, 4245)</t>
  </si>
  <si>
    <t>(Type_Conversion_in_Assignment_1_NT_Loop27_TestCase0, ERROR, 4270)</t>
  </si>
  <si>
    <t>(Type_Conversion_in_Assignment_1_NT_Loop0_TestCase0, ERROR, 4488)</t>
  </si>
  <si>
    <t>(Signed_Overflow_Error_3_T_Loop14_TestCase9, TRUE, 4958)
(Signed_Overflow_Error_3_T_Loop14_TestCase8, TRUE, 4932)
(Signed_Overflow_Error_3_T_Loop14_TestCase10, TRUE, 4959)
(Signed_Overflow_Error_3_T_Loop14_TestCase1, ERROR, 2884)
(Signed_Overflow_Error_3_T_Loop14_TestCase3, TRUE, 4738)
(Signed_Overflow_Error_3_T_Loop14_TestCase2, TRUE, 4778)
(Signed_Overflow_Error_3_T_Loop14_TestCase6, TRUE, 4977)
(Signed_Overflow_Error_3_T_Loop14_TestCase7, TRUE, 4995)
(Signed_Overflow_Error_3_T_Loop14_TestCase5, TRUE, 4907)
(Signed_Overflow_Error_3_T_Loop14_TestCase4, TRUE, 4835)</t>
  </si>
  <si>
    <t>(Signed_Overflow_Error_3_T_Loop0_TestCase10, TRUE, 5059)
(Signed_Overflow_Error_3_T_Loop0_TestCase8, TRUE, 5031)
(Signed_Overflow_Error_3_T_Loop0_TestCase9, TRUE, 5021)
(Signed_Overflow_Error_3_T_Loop0_TestCase4, TRUE, 4868)
(Signed_Overflow_Error_3_T_Loop0_TestCase5, TRUE, 4944)
(Signed_Overflow_Error_3_T_Loop0_TestCase7, TRUE, 4990)
(Signed_Overflow_Error_3_T_Loop0_TestCase6, TRUE, 5030)
(Signed_Overflow_Error_3_T_Loop0_TestCase2, TRUE, 4761)
(Signed_Overflow_Error_3_T_Loop0_TestCase3, TRUE, 4766)
(Signed_Overflow_Error_3_T_Loop0_TestCase1, ERROR, 2876)</t>
  </si>
  <si>
    <t>(Signed_Overflow_Error_3_T_Loop14_TestCase0, UNKNOWN, 300808)</t>
  </si>
  <si>
    <t>(Signed_Overflow_Error_3_T_Loop0_TestCase0, UNKNOWN, 301257)</t>
  </si>
  <si>
    <t>(Signed_Overflow_Error_3_NT_Loop15_TestCase8, FALSE, 5675)
(Signed_Overflow_Error_3_NT_Loop15_TestCase9, FALSE, 5686)
(Signed_Overflow_Error_3_NT_Loop15_TestCase7, FALSE, 5625)
(Signed_Overflow_Error_3_NT_Loop15_TestCase6, FALSE, 5745)
(Signed_Overflow_Error_3_NT_Loop15_TestCase4, TRUE, 4918)
(Signed_Overflow_Error_3_NT_Loop15_TestCase5, TRUE, 4813)
(Signed_Overflow_Error_3_NT_Loop15_TestCase1, ERROR, 2884)
(Signed_Overflow_Error_3_NT_Loop15_TestCase2, TRUE, 4797)
(Signed_Overflow_Error_3_NT_Loop15_TestCase3, TRUE, 4813)
(Signed_Overflow_Error_3_NT_Loop15_TestCase10, FALSE, 5818)</t>
  </si>
  <si>
    <t>(Signed_Overflow_Error_3_NT_Loop0_TestCase9, TRUE, 6887)
(Signed_Overflow_Error_3_NT_Loop0_TestCase8, TRUE, 7252)
(Signed_Overflow_Error_3_NT_Loop0_TestCase1, ERROR, 2924)
(Signed_Overflow_Error_3_NT_Loop0_TestCase3, TRUE, 4865)
(Signed_Overflow_Error_3_NT_Loop0_TestCase2, TRUE, 4799)
(Signed_Overflow_Error_3_NT_Loop0_TestCase6, TRUE, 7437)
(Signed_Overflow_Error_3_NT_Loop0_TestCase7, TRUE, 6946)
(Signed_Overflow_Error_3_NT_Loop0_TestCase5, TRUE, 5009)
(Signed_Overflow_Error_3_NT_Loop0_TestCase4, TRUE, 4931)
(Signed_Overflow_Error_3_NT_Loop0_TestCase10, TRUE, 6959)</t>
  </si>
  <si>
    <t>(Signed_Overflow_Error_3_NT_Loop15_TestCase0, FALSE, 6003)</t>
  </si>
  <si>
    <t>(Signed_Overflow_Error_3_NT_Loop0_TestCase0, TRUE, 6518)</t>
  </si>
  <si>
    <t>(Signed_Overflow_Error_2_T_Loop14_TestCase8, TRUE, 5520)
(Signed_Overflow_Error_2_T_Loop14_TestCase9, TRUE, 5569)
(Signed_Overflow_Error_2_T_Loop14_TestCase4, TRUE, 4878)
(Signed_Overflow_Error_2_T_Loop14_TestCase5, TRUE, 4993)
(Signed_Overflow_Error_2_T_Loop14_TestCase7, TRUE, 5600)
(Signed_Overflow_Error_2_T_Loop14_TestCase10, TRUE, 5577)
(Signed_Overflow_Error_2_T_Loop14_TestCase6, TRUE, 5673)
(Signed_Overflow_Error_2_T_Loop14_TestCase2, TRUE, 4801)
(Signed_Overflow_Error_2_T_Loop14_TestCase3, TRUE, 4854)
(Signed_Overflow_Error_2_T_Loop14_TestCase1, TRUE, 4767)</t>
  </si>
  <si>
    <t>(Signed_Overflow_Error_2_T_Loop0_TestCase7, TRUE, 5453)
(Signed_Overflow_Error_2_T_Loop0_TestCase6, TRUE, 5573)
(Signed_Overflow_Error_2_T_Loop0_TestCase4, TRUE, 4931)
(Signed_Overflow_Error_2_T_Loop0_TestCase5, TRUE, 5007)
(Signed_Overflow_Error_2_T_Loop0_TestCase1, TRUE, 4806)
(Signed_Overflow_Error_2_T_Loop0_TestCase2, TRUE, 4770)
(Signed_Overflow_Error_2_T_Loop0_TestCase3, TRUE, 4865)
(Signed_Overflow_Error_2_T_Loop0_TestCase10, TRUE, 5532)
(Signed_Overflow_Error_2_T_Loop0_TestCase8, TRUE, 5489)
(Signed_Overflow_Error_2_T_Loop0_TestCase9, TRUE, 5570)</t>
  </si>
  <si>
    <t>(Signed_Overflow_Error_2_T_Loop14_TestCase0, FALSE, 5518)</t>
  </si>
  <si>
    <t>(Signed_Overflow_Error_2_T_Loop0_TestCase0, FALSE, 5442)</t>
  </si>
  <si>
    <t>(Signed_Overflow_Error_2_NT_Loop15_TestCase3, TRUE, 4898)
(Signed_Overflow_Error_2_NT_Loop15_TestCase2, TRUE, 4747)
(Signed_Overflow_Error_2_NT_Loop15_TestCase1, TRUE, 4816)
(Signed_Overflow_Error_2_NT_Loop15_TestCase5, TRUE, 5006)
(Signed_Overflow_Error_2_NT_Loop15_TestCase4, TRUE, 4905)
(Signed_Overflow_Error_2_NT_Loop15_TestCase6, FALSE, 5785)
(Signed_Overflow_Error_2_NT_Loop15_TestCase7, FALSE, 5867)
(Signed_Overflow_Error_2_NT_Loop15_TestCase10, FALSE, 5842)
(Signed_Overflow_Error_2_NT_Loop15_TestCase9, FALSE, 5793)
(Signed_Overflow_Error_2_NT_Loop15_TestCase8, FALSE, 5868)</t>
  </si>
  <si>
    <t>(Signed_Overflow_Error_2_NT_Loop0_TestCase8, FALSE, 5845)
(Signed_Overflow_Error_2_NT_Loop0_TestCase9, FALSE, 5778)
(Signed_Overflow_Error_2_NT_Loop0_TestCase10, FALSE, 5842)
(Signed_Overflow_Error_2_NT_Loop0_TestCase4, TRUE, 4888)
(Signed_Overflow_Error_2_NT_Loop0_TestCase5, TRUE, 4876)
(Signed_Overflow_Error_2_NT_Loop0_TestCase7, FALSE, 5817)
(Signed_Overflow_Error_2_NT_Loop0_TestCase6, FALSE, 5798)
(Signed_Overflow_Error_2_NT_Loop0_TestCase2, TRUE, 4808)
(Signed_Overflow_Error_2_NT_Loop0_TestCase3, TRUE, 4856)
(Signed_Overflow_Error_2_NT_Loop0_TestCase1, TRUE, 4797)</t>
  </si>
  <si>
    <t>(Signed_Overflow_Error_2_NT_Loop15_TestCase0, FALSE, 5395)</t>
  </si>
  <si>
    <t>(Signed_Overflow_Error_2_NT_Loop0_TestCase0, FALSE, 5462)</t>
  </si>
  <si>
    <t>(Signed_Overflow_Error_1_T_Loop14_TestCase0, ERROR, 4136)</t>
  </si>
  <si>
    <t>(Signed_Overflow_Error_1_T_Loop0_TestCase0, ERROR, 4144)</t>
  </si>
  <si>
    <t>(Signed_Overflow_Error_1_T_Loop14_TestCase0, ERROR, 4143)</t>
  </si>
  <si>
    <t>(Signed_Overflow_Error_1_T_Loop0_TestCase0, ERROR, 4117)</t>
  </si>
  <si>
    <t>(Signed_Overflow_Error_1_NT_Loop13_TestCase0, ERROR, 4126)</t>
  </si>
  <si>
    <t>(Signed_Overflow_Error_1_NT_Loop0_TestCase0, ERROR, 4110)</t>
  </si>
  <si>
    <t>(Signed_Overflow_Error_1_NT_Loop13_TestCase0, ERROR, 4136)</t>
  </si>
  <si>
    <t>(Signed_Overflow_Error_1_NT_Loop0_TestCase0, ERROR, 4113)</t>
  </si>
  <si>
    <t>(Reusing_Same_Loop_Iterator_2_T_Loop20_TestCase10, TRUE, 16556)
(Reusing_Same_Loop_Iterator_2_T_Loop20_TestCase1, TRUE, 4800)
(Reusing_Same_Loop_Iterator_2_T_Loop20_TestCase3, TRUE, 5219)
(Reusing_Same_Loop_Iterator_2_T_Loop20_TestCase2, TRUE, 4808)
(Reusing_Same_Loop_Iterator_2_T_Loop20_TestCase6, TRUE, 6056)
(Reusing_Same_Loop_Iterator_2_T_Loop20_TestCase7, TRUE, 6341)
(Reusing_Same_Loop_Iterator_2_T_Loop20_TestCase5, TRUE, 4724)
(Reusing_Same_Loop_Iterator_2_T_Loop20_TestCase4, TRUE, 4854)
(Reusing_Same_Loop_Iterator_2_T_Loop17_TestCase5, TRUE, 4644)
(Reusing_Same_Loop_Iterator_2_T_Loop17_TestCase4, TRUE, 4892)
(Reusing_Same_Loop_Iterator_2_T_Loop17_TestCase6, TRUE, 5010)
(Reusing_Same_Loop_Iterator_2_T_Loop17_TestCase7, TRUE, 5152)
(Reusing_Same_Loop_Iterator_2_T_Loop17_TestCase3, TRUE, 4825)
(Reusing_Same_Loop_Iterator_2_T_Loop17_TestCase2, TRUE, 4844)
(Reusing_Same_Loop_Iterator_2_T_Loop17_TestCase1, TRUE, 4795)
(Reusing_Same_Loop_Iterator_2_T_Loop17_TestCase9, TRUE, 7161)
(Reusing_Same_Loop_Iterator_2_T_Loop17_TestCase8, TRUE, 7333)
(Reusing_Same_Loop_Iterator_2_T_Loop17_TestCase10, TRUE, 6066)
(Reusing_Same_Loop_Iterator_2_T_Loop20_TestCase9, UNKNOWN, 301093)
(Reusing_Same_Loop_Iterator_2_T_Loop20_TestCase8, TRUE, 52760)</t>
  </si>
  <si>
    <t>(Reusing_Same_Loop_Iterator_2_T_Loop0_TestCase3, TRUE, 4832)
(Reusing_Same_Loop_Iterator_2_T_Loop0_TestCase2, TRUE, 4961)
(Reusing_Same_Loop_Iterator_2_T_Loop0_TestCase1, TRUE, 4835)
(Reusing_Same_Loop_Iterator_2_T_Loop0_TestCase5, TRUE, 4834)
(Reusing_Same_Loop_Iterator_2_T_Loop0_TestCase4, TRUE, 4816)
(Reusing_Same_Loop_Iterator_2_T_Loop0_TestCase6, TRUE, 5333)
(Reusing_Same_Loop_Iterator_2_T_Loop0_TestCase7, TRUE, 5865)
(Reusing_Same_Loop_Iterator_2_T_Loop0_TestCase9, TRUE, 8255)
(Reusing_Same_Loop_Iterator_2_T_Loop0_TestCase8, TRUE, 8303)
(Reusing_Same_Loop_Iterator_2_T_Loop0_TestCase10, TRUE, 10704)</t>
  </si>
  <si>
    <t>(Reusing_Same_Loop_Iterator_2_T_Loop20_TestCase0, TRUE, 14790)
(Reusing_Same_Loop_Iterator_2_T_Loop17_TestCase0, TRUE, 7071)</t>
  </si>
  <si>
    <t>(Reusing_Same_Loop_Iterator_2_T_Loop0_TestCase0, TRUE, 8340)</t>
  </si>
  <si>
    <t>(Reusing_Same_Loop_Iterator_2_NT_Loop16_TestCase1, TRUE, 4810)
(Reusing_Same_Loop_Iterator_2_NT_Loop16_TestCase3, TRUE, 4904)
(Reusing_Same_Loop_Iterator_2_NT_Loop16_TestCase2, TRUE, 4814)
(Reusing_Same_Loop_Iterator_2_NT_Loop16_TestCase6, FALSE, 5037)
(Reusing_Same_Loop_Iterator_2_NT_Loop16_TestCase7, FALSE, 5131)
(Reusing_Same_Loop_Iterator_2_NT_Loop16_TestCase5, TRUE, 4810)
(Reusing_Same_Loop_Iterator_2_NT_Loop16_TestCase4, TRUE, 4835)
(Reusing_Same_Loop_Iterator_2_NT_Loop18_TestCase5, TRUE, 4876)
(Reusing_Same_Loop_Iterator_2_NT_Loop18_TestCase4, TRUE, 4759)
(Reusing_Same_Loop_Iterator_2_NT_Loop18_TestCase6, FALSE, 5109)
(Reusing_Same_Loop_Iterator_2_NT_Loop18_TestCase7, FALSE, 5079)
(Reusing_Same_Loop_Iterator_2_NT_Loop16_TestCase10, FALSE, 5081)
(Reusing_Same_Loop_Iterator_2_NT_Loop18_TestCase3, TRUE, 4853)
(Reusing_Same_Loop_Iterator_2_NT_Loop18_TestCase2, TRUE, 4855)
(Reusing_Same_Loop_Iterator_2_NT_Loop18_TestCase10, FALSE, 5047)
(Reusing_Same_Loop_Iterator_2_NT_Loop18_TestCase1, TRUE, 4873)
(Reusing_Same_Loop_Iterator_2_NT_Loop18_TestCase9, FALSE, 5075)
(Reusing_Same_Loop_Iterator_2_NT_Loop18_TestCase8, FALSE, 5119)
(Reusing_Same_Loop_Iterator_2_NT_Loop16_TestCase9, FALSE, 5058)
(Reusing_Same_Loop_Iterator_2_NT_Loop16_TestCase8, FALSE, 5120)</t>
  </si>
  <si>
    <t>(Reusing_Same_Loop_Iterator_2_NT_Loop0_TestCase1, TRUE, 4918)
(Reusing_Same_Loop_Iterator_2_NT_Loop0_TestCase3, TRUE, 5152)
(Reusing_Same_Loop_Iterator_2_NT_Loop0_TestCase2, TRUE, 4884)
(Reusing_Same_Loop_Iterator_2_NT_Loop0_TestCase6, FALSE, 4998)
(Reusing_Same_Loop_Iterator_2_NT_Loop0_TestCase7, FALSE, 5088)
(Reusing_Same_Loop_Iterator_2_NT_Loop0_TestCase5, TRUE, 4923)
(Reusing_Same_Loop_Iterator_2_NT_Loop0_TestCase10, FALSE, 5041)
(Reusing_Same_Loop_Iterator_2_NT_Loop0_TestCase4, TRUE, 4833)
(Reusing_Same_Loop_Iterator_2_NT_Loop0_TestCase9, FALSE, 5104)
(Reusing_Same_Loop_Iterator_2_NT_Loop0_TestCase8, FALSE, 5183)</t>
  </si>
  <si>
    <t>(Reusing_Same_Loop_Iterator_2_NT_Loop16_TestCase0, FALSE, 5070)
(Reusing_Same_Loop_Iterator_2_NT_Loop18_TestCase0, FALSE, 5122)</t>
  </si>
  <si>
    <t>(Reusing_Same_Loop_Iterator_2_NT_Loop0_TestCase0, FALSE, 5018)</t>
  </si>
  <si>
    <t>(Reusing_Same_Loop_Iterator_1_T_Loop19_TestCase5, UNKNOWN, 301003)
(Reusing_Same_Loop_Iterator_1_T_Loop19_TestCase4, TRUE, 4892)
(Reusing_Same_Loop_Iterator_1_T_Loop19_TestCase6, TRUE, 7084)
(Reusing_Same_Loop_Iterator_1_T_Loop19_TestCase7, TRUE, 75457)
(Reusing_Same_Loop_Iterator_1_T_Loop19_TestCase3, TRUE, 4787)
(Reusing_Same_Loop_Iterator_1_T_Loop19_TestCase2, TRUE, 16478)
(Reusing_Same_Loop_Iterator_1_T_Loop19_TestCase1, TRUE, 4807)
(Reusing_Same_Loop_Iterator_1_T_Loop17_TestCase1, TRUE, 4850)
(Reusing_Same_Loop_Iterator_1_T_Loop17_TestCase3, TRUE, 4838)
(Reusing_Same_Loop_Iterator_1_T_Loop17_TestCase2, TRUE, 5188)
(Reusing_Same_Loop_Iterator_1_T_Loop17_TestCase6, TRUE, 5193)
(Reusing_Same_Loop_Iterator_1_T_Loop17_TestCase7, TRUE, 7762)
(Reusing_Same_Loop_Iterator_1_T_Loop17_TestCase5, UNKNOWN, 301078)
(Reusing_Same_Loop_Iterator_1_T_Loop17_TestCase4, TRUE, 4901)
(Reusing_Same_Loop_Iterator_1_T_Loop17_TestCase9, TRUE, 6374)
(Reusing_Same_Loop_Iterator_1_T_Loop17_TestCase8, TRUE, 7288)
(Reusing_Same_Loop_Iterator_1_T_Loop17_TestCase10, TRUE, 5478)
(Reusing_Same_Loop_Iterator_1_T_Loop19_TestCase10, TRUE, 18857)
(Reusing_Same_Loop_Iterator_1_T_Loop19_TestCase9, TRUE, 7645)
(Reusing_Same_Loop_Iterator_1_T_Loop19_TestCase8, TRUE, 8555)</t>
  </si>
  <si>
    <t>(Reusing_Same_Loop_Iterator_1_T_Loop0_TestCase8, TRUE, 8076)
(Reusing_Same_Loop_Iterator_1_T_Loop0_TestCase9, TRUE, 7012)
(Reusing_Same_Loop_Iterator_1_T_Loop0_TestCase7, TRUE, 40651)
(Reusing_Same_Loop_Iterator_1_T_Loop0_TestCase6, TRUE, 6345)
(Reusing_Same_Loop_Iterator_1_T_Loop0_TestCase4, TRUE, 4779)
(Reusing_Same_Loop_Iterator_1_T_Loop0_TestCase5, UNKNOWN, 301083)
(Reusing_Same_Loop_Iterator_1_T_Loop0_TestCase1, TRUE, 4844)
(Reusing_Same_Loop_Iterator_1_T_Loop0_TestCase2, TRUE, 11269)
(Reusing_Same_Loop_Iterator_1_T_Loop0_TestCase3, TRUE, 4779)
(Reusing_Same_Loop_Iterator_1_T_Loop0_TestCase10, TRUE, 12049)</t>
  </si>
  <si>
    <t>(Reusing_Same_Loop_Iterator_1_T_Loop19_TestCase0, TRUE, 7925)
(Reusing_Same_Loop_Iterator_1_T_Loop17_TestCase0, TRUE, 7086)</t>
  </si>
  <si>
    <t>(Reusing_Same_Loop_Iterator_1_T_Loop0_TestCase0, TRUE, 8025)</t>
  </si>
  <si>
    <t>(Reusing_Same_Loop_Iterator_1_NT_Loop19_TestCase8, FALSE, 5009)
(Reusing_Same_Loop_Iterator_1_NT_Loop19_TestCase9, FALSE, 4981)
(Reusing_Same_Loop_Iterator_1_NT_Loop17_TestCase8, FALSE, 5043)
(Reusing_Same_Loop_Iterator_1_NT_Loop17_TestCase9, FALSE, 5332)
(Reusing_Same_Loop_Iterator_1_NT_Loop17_TestCase2, TRUE, 5512)
(Reusing_Same_Loop_Iterator_1_NT_Loop17_TestCase3, TRUE, 4900)
(Reusing_Same_Loop_Iterator_1_NT_Loop17_TestCase1, TRUE, 4915)
(Reusing_Same_Loop_Iterator_1_NT_Loop17_TestCase4, TRUE, 4730)
(Reusing_Same_Loop_Iterator_1_NT_Loop17_TestCase5, UNKNOWN, 301027)
(Reusing_Same_Loop_Iterator_1_NT_Loop17_TestCase7, FALSE, 7271)
(Reusing_Same_Loop_Iterator_1_NT_Loop17_TestCase6, FALSE, 5236)
(Reusing_Same_Loop_Iterator_1_NT_Loop19_TestCase7, FALSE, 7132)
(Reusing_Same_Loop_Iterator_1_NT_Loop19_TestCase6, FALSE, 5258)
(Reusing_Same_Loop_Iterator_1_NT_Loop19_TestCase4, TRUE, 4894)
(Reusing_Same_Loop_Iterator_1_NT_Loop17_TestCase10, FALSE, 5427)
(Reusing_Same_Loop_Iterator_1_NT_Loop19_TestCase5, UNKNOWN, 301136)
(Reusing_Same_Loop_Iterator_1_NT_Loop19_TestCase1, TRUE, 4832)
(Reusing_Same_Loop_Iterator_1_NT_Loop19_TestCase2, TRUE, 5599)
(Reusing_Same_Loop_Iterator_1_NT_Loop19_TestCase10, FALSE, 5726)
(Reusing_Same_Loop_Iterator_1_NT_Loop19_TestCase3, TRUE, 4851)</t>
  </si>
  <si>
    <t>(Reusing_Same_Loop_Iterator_1_NT_Loop0_TestCase10, FALSE, 5248)
(Reusing_Same_Loop_Iterator_1_NT_Loop0_TestCase5, UNKNOWN, 301015)
(Reusing_Same_Loop_Iterator_1_NT_Loop0_TestCase4, TRUE, 4862)
(Reusing_Same_Loop_Iterator_1_NT_Loop0_TestCase6, FALSE, 5088)
(Reusing_Same_Loop_Iterator_1_NT_Loop0_TestCase7, FALSE, 6603)
(Reusing_Same_Loop_Iterator_1_NT_Loop0_TestCase3, TRUE, 4859)
(Reusing_Same_Loop_Iterator_1_NT_Loop0_TestCase2, TRUE, 5327)
(Reusing_Same_Loop_Iterator_1_NT_Loop0_TestCase1, TRUE, 5159)
(Reusing_Same_Loop_Iterator_1_NT_Loop0_TestCase9, FALSE, 4959)
(Reusing_Same_Loop_Iterator_1_NT_Loop0_TestCase8, FALSE, 4997)</t>
  </si>
  <si>
    <t>(Reusing_Same_Loop_Iterator_1_NT_Loop17_TestCase0, FALSE, 4948)
(Reusing_Same_Loop_Iterator_1_NT_Loop19_TestCase0, FALSE, 5015)</t>
  </si>
  <si>
    <t>(Reusing_Same_Loop_Iterator_1_NT_Loop0_TestCase0, FALSE, 4942)</t>
  </si>
  <si>
    <t>(Misusing_Variable_Type_2_T_Loop23_TestCase10, ERROR, 4149)
(Misusing_Variable_Type_2_T_Loop23_TestCase8, ERROR, 4135)
(Misusing_Variable_Type_2_T_Loop23_TestCase9, ERROR, 4136)
(Misusing_Variable_Type_2_T_Loop23_TestCase4, ERROR, 4097)
(Misusing_Variable_Type_2_T_Loop23_TestCase5, ERROR, 4142)
(Misusing_Variable_Type_2_T_Loop23_TestCase7, ERROR, 4118)
(Misusing_Variable_Type_2_T_Loop23_TestCase6, ERROR, 4160)
(Misusing_Variable_Type_2_T_Loop23_TestCase2, ERROR, 4068)
(Misusing_Variable_Type_2_T_Loop23_TestCase3, ERROR, 4143)
(Misusing_Variable_Type_2_T_Loop23_TestCase1, ERROR, 4142)</t>
  </si>
  <si>
    <t>(Misusing_Variable_Type_2_T_Loop0_TestCase6, ERROR, 4167)
(Misusing_Variable_Type_2_T_Loop0_TestCase7, ERROR, 4389)
(Misusing_Variable_Type_2_T_Loop0_TestCase5, ERROR, 4082)
(Misusing_Variable_Type_2_T_Loop0_TestCase4, ERROR, 4142)
(Misusing_Variable_Type_2_T_Loop0_TestCase10, ERROR, 4133)
(Misusing_Variable_Type_2_T_Loop0_TestCase1, ERROR, 4194)
(Misusing_Variable_Type_2_T_Loop0_TestCase3, ERROR, 4192)
(Misusing_Variable_Type_2_T_Loop0_TestCase2, ERROR, 4161)
(Misusing_Variable_Type_2_T_Loop0_TestCase9, ERROR, 4143)
(Misusing_Variable_Type_2_T_Loop0_TestCase8, ERROR, 4166)</t>
  </si>
  <si>
    <t>(Misusing_Variable_Type_2_T_Loop23_TestCase0, ERROR, 4181)</t>
  </si>
  <si>
    <t>(Misusing_Variable_Type_2_T_Loop0_TestCase0, ERROR, 4162)</t>
  </si>
  <si>
    <t>(Misusing_Variable_Type_2_NT_Loop24_TestCase9, ERROR, 4196)
(Misusing_Variable_Type_2_NT_Loop24_TestCase8, ERROR, 4166)
(Misusing_Variable_Type_2_NT_Loop24_TestCase10, ERROR, 4111)
(Misusing_Variable_Type_2_NT_Loop24_TestCase5, ERROR, 4154)
(Misusing_Variable_Type_2_NT_Loop24_TestCase4, ERROR, 4175)
(Misusing_Variable_Type_2_NT_Loop24_TestCase6, ERROR, 4148)
(Misusing_Variable_Type_2_NT_Loop24_TestCase7, ERROR, 4194)
(Misusing_Variable_Type_2_NT_Loop24_TestCase3, ERROR, 4192)
(Misusing_Variable_Type_2_NT_Loop24_TestCase2, ERROR, 4148)
(Misusing_Variable_Type_2_NT_Loop24_TestCase1, ERROR, 4144)</t>
  </si>
  <si>
    <t>(Misusing_Variable_Type_2_NT_Loop0_TestCase8, ERROR, 4155)
(Misusing_Variable_Type_2_NT_Loop0_TestCase9, ERROR, 4251)
(Misusing_Variable_Type_2_NT_Loop0_TestCase10, ERROR, 4529)
(Misusing_Variable_Type_2_NT_Loop0_TestCase1, ERROR, 4204)
(Misusing_Variable_Type_2_NT_Loop0_TestCase2, ERROR, 4165)
(Misusing_Variable_Type_2_NT_Loop0_TestCase3, ERROR, 4196)
(Misusing_Variable_Type_2_NT_Loop0_TestCase7, ERROR, 4248)
(Misusing_Variable_Type_2_NT_Loop0_TestCase6, ERROR, 4225)
(Misusing_Variable_Type_2_NT_Loop0_TestCase4, ERROR, 4186)
(Misusing_Variable_Type_2_NT_Loop0_TestCase5, ERROR, 4175)</t>
  </si>
  <si>
    <t>(Misusing_Variable_Type_2_NT_Loop24_TestCase0, ERROR, 4146)</t>
  </si>
  <si>
    <t>(Misusing_Variable_Type_2_NT_Loop0_TestCase0, ERROR, 4433)</t>
  </si>
  <si>
    <t>(Misusing_Variable_Type_1_T_Loop16_TestCase0, TRUE, 5924)
(Misusing_Variable_Type_1_T_Loop18_TestCase0, UNKNOWN, 309197)
(Misusing_Variable_Type_1_T_Loop14_TestCase0, TRUE, 5222)</t>
  </si>
  <si>
    <t>(Misusing_Variable_Type_1_T_Loop0_TestCase0, TRUE, 1077436)</t>
  </si>
  <si>
    <t>(Misusing_Variable_Type_1_T_Loop16_TestCase0, TRUE, 5967)
(Misusing_Variable_Type_1_T_Loop18_TestCase0, UNKNOWN, 309364)
(Misusing_Variable_Type_1_T_Loop14_TestCase0, TRUE, 5161)</t>
  </si>
  <si>
    <t>(Misusing_Variable_Type_1_T_Loop0_TestCase0, TRUE, 1063405)</t>
  </si>
  <si>
    <t>(Misusing_Variable_Type_1_NT_Loop16_TestCase0, UNKNOWN, 301027)
(Misusing_Variable_Type_1_NT_Loop18_TestCase0, FALSE, 16052)
(Misusing_Variable_Type_1_NT_Loop14_TestCase0, TRUE, 4568)</t>
  </si>
  <si>
    <t>(Misusing_Variable_Type_1_NT_Loop0_TestCase0, UNKNOWN, 309297)</t>
  </si>
  <si>
    <t>(Misusing_Variable_Type_1_NT_Loop16_TestCase0, UNKNOWN, 301260)
(Misusing_Variable_Type_1_NT_Loop18_TestCase0, FALSE, 16084)
(Misusing_Variable_Type_1_NT_Loop14_TestCase0, TRUE, 4639)</t>
  </si>
  <si>
    <t>(Misusing_Variable_Type_1_NT_Loop0_TestCase0, UNKNOWN, 309287)</t>
  </si>
  <si>
    <t>(Missing_Iterator_Update_5_T_Loop22_TestCase3, ERROR, 4288)
(Missing_Iterator_Update_5_T_Loop22_TestCase2, ERROR, 4318)
(Missing_Iterator_Update_5_T_Loop22_TestCase1, TRUE, 4826)
(Missing_Iterator_Update_5_T_Loop22_TestCase5, TRUE, 4818)
(Missing_Iterator_Update_5_T_Loop22_TestCase4, ERROR, 4280)
(Missing_Iterator_Update_5_T_Loop22_TestCase6, ERROR, 4323)
(Missing_Iterator_Update_5_T_Loop22_TestCase10, ERROR, 4282)
(Missing_Iterator_Update_5_T_Loop22_TestCase7, ERROR, 4261)
(Missing_Iterator_Update_5_T_Loop17_TestCase8, ERROR, 4280)
(Missing_Iterator_Update_5_T_Loop17_TestCase9, ERROR, 4306)
(Missing_Iterator_Update_5_T_Loop17_TestCase4, ERROR, 4333)
(Missing_Iterator_Update_5_T_Loop17_TestCase5, TRUE, 4843)
(Missing_Iterator_Update_5_T_Loop17_TestCase7, ERROR, 4329)
(Missing_Iterator_Update_5_T_Loop17_TestCase6, ERROR, 4229)
(Missing_Iterator_Update_5_T_Loop17_TestCase2, ERROR, 4290)
(Missing_Iterator_Update_5_T_Loop17_TestCase3, ERROR, 4324)
(Missing_Iterator_Update_5_T_Loop17_TestCase1, TRUE, 4852)
(Missing_Iterator_Update_5_T_Loop22_TestCase9, ERROR, 4293)
(Missing_Iterator_Update_5_T_Loop22_TestCase8, ERROR, 4233)
(Missing_Iterator_Update_5_T_Loop17_TestCase10, ERROR, 4294)</t>
  </si>
  <si>
    <t>(Missing_Iterator_Update_5_T_Loop0_TestCase10, ERROR, 4199)
(Missing_Iterator_Update_5_T_Loop0_TestCase1, ERROR, 4181)
(Missing_Iterator_Update_5_T_Loop0_TestCase2, ERROR, 4170)
(Missing_Iterator_Update_5_T_Loop0_TestCase3, ERROR, 4168)
(Missing_Iterator_Update_5_T_Loop0_TestCase7, ERROR, 4212)
(Missing_Iterator_Update_5_T_Loop0_TestCase6, ERROR, 4210)
(Missing_Iterator_Update_5_T_Loop0_TestCase4, ERROR, 4174)
(Missing_Iterator_Update_5_T_Loop0_TestCase5, ERROR, 4217)
(Missing_Iterator_Update_5_T_Loop0_TestCase8, ERROR, 4227)
(Missing_Iterator_Update_5_T_Loop0_TestCase9, ERROR, 4250)</t>
  </si>
  <si>
    <t>(Missing_Iterator_Update_5_T_Loop22_TestCase0, UNKNOWN, 301268)
(Missing_Iterator_Update_5_T_Loop17_TestCase0, UNKNOWN, 301441)</t>
  </si>
  <si>
    <t>(Missing_Iterator_Update_5_T_Loop0_TestCase0, ERROR, 4185)</t>
  </si>
  <si>
    <t>(Missing_Iterator_Update_5_NT_Loop18_TestCase4, ERROR, 4289)
(Missing_Iterator_Update_5_NT_Loop18_TestCase5, TRUE, 4865)
(Missing_Iterator_Update_5_NT_Loop18_TestCase7, ERROR, 4248)
(Missing_Iterator_Update_5_NT_Loop18_TestCase6, ERROR, 4297)
(Missing_Iterator_Update_5_NT_Loop18_TestCase2, ERROR, 4305)
(Missing_Iterator_Update_5_NT_Loop23_TestCase9, ERROR, 4254)
(Missing_Iterator_Update_5_NT_Loop23_TestCase8, ERROR, 4281)
(Missing_Iterator_Update_5_NT_Loop18_TestCase3, ERROR, 4341)
(Missing_Iterator_Update_5_NT_Loop18_TestCase1, TRUE, 4864)
(Missing_Iterator_Update_5_NT_Loop18_TestCase10, ERROR, 4292)
(Missing_Iterator_Update_5_NT_Loop23_TestCase10, ERROR, 4307)
(Missing_Iterator_Update_5_NT_Loop23_TestCase6, ERROR, 4270)
(Missing_Iterator_Update_5_NT_Loop23_TestCase7, ERROR, 4268)
(Missing_Iterator_Update_5_NT_Loop23_TestCase5, TRUE, 4786)
(Missing_Iterator_Update_5_NT_Loop23_TestCase4, ERROR, 4283)
(Missing_Iterator_Update_5_NT_Loop23_TestCase1, TRUE, 4854)
(Missing_Iterator_Update_5_NT_Loop18_TestCase8, ERROR, 4289)
(Missing_Iterator_Update_5_NT_Loop23_TestCase3, ERROR, 4238)
(Missing_Iterator_Update_5_NT_Loop23_TestCase2, ERROR, 4264)
(Missing_Iterator_Update_5_NT_Loop18_TestCase9, ERROR, 4290)</t>
  </si>
  <si>
    <t>(Missing_Iterator_Update_5_NT_Loop0_TestCase10, ERROR, 4250)
(Missing_Iterator_Update_5_NT_Loop0_TestCase8, ERROR, 4248)
(Missing_Iterator_Update_5_NT_Loop0_TestCase9, ERROR, 4239)
(Missing_Iterator_Update_5_NT_Loop0_TestCase1, ERROR, 4196)
(Missing_Iterator_Update_5_NT_Loop0_TestCase2, ERROR, 4258)
(Missing_Iterator_Update_5_NT_Loop0_TestCase3, ERROR, 4237)
(Missing_Iterator_Update_5_NT_Loop0_TestCase7, ERROR, 4193)
(Missing_Iterator_Update_5_NT_Loop0_TestCase6, ERROR, 4266)
(Missing_Iterator_Update_5_NT_Loop0_TestCase4, ERROR, 4230)
(Missing_Iterator_Update_5_NT_Loop0_TestCase5, ERROR, 4226)</t>
  </si>
  <si>
    <t>(Missing_Iterator_Update_5_NT_Loop18_TestCase0, UNKNOWN, 301438)
(Missing_Iterator_Update_5_NT_Loop23_TestCase0, UNKNOWN, 301131)</t>
  </si>
  <si>
    <t>(Missing_Iterator_Update_5_NT_Loop0_TestCase0, ERROR, 4216)</t>
  </si>
  <si>
    <t>(Missing_Iterator_Update_4_T_Loop21_TestCase2, TRUE, 4902)
(Missing_Iterator_Update_4_T_Loop21_TestCase3, TRUE, 4777)
(Missing_Iterator_Update_4_T_Loop21_TestCase1, TRUE, 4880)
(Missing_Iterator_Update_4_T_Loop21_TestCase4, TRUE, 4885)
(Missing_Iterator_Update_4_T_Loop19_TestCase10, TRUE, 7867)
(Missing_Iterator_Update_4_T_Loop21_TestCase5, TRUE, 4840)
(Missing_Iterator_Update_4_T_Loop21_TestCase7, TRUE, 5364)
(Missing_Iterator_Update_4_T_Loop19_TestCase9, TRUE, 7789)
(Missing_Iterator_Update_4_T_Loop19_TestCase8, TRUE, 5202)
(Missing_Iterator_Update_4_T_Loop21_TestCase6, TRUE, 5000)
(Missing_Iterator_Update_4_T_Loop19_TestCase5, TRUE, 5093)
(Missing_Iterator_Update_4_T_Loop19_TestCase4, TRUE, 4861)
(Missing_Iterator_Update_4_T_Loop21_TestCase8, TRUE, 9247)
(Missing_Iterator_Update_4_T_Loop19_TestCase6, TRUE, 4888)
(Missing_Iterator_Update_4_T_Loop19_TestCase7, TRUE, 4902)
(Missing_Iterator_Update_4_T_Loop21_TestCase9, TRUE, 32636)
(Missing_Iterator_Update_4_T_Loop19_TestCase3, TRUE, 4882)
(Missing_Iterator_Update_4_T_Loop19_TestCase2, TRUE, 4847)
(Missing_Iterator_Update_4_T_Loop19_TestCase1, TRUE, 4861)
(Missing_Iterator_Update_4_T_Loop21_TestCase10, UNKNOWN, 300976)</t>
  </si>
  <si>
    <t>(Missing_Iterator_Update_4_T_Loop0_TestCase8, TRUE, 8603)
(Missing_Iterator_Update_4_T_Loop0_TestCase9, UNKNOWN, 309478)
(Missing_Iterator_Update_4_T_Loop0_TestCase10, UNKNOWN, 309262)
(Missing_Iterator_Update_4_T_Loop0_TestCase2, TRUE, 4963)
(Missing_Iterator_Update_4_T_Loop0_TestCase3, TRUE, 4826)
(Missing_Iterator_Update_4_T_Loop0_TestCase1, TRUE, 4990)
(Missing_Iterator_Update_4_T_Loop0_TestCase4, TRUE, 4903)
(Missing_Iterator_Update_4_T_Loop0_TestCase5, TRUE, 4890)
(Missing_Iterator_Update_4_T_Loop0_TestCase7, TRUE, 5697)
(Missing_Iterator_Update_4_T_Loop0_TestCase6, TRUE, 5112)</t>
  </si>
  <si>
    <t>(Missing_Iterator_Update_4_T_Loop21_TestCase0, TRUE, 8232)
(Missing_Iterator_Update_4_T_Loop19_TestCase0, TRUE, 7012)</t>
  </si>
  <si>
    <t>(Missing_Iterator_Update_4_T_Loop0_TestCase0, TRUE, 8632)</t>
  </si>
  <si>
    <t>(Missing_Iterator_Update_4_NT_Loop19_TestCase10, FALSE, 4900)
(Missing_Iterator_Update_4_NT_Loop19_TestCase7, FALSE, 5156)
(Missing_Iterator_Update_4_NT_Loop21_TestCase9, FALSE, 7229)
(Missing_Iterator_Update_4_NT_Loop21_TestCase8, FALSE, 5325)
(Missing_Iterator_Update_4_NT_Loop19_TestCase6, FALSE, 4836)
(Missing_Iterator_Update_4_NT_Loop19_TestCase4, TRUE, 4874)
(Missing_Iterator_Update_4_NT_Loop19_TestCase5, TRUE, 4855)
(Missing_Iterator_Update_4_NT_Loop19_TestCase1, TRUE, 4848)
(Missing_Iterator_Update_4_NT_Loop19_TestCase2, TRUE, 4847)
(Missing_Iterator_Update_4_NT_Loop19_TestCase3, TRUE, 4848)
(Missing_Iterator_Update_4_NT_Loop21_TestCase1, TRUE, 4910)
(Missing_Iterator_Update_4_NT_Loop21_TestCase3, TRUE, 4843)
(Missing_Iterator_Update_4_NT_Loop21_TestCase2, TRUE, 4900)
(Missing_Iterator_Update_4_NT_Loop19_TestCase8, FALSE, 4950)
(Missing_Iterator_Update_4_NT_Loop21_TestCase6, FALSE, 5045)
(Missing_Iterator_Update_4_NT_Loop21_TestCase7, FALSE, 5252)
(Missing_Iterator_Update_4_NT_Loop19_TestCase9, FALSE, 4931)
(Missing_Iterator_Update_4_NT_Loop21_TestCase10, UNKNOWN, 301009)
(Missing_Iterator_Update_4_NT_Loop21_TestCase5, TRUE, 4862)
(Missing_Iterator_Update_4_NT_Loop21_TestCase4, TRUE, 4899)</t>
  </si>
  <si>
    <t>(Missing_Iterator_Update_4_NT_Loop0_TestCase9, UNKNOWN, 309433)
(Missing_Iterator_Update_4_NT_Loop0_TestCase8, UNKNOWN, 301907)
(Missing_Iterator_Update_4_NT_Loop0_TestCase10, UNKNOWN, 309228)
(Missing_Iterator_Update_4_NT_Loop0_TestCase5, TRUE, 4879)
(Missing_Iterator_Update_4_NT_Loop0_TestCase4, TRUE, 4970)
(Missing_Iterator_Update_4_NT_Loop0_TestCase6, UNKNOWN, 301206)
(Missing_Iterator_Update_4_NT_Loop0_TestCase7, UNKNOWN, 301670)
(Missing_Iterator_Update_4_NT_Loop0_TestCase3, TRUE, 5305)
(Missing_Iterator_Update_4_NT_Loop0_TestCase2, TRUE, 5211)
(Missing_Iterator_Update_4_NT_Loop0_TestCase1, TRUE, 4941)</t>
  </si>
  <si>
    <t>(Missing_Iterator_Update_4_NT_Loop19_TestCase0, FALSE, 4918)
(Missing_Iterator_Update_4_NT_Loop21_TestCase0, FALSE, 5088)</t>
  </si>
  <si>
    <t>(Missing_Iterator_Update_4_NT_Loop0_TestCase0, UNKNOWN, 301034)</t>
  </si>
  <si>
    <t>(Missing_Iterator_Update_3_T_Loop36_TestCase1, ERROR, 4326)
(Missing_Iterator_Update_3_T_Loop36_TestCase2, ERROR, 4365)
(Missing_Iterator_Update_3_T_Loop30_TestCase8, ERROR, 4254)
(Missing_Iterator_Update_3_T_Loop30_TestCase9, ERROR, 4262)
(Missing_Iterator_Update_3_T_Loop36_TestCase3, ERROR, 4330)
(Missing_Iterator_Update_3_T_Loop36_TestCase7, ERROR, 4309)
(Missing_Iterator_Update_3_T_Loop36_TestCase6, ERROR, 4322)
(Missing_Iterator_Update_3_T_Loop36_TestCase4, ERROR, 4273)
(Missing_Iterator_Update_3_T_Loop36_TestCase5, ERROR, 4331)
(Missing_Iterator_Update_3_T_Loop36_TestCase8, ERROR, 4354)
(Missing_Iterator_Update_3_T_Loop30_TestCase2, ERROR, 4242)
(Missing_Iterator_Update_3_T_Loop30_TestCase3, ERROR, 4232)
(Missing_Iterator_Update_3_T_Loop36_TestCase9, ERROR, 4376)
(Missing_Iterator_Update_3_T_Loop30_TestCase1, ERROR, 4244)
(Missing_Iterator_Update_3_T_Loop30_TestCase4, ERROR, 4226)
(Missing_Iterator_Update_3_T_Loop30_TestCase5, ERROR, 4237)
(Missing_Iterator_Update_3_T_Loop30_TestCase7, ERROR, 4228)
(Missing_Iterator_Update_3_T_Loop30_TestCase6, ERROR, 4235)
(Missing_Iterator_Update_3_T_Loop30_TestCase10, ERROR, 4285)
(Missing_Iterator_Update_3_T_Loop36_TestCase10, ERROR, 4326)</t>
  </si>
  <si>
    <t>(Missing_Iterator_Update_3_T_Loop0_TestCase5, ERROR, 4243)
(Missing_Iterator_Update_3_T_Loop0_TestCase4, ERROR, 4237)
(Missing_Iterator_Update_3_T_Loop0_TestCase6, ERROR, 4190)
(Missing_Iterator_Update_3_T_Loop0_TestCase7, ERROR, 4277)
(Missing_Iterator_Update_3_T_Loop0_TestCase3, ERROR, 4221)
(Missing_Iterator_Update_3_T_Loop0_TestCase2, ERROR, 4275)
(Missing_Iterator_Update_3_T_Loop0_TestCase1, ERROR, 4285)
(Missing_Iterator_Update_3_T_Loop0_TestCase10, ERROR, 4229)
(Missing_Iterator_Update_3_T_Loop0_TestCase9, ERROR, 4277)
(Missing_Iterator_Update_3_T_Loop0_TestCase8, ERROR, 4216)</t>
  </si>
  <si>
    <t>(Missing_Iterator_Update_3_T_Loop36_TestCase0, ERROR, 4358)
(Missing_Iterator_Update_3_T_Loop30_TestCase0, ERROR, 4335)</t>
  </si>
  <si>
    <t>(Missing_Iterator_Update_3_T_Loop0_TestCase0, ERROR, 4364)</t>
  </si>
  <si>
    <t>(Missing_Iterator_Update_3_NT_Loop29_TestCase10, ERROR, 4307)
(Missing_Iterator_Update_3_NT_Loop35_TestCase8, ERROR, 4357)
(Missing_Iterator_Update_3_NT_Loop35_TestCase9, ERROR, 4347)
(Missing_Iterator_Update_3_NT_Loop35_TestCase10, ERROR, 4390)
(Missing_Iterator_Update_3_NT_Loop29_TestCase4, ERROR, 4243)
(Missing_Iterator_Update_3_NT_Loop29_TestCase5, ERROR, 4226)
(Missing_Iterator_Update_3_NT_Loop29_TestCase7, ERROR, 4245)
(Missing_Iterator_Update_3_NT_Loop29_TestCase6, ERROR, 4252)
(Missing_Iterator_Update_3_NT_Loop29_TestCase2, ERROR, 4232)
(Missing_Iterator_Update_3_NT_Loop29_TestCase3, ERROR, 4241)
(Missing_Iterator_Update_3_NT_Loop29_TestCase1, ERROR, 4245)
(Missing_Iterator_Update_3_NT_Loop29_TestCase8, ERROR, 4261)
(Missing_Iterator_Update_3_NT_Loop29_TestCase9, ERROR, 4234)
(Missing_Iterator_Update_3_NT_Loop35_TestCase7, ERROR, 4370)
(Missing_Iterator_Update_3_NT_Loop35_TestCase6, ERROR, 4289)
(Missing_Iterator_Update_3_NT_Loop35_TestCase4, ERROR, 4373)
(Missing_Iterator_Update_3_NT_Loop35_TestCase5, ERROR, 4394)
(Missing_Iterator_Update_3_NT_Loop35_TestCase1, ERROR, 4340)
(Missing_Iterator_Update_3_NT_Loop35_TestCase2, ERROR, 4385)
(Missing_Iterator_Update_3_NT_Loop35_TestCase3, ERROR, 4357)</t>
  </si>
  <si>
    <t>(Missing_Iterator_Update_3_NT_Loop0_TestCase9, ERROR, 4359)
(Missing_Iterator_Update_3_NT_Loop0_TestCase8, ERROR, 4268)
(Missing_Iterator_Update_3_NT_Loop0_TestCase6, ERROR, 4374)
(Missing_Iterator_Update_3_NT_Loop0_TestCase7, ERROR, 4257)
(Missing_Iterator_Update_3_NT_Loop0_TestCase5, ERROR, 4183)
(Missing_Iterator_Update_3_NT_Loop0_TestCase4, ERROR, 4216)
(Missing_Iterator_Update_3_NT_Loop0_TestCase10, ERROR, 4238)
(Missing_Iterator_Update_3_NT_Loop0_TestCase1, ERROR, 4190)
(Missing_Iterator_Update_3_NT_Loop0_TestCase3, ERROR, 4344)
(Missing_Iterator_Update_3_NT_Loop0_TestCase2, ERROR, 4208)</t>
  </si>
  <si>
    <t>(Missing_Iterator_Update_3_NT_Loop29_TestCase0, ERROR, 4334)
(Missing_Iterator_Update_3_NT_Loop35_TestCase0, ERROR, 4430)</t>
  </si>
  <si>
    <t>(Missing_Iterator_Update_3_NT_Loop0_TestCase0, ERROR, 4378)</t>
  </si>
  <si>
    <t>(Missing_Iterator_Update_2_T_Loop28_TestCase10, TRUE, 936099)
(Missing_Iterator_Update_2_T_Loop28_TestCase4, TRUE, 4928)
(Missing_Iterator_Update_2_T_Loop28_TestCase5, TRUE, 7945)
(Missing_Iterator_Update_2_T_Loop28_TestCase7, TRUE, 8312)
(Missing_Iterator_Update_2_T_Loop28_TestCase6, TRUE, 8786)
(Missing_Iterator_Update_2_T_Loop28_TestCase2, TRUE, 938990)
(Missing_Iterator_Update_2_T_Loop28_TestCase3, TRUE, 8656)
(Missing_Iterator_Update_2_T_Loop28_TestCase1, TRUE, 5171)
(Missing_Iterator_Update_2_T_Loop28_TestCase8, TRUE, 8570)
(Missing_Iterator_Update_2_T_Loop28_TestCase9, TRUE, 940812)</t>
  </si>
  <si>
    <t>(Missing_Iterator_Update_2_T_Loop0_TestCase10, TRUE, 7978)
(Missing_Iterator_Update_2_T_Loop0_TestCase9, TRUE, 559512)
(Missing_Iterator_Update_2_T_Loop0_TestCase8, TRUE, 559037)
(Missing_Iterator_Update_2_T_Loop0_TestCase6, TRUE, 564266)
(Missing_Iterator_Update_2_T_Loop0_TestCase7, TRUE, 563657)
(Missing_Iterator_Update_2_T_Loop0_TestCase5, TRUE, 572540)
(Missing_Iterator_Update_2_T_Loop0_TestCase4, TRUE, 4930)
(Missing_Iterator_Update_2_T_Loop0_TestCase1, TRUE, 5267)
(Missing_Iterator_Update_2_T_Loop0_TestCase3, TRUE, 559954)
(Missing_Iterator_Update_2_T_Loop0_TestCase2, TRUE, 8074)</t>
  </si>
  <si>
    <t>(Missing_Iterator_Update_2_T_Loop28_TestCase0, UNKNOWN, 300862)</t>
  </si>
  <si>
    <t>(Missing_Iterator_Update_2_T_Loop0_TestCase0, TRUE, 9965)</t>
  </si>
  <si>
    <t>(Missing_Iterator_Update_2_NT_Loop28_TestCase7, FALSE, 4981)
(Missing_Iterator_Update_2_NT_Loop28_TestCase6, FALSE, 4878)
(Missing_Iterator_Update_2_NT_Loop28_TestCase4, TRUE, 4985)
(Missing_Iterator_Update_2_NT_Loop28_TestCase5, TRUE, 7761)
(Missing_Iterator_Update_2_NT_Loop28_TestCase1, TRUE, 4971)
(Missing_Iterator_Update_2_NT_Loop28_TestCase2, TRUE, 934748)
(Missing_Iterator_Update_2_NT_Loop28_TestCase3, TRUE, 8658)
(Missing_Iterator_Update_2_NT_Loop28_TestCase10, FALSE, 5372)
(Missing_Iterator_Update_2_NT_Loop28_TestCase8, FALSE, 5040)
(Missing_Iterator_Update_2_NT_Loop28_TestCase9, FALSE, 5055)</t>
  </si>
  <si>
    <t>(Missing_Iterator_Update_2_NT_Loop0_TestCase8, FALSE, 4961)
(Missing_Iterator_Update_2_NT_Loop0_TestCase9, FALSE, 4961)
(Missing_Iterator_Update_2_NT_Loop0_TestCase10, FALSE, 4969)
(Missing_Iterator_Update_2_NT_Loop0_TestCase2, TRUE, 7674)
(Missing_Iterator_Update_2_NT_Loop0_TestCase3, TRUE, 563543)
(Missing_Iterator_Update_2_NT_Loop0_TestCase1, TRUE, 4945)
(Missing_Iterator_Update_2_NT_Loop0_TestCase4, TRUE, 5148)
(Missing_Iterator_Update_2_NT_Loop0_TestCase5, TRUE, 559255)
(Missing_Iterator_Update_2_NT_Loop0_TestCase7, FALSE, 5297)
(Missing_Iterator_Update_2_NT_Loop0_TestCase6, FALSE, 4971)</t>
  </si>
  <si>
    <t>(Missing_Iterator_Update_2_NT_Loop28_TestCase0, UNKNOWN, 301274)</t>
  </si>
  <si>
    <t>(Missing_Iterator_Update_2_NT_Loop0_TestCase0, FALSE, 9131)</t>
  </si>
  <si>
    <t>(Missing_Iterator_Update_1_T_Loop35_TestCase5, TRUE, 4864)
(Missing_Iterator_Update_1_T_Loop35_TestCase4, TRUE, 4879)
(Missing_Iterator_Update_1_T_Loop35_TestCase6, TRUE, 4855)
(Missing_Iterator_Update_1_T_Loop35_TestCase7, TRUE, 4896)
(Missing_Iterator_Update_1_T_Loop35_TestCase3, TRUE, 4930)
(Missing_Iterator_Update_1_T_Loop35_TestCase2, TRUE, 4817)
(Missing_Iterator_Update_1_T_Loop35_TestCase1, TRUE, 5015)
(Missing_Iterator_Update_1_T_Loop17_TestCase8, ERROR, 2561)
(Missing_Iterator_Update_1_T_Loop17_TestCase9, ERROR, 2584)
(Missing_Iterator_Update_1_T_Loop35_TestCase10, TRUE, 5079)
(Missing_Iterator_Update_1_T_Loop17_TestCase2, ERROR, 2523)
(Missing_Iterator_Update_1_T_Loop17_TestCase3, ERROR, 2580)
(Missing_Iterator_Update_1_T_Loop17_TestCase1, ERROR, 2522)
(Missing_Iterator_Update_1_T_Loop17_TestCase4, ERROR, 2545)
(Missing_Iterator_Update_1_T_Loop17_TestCase5, ERROR, 2582)
(Missing_Iterator_Update_1_T_Loop17_TestCase7, ERROR, 2556)
(Missing_Iterator_Update_1_T_Loop17_TestCase6, ERROR, 2547)
(Missing_Iterator_Update_1_T_Loop17_TestCase10, ERROR, 2585)
(Missing_Iterator_Update_1_T_Loop35_TestCase9, TRUE, 4860)
(Missing_Iterator_Update_1_T_Loop35_TestCase8, TRUE, 4855)</t>
  </si>
  <si>
    <t>(Missing_Iterator_Update_1_T_Loop0_TestCase10, TRUE, 4919)
(Missing_Iterator_Update_1_T_Loop0_TestCase2, TRUE, 4797)
(Missing_Iterator_Update_1_T_Loop0_TestCase3, TRUE, 4914)
(Missing_Iterator_Update_1_T_Loop0_TestCase1, TRUE, 4860)
(Missing_Iterator_Update_1_T_Loop0_TestCase4, TRUE, 4866)
(Missing_Iterator_Update_1_T_Loop0_TestCase5, TRUE, 4863)
(Missing_Iterator_Update_1_T_Loop0_TestCase7, TRUE, 4951)
(Missing_Iterator_Update_1_T_Loop0_TestCase6, TRUE, 4862)
(Missing_Iterator_Update_1_T_Loop0_TestCase8, TRUE, 4819)
(Missing_Iterator_Update_1_T_Loop0_TestCase9, TRUE, 4911)</t>
  </si>
  <si>
    <t>(Missing_Iterator_Update_1_T_Loop35_TestCase0, ERROR, 4532)
(Missing_Iterator_Update_1_T_Loop17_TestCase0, ERROR, 2540)</t>
  </si>
  <si>
    <t>(Missing_Iterator_Update_1_T_Loop0_TestCase0, ERROR, 4639)</t>
  </si>
  <si>
    <t>(Missing_Iterator_Update_1_NT_Loop18_TestCase3, ERROR, 2595)
(Missing_Iterator_Update_1_NT_Loop18_TestCase2, ERROR, 2909)
(Missing_Iterator_Update_1_NT_Loop18_TestCase1, ERROR, 2546)
(Missing_Iterator_Update_1_NT_Loop18_TestCase5, ERROR, 2558)
(Missing_Iterator_Update_1_NT_Loop18_TestCase4, ERROR, 2593)
(Missing_Iterator_Update_1_NT_Loop18_TestCase6, ERROR, 2656)
(Missing_Iterator_Update_1_NT_Loop18_TestCase7, ERROR, 2586)
(Missing_Iterator_Update_1_NT_Loop18_TestCase10, ERROR, 2477)
(Missing_Iterator_Update_1_NT_Loop18_TestCase9, ERROR, 2653)
(Missing_Iterator_Update_1_NT_Loop18_TestCase8, ERROR, 2638)</t>
  </si>
  <si>
    <t>(Missing_Iterator_Update_1_NT_Loop0_TestCase10, FALSE, 4985)
(Missing_Iterator_Update_1_NT_Loop0_TestCase8, FALSE, 5018)
(Missing_Iterator_Update_1_NT_Loop0_TestCase9, FALSE, 5102)
(Missing_Iterator_Update_1_NT_Loop0_TestCase7, FALSE, 4918)
(Missing_Iterator_Update_1_NT_Loop0_TestCase6, FALSE, 4975)
(Missing_Iterator_Update_1_NT_Loop0_TestCase4, TRUE, 4833)
(Missing_Iterator_Update_1_NT_Loop0_TestCase5, TRUE, 4824)
(Missing_Iterator_Update_1_NT_Loop0_TestCase1, TRUE, 4859)
(Missing_Iterator_Update_1_NT_Loop0_TestCase2, TRUE, 5424)
(Missing_Iterator_Update_1_NT_Loop0_TestCase3, TRUE, 4972)</t>
  </si>
  <si>
    <t>(Missing_Iterator_Update_1_NT_Loop18_TestCase0, ERROR, 2547)</t>
  </si>
  <si>
    <t>(Missing_Iterator_Update_1_NT_Loop0_TestCase0, FALSE, 5533)</t>
  </si>
  <si>
    <t>(Missing_Initialization_1_T_Loop14_TestCase10, TRUE, 5298)
(Missing_Initialization_1_T_Loop14_TestCase9, TRUE, 5476)
(Missing_Initialization_1_T_Loop14_TestCase8, TRUE, 5301)
(Missing_Initialization_1_T_Loop17_TestCase10, TRUE, 5347)
(Missing_Initialization_1_T_Loop17_TestCase9, TRUE, 5303)
(Missing_Initialization_1_T_Loop17_TestCase8, TRUE, 5383)
(Missing_Initialization_1_T_Loop17_TestCase5, TRUE, 4917)
(Missing_Initialization_1_T_Loop14_TestCase1, TRUE, 4828)
(Missing_Initialization_1_T_Loop17_TestCase4, TRUE, 4877)
(Missing_Initialization_1_T_Loop17_TestCase6, TRUE, 5917)
(Missing_Initialization_1_T_Loop14_TestCase3, TRUE, 4804)
(Missing_Initialization_1_T_Loop14_TestCase2, TRUE, 4802)
(Missing_Initialization_1_T_Loop17_TestCase7, TRUE, 5193)
(Missing_Initialization_1_T_Loop17_TestCase3, TRUE, 4846)
(Missing_Initialization_1_T_Loop14_TestCase6, TRUE, 6056)
(Missing_Initialization_1_T_Loop14_TestCase7, TRUE, 5262)
(Missing_Initialization_1_T_Loop17_TestCase2, TRUE, 4786)
(Missing_Initialization_1_T_Loop14_TestCase5, TRUE, 4880)
(Missing_Initialization_1_T_Loop14_TestCase4, TRUE, 4797)
(Missing_Initialization_1_T_Loop17_TestCase1, TRUE, 4807)</t>
  </si>
  <si>
    <t>(Missing_Initialization_1_T_Loop0_TestCase9, TRUE, 5278)
(Missing_Initialization_1_T_Loop0_TestCase8, TRUE, 5382)
(Missing_Initialization_1_T_Loop0_TestCase10, TRUE, 5297)
(Missing_Initialization_1_T_Loop0_TestCase1, TRUE, 4892)
(Missing_Initialization_1_T_Loop0_TestCase3, TRUE, 4808)
(Missing_Initialization_1_T_Loop0_TestCase2, TRUE, 4746)
(Missing_Initialization_1_T_Loop0_TestCase6, TRUE, 5991)
(Missing_Initialization_1_T_Loop0_TestCase7, TRUE, 5208)
(Missing_Initialization_1_T_Loop0_TestCase5, TRUE, 4848)
(Missing_Initialization_1_T_Loop0_TestCase4, TRUE, 4780)</t>
  </si>
  <si>
    <t>(Missing_Initialization_1_T_Loop14_TestCase0, UNKNOWN, 301070)
(Missing_Initialization_1_T_Loop17_TestCase0, UNKNOWN, 301408)</t>
  </si>
  <si>
    <t>(Missing_Initialization_1_T_Loop0_TestCase0, UNKNOWN, 300959)</t>
  </si>
  <si>
    <t>(Missing_Initialization_1_NT_Loop14_TestCase7, FALSE, 4923)
(Missing_Initialization_1_NT_Loop14_TestCase6, FALSE, 4937)
(Missing_Initialization_1_NT_Loop14_TestCase4, TRUE, 4778)
(Missing_Initialization_1_NT_Loop14_TestCase5, TRUE, 4924)
(Missing_Initialization_1_NT_Loop14_TestCase1, TRUE, 4821)
(Missing_Initialization_1_NT_Loop16_TestCase9, UNKNOWN, 301249)
(Missing_Initialization_1_NT_Loop14_TestCase2, TRUE, 4792)
(Missing_Initialization_1_NT_Loop14_TestCase3, TRUE, 5164)
(Missing_Initialization_1_NT_Loop16_TestCase10, FALSE, 5025)
(Missing_Initialization_1_NT_Loop16_TestCase8, UNKNOWN, 301201)
(Missing_Initialization_1_NT_Loop14_TestCase10, FALSE, 4920)
(Missing_Initialization_1_NT_Loop16_TestCase5, TRUE, 4890)
(Missing_Initialization_1_NT_Loop16_TestCase4, TRUE, 5105)
(Missing_Initialization_1_NT_Loop16_TestCase6, FALSE, 4912)
(Missing_Initialization_1_NT_Loop16_TestCase7, FALSE, 4881)
(Missing_Initialization_1_NT_Loop16_TestCase3, TRUE, 4784)
(Missing_Initialization_1_NT_Loop14_TestCase8, UNKNOWN, 301136)
(Missing_Initialization_1_NT_Loop14_TestCase9, UNKNOWN, 301345)
(Missing_Initialization_1_NT_Loop16_TestCase2, TRUE, 4817)
(Missing_Initialization_1_NT_Loop16_TestCase1, TRUE, 4823)</t>
  </si>
  <si>
    <t>(Missing_Initialization_1_NT_Loop0_TestCase9, UNKNOWN, 301156)
(Missing_Initialization_1_NT_Loop0_TestCase8, UNKNOWN, 301231)
(Missing_Initialization_1_NT_Loop0_TestCase10, FALSE, 5003)
(Missing_Initialization_1_NT_Loop0_TestCase1, TRUE, 4882)
(Missing_Initialization_1_NT_Loop0_TestCase3, TRUE, 5114)
(Missing_Initialization_1_NT_Loop0_TestCase2, TRUE, 4780)
(Missing_Initialization_1_NT_Loop0_TestCase6, FALSE, 5316)
(Missing_Initialization_1_NT_Loop0_TestCase7, FALSE, 4992)
(Missing_Initialization_1_NT_Loop0_TestCase5, TRUE, 4894)
(Missing_Initialization_1_NT_Loop0_TestCase4, TRUE, 4842)</t>
  </si>
  <si>
    <t>(Missing_Initialization_1_NT_Loop14_TestCase0, FALSE, 4926)
(Missing_Initialization_1_NT_Loop16_TestCase0, FALSE, 4896)</t>
  </si>
  <si>
    <t>(Missing_Initialization_1_NT_Loop0_TestCase0, FALSE, 5105)</t>
  </si>
  <si>
    <t>3/30</t>
  </si>
  <si>
    <t>(Missing_Corner-case_Handling_4_T_Loop36_TestCase3, ERROR, 4262)
(Missing_Corner-case_Handling_4_T_Loop23_TestCase8, ERROR, 4189)
(Missing_Corner-case_Handling_4_T_Loop23_TestCase9, ERROR, 4233)
(Missing_Corner-case_Handling_4_T_Loop36_TestCase2, TRUE, 4857)
(Missing_Corner-case_Handling_4_T_Loop36_TestCase1, ERROR, 4263)
(Missing_Corner-case_Handling_4_T_Loop36_TestCase5, ERROR, 4252)
(Missing_Corner-case_Handling_4_T_Loop50_TestCase8, ERROR, 4302)
(Missing_Corner-case_Handling_4_T_Loop50_TestCase10, ERROR, 4446)
(Missing_Corner-case_Handling_4_T_Loop50_TestCase9, ERROR, 4269)
(Missing_Corner-case_Handling_4_T_Loop36_TestCase4, ERROR, 4272)
(Missing_Corner-case_Handling_4_T_Loop36_TestCase6, ERROR, 4280)
(Missing_Corner-case_Handling_4_T_Loop36_TestCase7, ERROR, 4272)
(Missing_Corner-case_Handling_4_T_Loop23_TestCase10, ERROR, 4201)
(Missing_Corner-case_Handling_4_T_Loop36_TestCase10, ERROR, 4283)
(Missing_Corner-case_Handling_4_T_Loop50_TestCase7, ERROR, 4285)
(Missing_Corner-case_Handling_4_T_Loop23_TestCase1, ERROR, 4187)
(Missing_Corner-case_Handling_4_T_Loop50_TestCase6, ERROR, 4377)
(Missing_Corner-case_Handling_4_T_Loop36_TestCase9, ERROR, 4276)
(Missing_Corner-case_Handling_4_T_Loop50_TestCase4, ERROR, 4291)
(Missing_Corner-case_Handling_4_T_Loop23_TestCase2, ERROR, 4213)
(Missing_Corner-case_Handling_4_T_Loop23_TestCase3, ERROR, 4154)
(Missing_Corner-case_Handling_4_T_Loop50_TestCase5, ERROR, 4285)
(Missing_Corner-case_Handling_4_T_Loop36_TestCase8, ERROR, 4168)
(Missing_Corner-case_Handling_4_T_Loop23_TestCase7, ERROR, 4177)
(Missing_Corner-case_Handling_4_T_Loop50_TestCase1, TRUE, 4898)
(Missing_Corner-case_Handling_4_T_Loop23_TestCase6, ERROR, 4192)
(Missing_Corner-case_Handling_4_T_Loop23_TestCase4, ERROR, 4255)
(Missing_Corner-case_Handling_4_T_Loop50_TestCase2, TRUE, 4907)
(Missing_Corner-case_Handling_4_T_Loop50_TestCase3, ERROR, 4296)
(Missing_Corner-case_Handling_4_T_Loop23_TestCase5, ERROR, 4206)</t>
  </si>
  <si>
    <t>(Missing_Corner-case_Handling_4_T_Loop0_TestCase10, ERROR, 4222)
(Missing_Corner-case_Handling_4_T_Loop0_TestCase1, ERROR, 4245)
(Missing_Corner-case_Handling_4_T_Loop0_TestCase2, TRUE, 4917)
(Missing_Corner-case_Handling_4_T_Loop0_TestCase3, ERROR, 4230)
(Missing_Corner-case_Handling_4_T_Loop0_TestCase7, ERROR, 4318)
(Missing_Corner-case_Handling_4_T_Loop0_TestCase6, ERROR, 4310)
(Missing_Corner-case_Handling_4_T_Loop0_TestCase4, ERROR, 4257)
(Missing_Corner-case_Handling_4_T_Loop0_TestCase5, ERROR, 4267)
(Missing_Corner-case_Handling_4_T_Loop0_TestCase8, ERROR, 4322)
(Missing_Corner-case_Handling_4_T_Loop0_TestCase9, ERROR, 4300)</t>
  </si>
  <si>
    <t>(Missing_Corner-case_Handling_4_T_Loop36_TestCase0, ERROR, 4170)
(Missing_Corner-case_Handling_4_T_Loop23_TestCase0, ERROR, 4213)
(Missing_Corner-case_Handling_4_T_Loop50_TestCase0, ERROR, 4292)</t>
  </si>
  <si>
    <t>(Missing_Corner-case_Handling_4_T_Loop0_TestCase0, ERROR, 4399)</t>
  </si>
  <si>
    <t>(Missing_Corner-case_Handling_4_NT_Loop51_TestCase5, ERROR, 4286)
(Missing_Corner-case_Handling_4_NT_Loop37_TestCase8, ERROR, 4276)
(Missing_Corner-case_Handling_4_NT_Loop24_TestCase9, ERROR, 4199)
(Missing_Corner-case_Handling_4_NT_Loop24_TestCase8, ERROR, 4207)
(Missing_Corner-case_Handling_4_NT_Loop37_TestCase9, ERROR, 4292)
(Missing_Corner-case_Handling_4_NT_Loop51_TestCase4, ERROR, 4323)
(Missing_Corner-case_Handling_4_NT_Loop51_TestCase6, ERROR, 4231)
(Missing_Corner-case_Handling_4_NT_Loop51_TestCase7, ERROR, 4236)
(Missing_Corner-case_Handling_4_NT_Loop51_TestCase3, ERROR, 4239)
(Missing_Corner-case_Handling_4_NT_Loop51_TestCase2, ERROR, 4261)
(Missing_Corner-case_Handling_4_NT_Loop51_TestCase1, ERROR, 4248)
(Missing_Corner-case_Handling_4_NT_Loop37_TestCase1, ERROR, 4259)
(Missing_Corner-case_Handling_4_NT_Loop51_TestCase10, ERROR, 4257)
(Missing_Corner-case_Handling_4_NT_Loop24_TestCase1, ERROR, 4210)
(Missing_Corner-case_Handling_4_NT_Loop37_TestCase2, ERROR, 4269)
(Missing_Corner-case_Handling_4_NT_Loop24_TestCase3, ERROR, 4171)
(Missing_Corner-case_Handling_4_NT_Loop24_TestCase2, ERROR, 4246)
(Missing_Corner-case_Handling_4_NT_Loop37_TestCase3, ERROR, 4247)
(Missing_Corner-case_Handling_4_NT_Loop37_TestCase7, ERROR, 4234)
(Missing_Corner-case_Handling_4_NT_Loop24_TestCase6, ERROR, 4227)
(Missing_Corner-case_Handling_4_NT_Loop24_TestCase7, ERROR, 4187)
(Missing_Corner-case_Handling_4_NT_Loop37_TestCase6, ERROR, 4261)
(Missing_Corner-case_Handling_4_NT_Loop51_TestCase9, ERROR, 4289)
(Missing_Corner-case_Handling_4_NT_Loop37_TestCase4, ERROR, 4273)
(Missing_Corner-case_Handling_4_NT_Loop24_TestCase5, ERROR, 4217)
(Missing_Corner-case_Handling_4_NT_Loop24_TestCase4, ERROR, 4200)
(Missing_Corner-case_Handling_4_NT_Loop37_TestCase5, ERROR, 4273)
(Missing_Corner-case_Handling_4_NT_Loop51_TestCase8, ERROR, 4238)
(Missing_Corner-case_Handling_4_NT_Loop24_TestCase10, ERROR, 4208)
(Missing_Corner-case_Handling_4_NT_Loop37_TestCase10, ERROR, 4263)</t>
  </si>
  <si>
    <t>(Missing_Corner-case_Handling_4_NT_Loop0_TestCase10, ERROR, 4249)
(Missing_Corner-case_Handling_4_NT_Loop0_TestCase8, ERROR, 4257)
(Missing_Corner-case_Handling_4_NT_Loop0_TestCase9, ERROR, 4209)
(Missing_Corner-case_Handling_4_NT_Loop0_TestCase4, ERROR, 4283)
(Missing_Corner-case_Handling_4_NT_Loop0_TestCase5, ERROR, 4322)
(Missing_Corner-case_Handling_4_NT_Loop0_TestCase7, ERROR, 4267)
(Missing_Corner-case_Handling_4_NT_Loop0_TestCase6, ERROR, 4290)
(Missing_Corner-case_Handling_4_NT_Loop0_TestCase2, ERROR, 4289)
(Missing_Corner-case_Handling_4_NT_Loop0_TestCase3, TRUE, 4881)
(Missing_Corner-case_Handling_4_NT_Loop0_TestCase1, TRUE, 4874)</t>
  </si>
  <si>
    <t>(Missing_Corner-case_Handling_4_NT_Loop51_TestCase0, ERROR, 4234)
(Missing_Corner-case_Handling_4_NT_Loop24_TestCase0, ERROR, 4223)
(Missing_Corner-case_Handling_4_NT_Loop37_TestCase0, ERROR, 4224)</t>
  </si>
  <si>
    <t>(Missing_Corner-case_Handling_4_NT_Loop0_TestCase0, ERROR, 4457)</t>
  </si>
  <si>
    <t>(Missing_Corner-case_Handling_3_T_Loop31_TestCase4, ERROR, 4320)
(Missing_Corner-case_Handling_3_T_Loop31_TestCase5, ERROR, 4247)
(Missing_Corner-case_Handling_3_T_Loop21_TestCase1, ERROR, 4263)
(Missing_Corner-case_Handling_3_T_Loop31_TestCase10, ERROR, 4280)
(Missing_Corner-case_Handling_3_T_Loop21_TestCase3, ERROR, 4350)
(Missing_Corner-case_Handling_3_T_Loop31_TestCase7, ERROR, 4227)
(Missing_Corner-case_Handling_3_T_Loop31_TestCase6, ERROR, 4248)
(Missing_Corner-case_Handling_3_T_Loop21_TestCase2, ERROR, 4271)
(Missing_Corner-case_Handling_3_T_Loop21_TestCase6, ERROR, 4180)
(Missing_Corner-case_Handling_3_T_Loop33_TestCase9, ERROR, 4263)
(Missing_Corner-case_Handling_3_T_Loop19_TestCase8, ERROR, 4263)
(Missing_Corner-case_Handling_3_T_Loop31_TestCase2, ERROR, 4261)
(Missing_Corner-case_Handling_3_T_Loop31_TestCase3, ERROR, 4266)
(Missing_Corner-case_Handling_3_T_Loop19_TestCase9, ERROR, 4273)
(Missing_Corner-case_Handling_3_T_Loop33_TestCase8, ERROR, 4214)
(Missing_Corner-case_Handling_3_T_Loop21_TestCase7, ERROR, 4238)
(Missing_Corner-case_Handling_3_T_Loop21_TestCase5, ERROR, 4253)
(Missing_Corner-case_Handling_3_T_Loop31_TestCase1, ERROR, 4241)
(Missing_Corner-case_Handling_3_T_Loop21_TestCase4, ERROR, 4272)
(Missing_Corner-case_Handling_3_T_Loop33_TestCase10, ERROR, 4261)
(Missing_Corner-case_Handling_3_T_Loop21_TestCase10, ERROR, 4268)
(Missing_Corner-case_Handling_3_T_Loop21_TestCase9, ERROR, 4276)
(Missing_Corner-case_Handling_3_T_Loop33_TestCase6, ERROR, 4278)
(Missing_Corner-case_Handling_3_T_Loop19_TestCase7, ERROR, 4280)
(Missing_Corner-case_Handling_3_T_Loop19_TestCase6, ERROR, 4258)
(Missing_Corner-case_Handling_3_T_Loop33_TestCase7, ERROR, 4200)
(Missing_Corner-case_Handling_3_T_Loop21_TestCase8, ERROR, 4261)
(Missing_Corner-case_Handling_3_T_Loop33_TestCase5, ERROR, 4303)
(Missing_Corner-case_Handling_3_T_Loop19_TestCase4, ERROR, 4250)
(Missing_Corner-case_Handling_3_T_Loop19_TestCase10, ERROR, 4268)
(Missing_Corner-case_Handling_3_T_Loop19_TestCase5, ERROR, 4274)
(Missing_Corner-case_Handling_3_T_Loop33_TestCase4, ERROR, 4256)
(Missing_Corner-case_Handling_3_T_Loop19_TestCase1, ERROR, 4222)
(Missing_Corner-case_Handling_3_T_Loop33_TestCase1, ERROR, 4262)
(Missing_Corner-case_Handling_3_T_Loop33_TestCase3, ERROR, 4261)
(Missing_Corner-case_Handling_3_T_Loop19_TestCase2, ERROR, 4279)
(Missing_Corner-case_Handling_3_T_Loop31_TestCase8, ERROR, 4273)
(Missing_Corner-case_Handling_3_T_Loop31_TestCase9, ERROR, 4241)
(Missing_Corner-case_Handling_3_T_Loop19_TestCase3, ERROR, 4274)
(Missing_Corner-case_Handling_3_T_Loop33_TestCase2, ERROR, 4282)</t>
  </si>
  <si>
    <t>(Missing_Corner-case_Handling_3_T_Loop0_TestCase10, ERROR, 4226)
(Missing_Corner-case_Handling_3_T_Loop0_TestCase9, ERROR, 4242)
(Missing_Corner-case_Handling_3_T_Loop0_TestCase8, ERROR, 4216)
(Missing_Corner-case_Handling_3_T_Loop0_TestCase6, ERROR, 4242)
(Missing_Corner-case_Handling_3_T_Loop0_TestCase7, ERROR, 4250)
(Missing_Corner-case_Handling_3_T_Loop0_TestCase5, ERROR, 4200)
(Missing_Corner-case_Handling_3_T_Loop0_TestCase4, ERROR, 4207)
(Missing_Corner-case_Handling_3_T_Loop0_TestCase1, ERROR, 4260)
(Missing_Corner-case_Handling_3_T_Loop0_TestCase3, ERROR, 4245)
(Missing_Corner-case_Handling_3_T_Loop0_TestCase2, ERROR, 4177)</t>
  </si>
  <si>
    <t>(Missing_Corner-case_Handling_3_T_Loop21_TestCase0, ERROR, 4275)
(Missing_Corner-case_Handling_3_T_Loop31_TestCase0, ERROR, 4278)
(Missing_Corner-case_Handling_3_T_Loop33_TestCase0, ERROR, 4184)
(Missing_Corner-case_Handling_3_T_Loop19_TestCase0, ERROR, 4266)</t>
  </si>
  <si>
    <t>(Missing_Corner-case_Handling_3_T_Loop0_TestCase0, ERROR, 4403)</t>
  </si>
  <si>
    <t>(Missing_Corner-case_Handling_3_NT_Loop21_TestCase10, ERROR, 4260)
(Missing_Corner-case_Handling_3_NT_Loop21_TestCase4, ERROR, 4303)
(Missing_Corner-case_Handling_3_NT_Loop21_TestCase5, ERROR, 4264)
(Missing_Corner-case_Handling_3_NT_Loop31_TestCase1, ERROR, 4219)
(Missing_Corner-case_Handling_3_NT_Loop33_TestCase10, ERROR, 4287)
(Missing_Corner-case_Handling_3_NT_Loop33_TestCase8, ERROR, 4282)
(Missing_Corner-case_Handling_3_NT_Loop31_TestCase3, ERROR, 4211)
(Missing_Corner-case_Handling_3_NT_Loop19_TestCase9, ERROR, 4257)
(Missing_Corner-case_Handling_3_NT_Loop21_TestCase7, ERROR, 4262)
(Missing_Corner-case_Handling_3_NT_Loop21_TestCase6, ERROR, 4270)
(Missing_Corner-case_Handling_3_NT_Loop19_TestCase8, ERROR, 4233)
(Missing_Corner-case_Handling_3_NT_Loop31_TestCase2, ERROR, 4259)
(Missing_Corner-case_Handling_3_NT_Loop33_TestCase9, ERROR, 4242)
(Missing_Corner-case_Handling_3_NT_Loop31_TestCase6, ERROR, 4264)
(Missing_Corner-case_Handling_3_NT_Loop21_TestCase2, ERROR, 4246)
(Missing_Corner-case_Handling_3_NT_Loop21_TestCase3, ERROR, 4229)
(Missing_Corner-case_Handling_3_NT_Loop31_TestCase7, ERROR, 4296)
(Missing_Corner-case_Handling_3_NT_Loop31_TestCase5, ERROR, 4230)
(Missing_Corner-case_Handling_3_NT_Loop21_TestCase1, ERROR, 4251)
(Missing_Corner-case_Handling_3_NT_Loop31_TestCase4, ERROR, 4308)
(Missing_Corner-case_Handling_3_NT_Loop31_TestCase10, ERROR, 4277)
(Missing_Corner-case_Handling_3_NT_Loop19_TestCase10, ERROR, 4251)
(Missing_Corner-case_Handling_3_NT_Loop33_TestCase2, ERROR, 4276)
(Missing_Corner-case_Handling_3_NT_Loop31_TestCase9, ERROR, 4231)
(Missing_Corner-case_Handling_3_NT_Loop19_TestCase3, ERROR, 4286)
(Missing_Corner-case_Handling_3_NT_Loop19_TestCase2, ERROR, 4269)
(Missing_Corner-case_Handling_3_NT_Loop31_TestCase8, ERROR, 4207)
(Missing_Corner-case_Handling_3_NT_Loop33_TestCase3, ERROR, 4243)
(Missing_Corner-case_Handling_3_NT_Loop33_TestCase1, ERROR, 4321)
(Missing_Corner-case_Handling_3_NT_Loop19_TestCase1, ERROR, 4235)
(Missing_Corner-case_Handling_3_NT_Loop33_TestCase4, ERROR, 4238)
(Missing_Corner-case_Handling_3_NT_Loop19_TestCase5, ERROR, 4283)
(Missing_Corner-case_Handling_3_NT_Loop19_TestCase4, ERROR, 4258)
(Missing_Corner-case_Handling_3_NT_Loop33_TestCase5, ERROR, 4257)
(Missing_Corner-case_Handling_3_NT_Loop33_TestCase7, ERROR, 4273)
(Missing_Corner-case_Handling_3_NT_Loop19_TestCase6, ERROR, 4221)
(Missing_Corner-case_Handling_3_NT_Loop21_TestCase8, ERROR, 4195)
(Missing_Corner-case_Handling_3_NT_Loop21_TestCase9, ERROR, 4303)
(Missing_Corner-case_Handling_3_NT_Loop19_TestCase7, ERROR, 4236)
(Missing_Corner-case_Handling_3_NT_Loop33_TestCase6, ERROR, 4386)</t>
  </si>
  <si>
    <t>(Missing_Corner-case_Handling_3_NT_Loop0_TestCase10, ERROR, 4212)
(Missing_Corner-case_Handling_3_NT_Loop0_TestCase8, ERROR, 4256)
(Missing_Corner-case_Handling_3_NT_Loop0_TestCase9, ERROR, 4280)
(Missing_Corner-case_Handling_3_NT_Loop0_TestCase7, ERROR, 4344)
(Missing_Corner-case_Handling_3_NT_Loop0_TestCase6, ERROR, 4214)
(Missing_Corner-case_Handling_3_NT_Loop0_TestCase4, ERROR, 4236)
(Missing_Corner-case_Handling_3_NT_Loop0_TestCase5, ERROR, 4237)
(Missing_Corner-case_Handling_3_NT_Loop0_TestCase1, ERROR, 4201)
(Missing_Corner-case_Handling_3_NT_Loop0_TestCase2, ERROR, 4295)
(Missing_Corner-case_Handling_3_NT_Loop0_TestCase3, ERROR, 4185)</t>
  </si>
  <si>
    <t>(Missing_Corner-case_Handling_3_NT_Loop31_TestCase0, ERROR, 4255)
(Missing_Corner-case_Handling_3_NT_Loop21_TestCase0, ERROR, 4200)
(Missing_Corner-case_Handling_3_NT_Loop19_TestCase0, ERROR, 4267)
(Missing_Corner-case_Handling_3_NT_Loop33_TestCase0, ERROR, 4198)</t>
  </si>
  <si>
    <t>(Missing_Corner-case_Handling_3_NT_Loop0_TestCase0, ERROR, 4388)</t>
  </si>
  <si>
    <t>(Missing_Corner-case_Handling_2_T_Loop16_TestCase1, TRUE, 4822)
(Missing_Corner-case_Handling_2_T_Loop16_TestCase2, TRUE, 4850)
(Missing_Corner-case_Handling_2_T_Loop16_TestCase3, TRUE, 4846)
(Missing_Corner-case_Handling_2_T_Loop16_TestCase7, TRUE, 4813)
(Missing_Corner-case_Handling_2_T_Loop16_TestCase6, TRUE, 4752)
(Missing_Corner-case_Handling_2_T_Loop16_TestCase4, TRUE, 4916)
(Missing_Corner-case_Handling_2_T_Loop16_TestCase5, TRUE, 5029)
(Missing_Corner-case_Handling_2_T_Loop16_TestCase10, TRUE, 4806)
(Missing_Corner-case_Handling_2_T_Loop16_TestCase8, TRUE, 4795)
(Missing_Corner-case_Handling_2_T_Loop16_TestCase9, TRUE, 4826)</t>
  </si>
  <si>
    <t>(Missing_Corner-case_Handling_2_T_Loop0_TestCase5, TRUE, 5075)
(Missing_Corner-case_Handling_2_T_Loop0_TestCase4, TRUE, 4902)
(Missing_Corner-case_Handling_2_T_Loop0_TestCase6, TRUE, 4775)
(Missing_Corner-case_Handling_2_T_Loop0_TestCase7, TRUE, 4883)
(Missing_Corner-case_Handling_2_T_Loop0_TestCase3, TRUE, 4882)
(Missing_Corner-case_Handling_2_T_Loop0_TestCase2, TRUE, 4766)
(Missing_Corner-case_Handling_2_T_Loop0_TestCase1, TRUE, 4748)
(Missing_Corner-case_Handling_2_T_Loop0_TestCase10, TRUE, 4784)
(Missing_Corner-case_Handling_2_T_Loop0_TestCase9, TRUE, 4752)
(Missing_Corner-case_Handling_2_T_Loop0_TestCase8, TRUE, 4745)</t>
  </si>
  <si>
    <t>(Missing_Corner-case_Handling_2_T_Loop16_TestCase0, FALSE, 5218)</t>
  </si>
  <si>
    <t>(Missing_Corner-case_Handling_2_T_Loop0_TestCase0, FALSE, 5765)</t>
  </si>
  <si>
    <t>(Missing_Corner-case_Handling_2_NT_Loop17_TestCase2, TRUE, 4839)
(Missing_Corner-case_Handling_2_NT_Loop17_TestCase3, TRUE, 4822)
(Missing_Corner-case_Handling_2_NT_Loop17_TestCase1, TRUE, 4758)
(Missing_Corner-case_Handling_2_NT_Loop17_TestCase4, TRUE, 4938)
(Missing_Corner-case_Handling_2_NT_Loop17_TestCase5, TRUE, 5059)
(Missing_Corner-case_Handling_2_NT_Loop17_TestCase7, FALSE, 4875)
(Missing_Corner-case_Handling_2_NT_Loop17_TestCase6, FALSE, 4835)
(Missing_Corner-case_Handling_2_NT_Loop17_TestCase8, FALSE, 4876)
(Missing_Corner-case_Handling_2_NT_Loop17_TestCase9, FALSE, 4976)
(Missing_Corner-case_Handling_2_NT_Loop17_TestCase10, FALSE, 5090)</t>
  </si>
  <si>
    <t>(Missing_Corner-case_Handling_2_NT_Loop0_TestCase9, FALSE, 5442)
(Missing_Corner-case_Handling_2_NT_Loop0_TestCase8, FALSE, 5343)
(Missing_Corner-case_Handling_2_NT_Loop0_TestCase10, FALSE, 5434)
(Missing_Corner-case_Handling_2_NT_Loop0_TestCase3, TRUE, 4902)
(Missing_Corner-case_Handling_2_NT_Loop0_TestCase2, TRUE, 4845)
(Missing_Corner-case_Handling_2_NT_Loop0_TestCase1, TRUE, 4813)
(Missing_Corner-case_Handling_2_NT_Loop0_TestCase5, TRUE, 5303)
(Missing_Corner-case_Handling_2_NT_Loop0_TestCase4, TRUE, 4882)
(Missing_Corner-case_Handling_2_NT_Loop0_TestCase6, FALSE, 5378)
(Missing_Corner-case_Handling_2_NT_Loop0_TestCase7, FALSE, 5439)</t>
  </si>
  <si>
    <t>(Missing_Corner-case_Handling_2_NT_Loop17_TestCase0, FALSE, 4783)</t>
  </si>
  <si>
    <t>(Missing_Corner-case_Handling_2_NT_Loop0_TestCase0, FALSE, 5826)</t>
  </si>
  <si>
    <t>(Missing_Corner-case_Handling_1_T_Loop40_TestCase8, ERROR, 4263)
(Missing_Corner-case_Handling_1_T_Loop40_TestCase9, ERROR, 4322)
(Missing_Corner-case_Handling_1_T_Loop40_TestCase1, TRUE, 4798)
(Missing_Corner-case_Handling_1_T_Loop40_TestCase2, TRUE, 4927)
(Missing_Corner-case_Handling_1_T_Loop40_TestCase3, TRUE, 4911)
(Missing_Corner-case_Handling_1_T_Loop40_TestCase7, ERROR, 4293)
(Missing_Corner-case_Handling_1_T_Loop40_TestCase6, ERROR, 4257)
(Missing_Corner-case_Handling_1_T_Loop40_TestCase4, TRUE, 4921)
(Missing_Corner-case_Handling_1_T_Loop40_TestCase5, TRUE, 4955)
(Missing_Corner-case_Handling_1_T_Loop40_TestCase10, ERROR, 4307)</t>
  </si>
  <si>
    <t>(Missing_Corner-case_Handling_1_T_Loop0_TestCase8, ERROR, 4278)
(Missing_Corner-case_Handling_1_T_Loop0_TestCase9, ERROR, 4177)
(Missing_Corner-case_Handling_1_T_Loop0_TestCase10, ERROR, 4356)
(Missing_Corner-case_Handling_1_T_Loop0_TestCase1, TRUE, 4907)
(Missing_Corner-case_Handling_1_T_Loop0_TestCase2, TRUE, 4875)
(Missing_Corner-case_Handling_1_T_Loop0_TestCase3, TRUE, 4900)
(Missing_Corner-case_Handling_1_T_Loop0_TestCase7, ERROR, 4225)
(Missing_Corner-case_Handling_1_T_Loop0_TestCase6, ERROR, 4204)
(Missing_Corner-case_Handling_1_T_Loop0_TestCase4, TRUE, 4903)
(Missing_Corner-case_Handling_1_T_Loop0_TestCase5, TRUE, 4943)</t>
  </si>
  <si>
    <t>(Missing_Corner-case_Handling_1_T_Loop40_TestCase0, ERROR, 4167)</t>
  </si>
  <si>
    <t>(Missing_Corner-case_Handling_1_T_Loop0_TestCase0, ERROR, 4409)</t>
  </si>
  <si>
    <t>(Missing_Corner-case_Handling_1_NT_Loop40_TestCase5, TRUE, 4920)
(Missing_Corner-case_Handling_1_NT_Loop40_TestCase4, TRUE, 4890)
(Missing_Corner-case_Handling_1_NT_Loop40_TestCase6, ERROR, 4284)
(Missing_Corner-case_Handling_1_NT_Loop40_TestCase7, ERROR, 4309)
(Missing_Corner-case_Handling_1_NT_Loop40_TestCase3, TRUE, 5000)
(Missing_Corner-case_Handling_1_NT_Loop40_TestCase2, TRUE, 4916)
(Missing_Corner-case_Handling_1_NT_Loop40_TestCase1, TRUE, 4924)
(Missing_Corner-case_Handling_1_NT_Loop40_TestCase10, ERROR, 4312)
(Missing_Corner-case_Handling_1_NT_Loop40_TestCase9, ERROR, 4305)
(Missing_Corner-case_Handling_1_NT_Loop40_TestCase8, ERROR, 4282)</t>
  </si>
  <si>
    <t>(Missing_Corner-case_Handling_1_NT_Loop0_TestCase9, ERROR, 4160)
(Missing_Corner-case_Handling_1_NT_Loop0_TestCase8, ERROR, 4229)
(Missing_Corner-case_Handling_1_NT_Loop0_TestCase6, ERROR, 4220)
(Missing_Corner-case_Handling_1_NT_Loop0_TestCase7, ERROR, 4257)
(Missing_Corner-case_Handling_1_NT_Loop0_TestCase5, TRUE, 4943)
(Missing_Corner-case_Handling_1_NT_Loop0_TestCase4, TRUE, 4888)
(Missing_Corner-case_Handling_1_NT_Loop0_TestCase1, TRUE, 4858)
(Missing_Corner-case_Handling_1_NT_Loop0_TestCase10, ERROR, 4260)
(Missing_Corner-case_Handling_1_NT_Loop0_TestCase3, TRUE, 4895)
(Missing_Corner-case_Handling_1_NT_Loop0_TestCase2, TRUE, 4870)</t>
  </si>
  <si>
    <t>(Missing_Corner-case_Handling_1_NT_Loop40_TestCase0, ERROR, 4216)</t>
  </si>
  <si>
    <t>(Missing_Corner-case_Handling_1_NT_Loop0_TestCase0, ERROR, 4380)</t>
  </si>
  <si>
    <t>(Incorrect_Update_for_Loop_Iterator_3_NT_Loop18_TestCase4, TRUE, 4991)
(Incorrect_Update_for_Loop_Iterator_3_NT_Loop18_TestCase5, TRUE, 4915)
(Incorrect_Update_for_Loop_Iterator_3_NT_Loop18_TestCase7, FALSE, 5153)
(Incorrect_Update_for_Loop_Iterator_3_NT_Loop18_TestCase6, FALSE, 4999)
(Incorrect_Update_for_Loop_Iterator_3_NT_Loop18_TestCase2, TRUE, 4930)
(Incorrect_Update_for_Loop_Iterator_3_NT_Loop18_TestCase3, TRUE, 4835)
(Incorrect_Update_for_Loop_Iterator_3_NT_Loop18_TestCase1, TRUE, 4907)
(Incorrect_Update_for_Loop_Iterator_3_NT_Loop18_TestCase8, FALSE, 5133)
(Incorrect_Update_for_Loop_Iterator_3_NT_Loop18_TestCase10, FALSE, 5187)
(Incorrect_Update_for_Loop_Iterator_3_NT_Loop18_TestCase9, FALSE, 5107)</t>
  </si>
  <si>
    <t>(Incorrect_Update_for_Loop_Iterator_3_NT_Loop0_TestCase8, FALSE, 5130)
(Incorrect_Update_for_Loop_Iterator_3_NT_Loop0_TestCase9, FALSE, 5058)
(Incorrect_Update_for_Loop_Iterator_3_NT_Loop0_TestCase10, FALSE, 5158)
(Incorrect_Update_for_Loop_Iterator_3_NT_Loop0_TestCase2, TRUE, 4894)
(Incorrect_Update_for_Loop_Iterator_3_NT_Loop0_TestCase3, TRUE, 4905)
(Incorrect_Update_for_Loop_Iterator_3_NT_Loop0_TestCase1, TRUE, 5027)
(Incorrect_Update_for_Loop_Iterator_3_NT_Loop0_TestCase4, TRUE, 4855)
(Incorrect_Update_for_Loop_Iterator_3_NT_Loop0_TestCase5, TRUE, 4924)
(Incorrect_Update_for_Loop_Iterator_3_NT_Loop0_TestCase7, FALSE, 5092)
(Incorrect_Update_for_Loop_Iterator_3_NT_Loop0_TestCase6, FALSE, 5064)</t>
  </si>
  <si>
    <t>(Incorrect_Update_for_Loop_Iterator_3_NT_Loop18_TestCase0, FALSE, 4812)</t>
  </si>
  <si>
    <t>(Incorrect_Update_for_Loop_Iterator_3_NT_Loop0_TestCase0, FALSE, 5137)</t>
  </si>
  <si>
    <t>(Incorrect_Update_for_Loop_Iterator_2_T_Loop14_TestCase9, TRUE, 10614)
(Incorrect_Update_for_Loop_Iterator_2_T_Loop14_TestCase8, TRUE, 10507)
(Incorrect_Update_for_Loop_Iterator_2_T_Loop14_TestCase10, TRUE, 11298)
(Incorrect_Update_for_Loop_Iterator_2_T_Loop14_TestCase6, TRUE, 4882)
(Incorrect_Update_for_Loop_Iterator_2_T_Loop14_TestCase7, TRUE, 5366)
(Incorrect_Update_for_Loop_Iterator_2_T_Loop14_TestCase5, TRUE, 8039)
(Incorrect_Update_for_Loop_Iterator_2_T_Loop14_TestCase4, TRUE, 5160)
(Incorrect_Update_for_Loop_Iterator_2_T_Loop14_TestCase1, TRUE, 4940)
(Incorrect_Update_for_Loop_Iterator_2_T_Loop14_TestCase3, TRUE, 5001)
(Incorrect_Update_for_Loop_Iterator_2_T_Loop14_TestCase2, TRUE, 4919)</t>
  </si>
  <si>
    <t>(Incorrect_Update_for_Loop_Iterator_2_T_Loop0_TestCase8, TRUE, 10629)
(Incorrect_Update_for_Loop_Iterator_2_T_Loop0_TestCase9, TRUE, 10719)
(Incorrect_Update_for_Loop_Iterator_2_T_Loop0_TestCase10, TRUE, 10670)
(Incorrect_Update_for_Loop_Iterator_2_T_Loop0_TestCase1, TRUE, 4829)
(Incorrect_Update_for_Loop_Iterator_2_T_Loop0_TestCase2, TRUE, 4851)
(Incorrect_Update_for_Loop_Iterator_2_T_Loop0_TestCase3, TRUE, 4960)
(Incorrect_Update_for_Loop_Iterator_2_T_Loop0_TestCase7, TRUE, 4890)
(Incorrect_Update_for_Loop_Iterator_2_T_Loop0_TestCase6, TRUE, 4890)
(Incorrect_Update_for_Loop_Iterator_2_T_Loop0_TestCase4, TRUE, 5183)
(Incorrect_Update_for_Loop_Iterator_2_T_Loop0_TestCase5, TRUE, 7902)</t>
  </si>
  <si>
    <t>(Incorrect_Update_for_Loop_Iterator_2_T_Loop14_TestCase0, FALSE, 6731)</t>
  </si>
  <si>
    <t>(Incorrect_Update_for_Loop_Iterator_2_T_Loop0_TestCase0, UNKNOWN, 300842)</t>
  </si>
  <si>
    <t>(Incorrect_Update_for_Loop_Iterator_2_NT_Loop15_TestCase9, FALSE, 11976)
(Incorrect_Update_for_Loop_Iterator_2_NT_Loop15_TestCase8, FALSE, 11655)
(Incorrect_Update_for_Loop_Iterator_2_NT_Loop15_TestCase1, TRUE, 4833)
(Incorrect_Update_for_Loop_Iterator_2_NT_Loop15_TestCase3, TRUE, 5087)
(Incorrect_Update_for_Loop_Iterator_2_NT_Loop15_TestCase2, TRUE, 4813)
(Incorrect_Update_for_Loop_Iterator_2_NT_Loop15_TestCase6, FALSE, 7378)
(Incorrect_Update_for_Loop_Iterator_2_NT_Loop15_TestCase7, FALSE, 11641)
(Incorrect_Update_for_Loop_Iterator_2_NT_Loop15_TestCase5, TRUE, 7565)
(Incorrect_Update_for_Loop_Iterator_2_NT_Loop15_TestCase4, TRUE, 5164)
(Incorrect_Update_for_Loop_Iterator_2_NT_Loop15_TestCase10, FALSE, 11656)</t>
  </si>
  <si>
    <t>(Incorrect_Update_for_Loop_Iterator_2_NT_Loop0_TestCase9, FALSE, 12206)
(Incorrect_Update_for_Loop_Iterator_2_NT_Loop0_TestCase8, FALSE, 12225)
(Incorrect_Update_for_Loop_Iterator_2_NT_Loop0_TestCase6, FALSE, 7360)
(Incorrect_Update_for_Loop_Iterator_2_NT_Loop0_TestCase10, FALSE, 12214)
(Incorrect_Update_for_Loop_Iterator_2_NT_Loop0_TestCase7, FALSE, 12325)
(Incorrect_Update_for_Loop_Iterator_2_NT_Loop0_TestCase5, TRUE, 7658)
(Incorrect_Update_for_Loop_Iterator_2_NT_Loop0_TestCase4, TRUE, 5148)
(Incorrect_Update_for_Loop_Iterator_2_NT_Loop0_TestCase1, TRUE, 4819)
(Incorrect_Update_for_Loop_Iterator_2_NT_Loop0_TestCase3, TRUE, 4912)
(Incorrect_Update_for_Loop_Iterator_2_NT_Loop0_TestCase2, TRUE, 4883)</t>
  </si>
  <si>
    <t>(Incorrect_Update_for_Loop_Iterator_2_NT_Loop15_TestCase0, FALSE, 5671)</t>
  </si>
  <si>
    <t>(Incorrect_Update_for_Loop_Iterator_2_NT_Loop0_TestCase0, UNKNOWN, 300836)</t>
  </si>
  <si>
    <t>(Incorrect_Update_for_Loop_Iterator_1_T_Loop19_TestCase9, TRUE, 4977)
(Incorrect_Update_for_Loop_Iterator_1_T_Loop19_TestCase10, TRUE, 4914)
(Incorrect_Update_for_Loop_Iterator_1_T_Loop19_TestCase8, TRUE, 4921)
(Incorrect_Update_for_Loop_Iterator_1_T_Loop19_TestCase3, TRUE, 5013)
(Incorrect_Update_for_Loop_Iterator_1_T_Loop19_TestCase2, TRUE, 4922)
(Incorrect_Update_for_Loop_Iterator_1_T_Loop19_TestCase1, TRUE, 4942)
(Incorrect_Update_for_Loop_Iterator_1_T_Loop19_TestCase5, TRUE, 4957)
(Incorrect_Update_for_Loop_Iterator_1_T_Loop19_TestCase4, TRUE, 4950)
(Incorrect_Update_for_Loop_Iterator_1_T_Loop19_TestCase6, TRUE, 4948)
(Incorrect_Update_for_Loop_Iterator_1_T_Loop19_TestCase7, TRUE, 4952)</t>
  </si>
  <si>
    <t>(Incorrect_Update_for_Loop_Iterator_1_T_Loop0_TestCase5, TRUE, 4900)
(Incorrect_Update_for_Loop_Iterator_1_T_Loop0_TestCase4, TRUE, 4862)
(Incorrect_Update_for_Loop_Iterator_1_T_Loop0_TestCase6, TRUE, 4898)
(Incorrect_Update_for_Loop_Iterator_1_T_Loop0_TestCase7, TRUE, 4913)
(Incorrect_Update_for_Loop_Iterator_1_T_Loop0_TestCase3, TRUE, 4913)
(Incorrect_Update_for_Loop_Iterator_1_T_Loop0_TestCase2, TRUE, 4897)
(Incorrect_Update_for_Loop_Iterator_1_T_Loop0_TestCase10, TRUE, 4910)
(Incorrect_Update_for_Loop_Iterator_1_T_Loop0_TestCase1, TRUE, 4924)
(Incorrect_Update_for_Loop_Iterator_1_T_Loop0_TestCase9, TRUE, 4952)
(Incorrect_Update_for_Loop_Iterator_1_T_Loop0_TestCase8, TRUE, 4902)</t>
  </si>
  <si>
    <t>(Incorrect_Update_for_Loop_Iterator_1_T_Loop19_TestCase0, TRUE, 12713)</t>
  </si>
  <si>
    <t>(Incorrect_Update_for_Loop_Iterator_1_T_Loop0_TestCase0, TRUE, 13163)</t>
  </si>
  <si>
    <t>(Incorrect_Update_for_Loop_Iterator_1_NT_Loop19_TestCase2, TRUE, 5259)
(Incorrect_Update_for_Loop_Iterator_1_NT_Loop19_TestCase3, TRUE, 5299)
(Incorrect_Update_for_Loop_Iterator_1_NT_Loop19_TestCase1, TRUE, 5241)
(Incorrect_Update_for_Loop_Iterator_1_NT_Loop19_TestCase10, FALSE, 5014)
(Incorrect_Update_for_Loop_Iterator_1_NT_Loop19_TestCase4, TRUE, 5040)
(Incorrect_Update_for_Loop_Iterator_1_NT_Loop19_TestCase5, TRUE, 5135)
(Incorrect_Update_for_Loop_Iterator_1_NT_Loop19_TestCase7, FALSE, 5277)
(Incorrect_Update_for_Loop_Iterator_1_NT_Loop19_TestCase6, FALSE, 5161)
(Incorrect_Update_for_Loop_Iterator_1_NT_Loop19_TestCase8, FALSE, 5140)
(Incorrect_Update_for_Loop_Iterator_1_NT_Loop19_TestCase9, FALSE, 5096)</t>
  </si>
  <si>
    <t>(Incorrect_Update_for_Loop_Iterator_1_NT_Loop0_TestCase9, FALSE, 5070)
(Incorrect_Update_for_Loop_Iterator_1_NT_Loop0_TestCase8, FALSE, 5072)
(Incorrect_Update_for_Loop_Iterator_1_NT_Loop0_TestCase10, FALSE, 4916)
(Incorrect_Update_for_Loop_Iterator_1_NT_Loop0_TestCase3, TRUE, 5239)
(Incorrect_Update_for_Loop_Iterator_1_NT_Loop0_TestCase2, TRUE, 5310)
(Incorrect_Update_for_Loop_Iterator_1_NT_Loop0_TestCase1, TRUE, 5219)
(Incorrect_Update_for_Loop_Iterator_1_NT_Loop0_TestCase5, TRUE, 5111)
(Incorrect_Update_for_Loop_Iterator_1_NT_Loop0_TestCase4, TRUE, 5057)
(Incorrect_Update_for_Loop_Iterator_1_NT_Loop0_TestCase6, FALSE, 5148)
(Incorrect_Update_for_Loop_Iterator_1_NT_Loop0_TestCase7, FALSE, 5211)</t>
  </si>
  <si>
    <t>(Incorrect_Update_for_Loop_Iterator_1_NT_Loop19_TestCase0, FALSE, 14338)</t>
  </si>
  <si>
    <t>(Incorrect_Update_for_Loop_Iterator_1_NT_Loop0_TestCase0, FALSE, 15137)</t>
  </si>
  <si>
    <t>(Incorrect_Initialization_4_T_Loop20_TestCase7, TRUE, 5050)
(Incorrect_Initialization_4_T_Loop20_TestCase6, TRUE, 5032)
(Incorrect_Initialization_4_T_Loop20_TestCase4, TRUE, 4737)
(Incorrect_Initialization_4_T_Loop20_TestCase5, TRUE, 4767)
(Incorrect_Initialization_4_T_Loop20_TestCase1, TRUE, 4834)
(Incorrect_Initialization_4_T_Loop20_TestCase2, TRUE, 4800)
(Incorrect_Initialization_4_T_Loop20_TestCase3, TRUE, 4827)
(Incorrect_Initialization_4_T_Loop20_TestCase10, TRUE, 5087)
(Incorrect_Initialization_4_T_Loop20_TestCase8, TRUE, 5006)
(Incorrect_Initialization_4_T_Loop20_TestCase9, TRUE, 5030)</t>
  </si>
  <si>
    <t>(Incorrect_Initialization_4_T_Loop0_TestCase8, TRUE, 5058)
(Incorrect_Initialization_4_T_Loop0_TestCase9, TRUE, 4974)
(Incorrect_Initialization_4_T_Loop0_TestCase10, TRUE, 5009)
(Incorrect_Initialization_4_T_Loop0_TestCase7, TRUE, 4957)
(Incorrect_Initialization_4_T_Loop0_TestCase6, TRUE, 4944)
(Incorrect_Initialization_4_T_Loop0_TestCase4, TRUE, 4817)
(Incorrect_Initialization_4_T_Loop0_TestCase5, TRUE, 4863)
(Incorrect_Initialization_4_T_Loop0_TestCase1, TRUE, 4781)
(Incorrect_Initialization_4_T_Loop0_TestCase2, TRUE, 4828)
(Incorrect_Initialization_4_T_Loop0_TestCase3, TRUE, 4752)</t>
  </si>
  <si>
    <t>(Incorrect_Initialization_4_T_Loop20_TestCase0, TRUE, 10551)</t>
  </si>
  <si>
    <t>(Incorrect_Initialization_4_T_Loop0_TestCase0, TRUE, 11266)</t>
  </si>
  <si>
    <t>(Incorrect_Initialization_4_NT_Loop19_TestCase2, TRUE, 4737)
(Incorrect_Initialization_4_NT_Loop19_TestCase3, TRUE, 4808)
(Incorrect_Initialization_4_NT_Loop19_TestCase1, TRUE, 4772)
(Incorrect_Initialization_4_NT_Loop19_TestCase4, TRUE, 4812)
(Incorrect_Initialization_4_NT_Loop19_TestCase5, TRUE, 4805)
(Incorrect_Initialization_4_NT_Loop19_TestCase7, FALSE, 5002)
(Incorrect_Initialization_4_NT_Loop19_TestCase6, FALSE, 4965)
(Incorrect_Initialization_4_NT_Loop19_TestCase10, FALSE, 5027)
(Incorrect_Initialization_4_NT_Loop19_TestCase8, FALSE, 4970)
(Incorrect_Initialization_4_NT_Loop19_TestCase9, FALSE, 5015)</t>
  </si>
  <si>
    <t>(Incorrect_Initialization_4_NT_Loop0_TestCase7, FALSE, 5034)
(Incorrect_Initialization_4_NT_Loop0_TestCase6, FALSE, 5045)
(Incorrect_Initialization_4_NT_Loop0_TestCase4, TRUE, 4825)
(Incorrect_Initialization_4_NT_Loop0_TestCase5, TRUE, 4852)
(Incorrect_Initialization_4_NT_Loop0_TestCase1, TRUE, 4818)
(Incorrect_Initialization_4_NT_Loop0_TestCase2, TRUE, 4770)
(Incorrect_Initialization_4_NT_Loop0_TestCase3, TRUE, 4925)
(Incorrect_Initialization_4_NT_Loop0_TestCase8, FALSE, 5075)
(Incorrect_Initialization_4_NT_Loop0_TestCase9, FALSE, 4968)
(Incorrect_Initialization_4_NT_Loop0_TestCase10, FALSE, 5019)</t>
  </si>
  <si>
    <t>(Incorrect_Initialization_4_NT_Loop19_TestCase0, FALSE, 5061)</t>
  </si>
  <si>
    <t>(Incorrect_Initialization_4_NT_Loop0_TestCase0, FALSE, 5239)</t>
  </si>
  <si>
    <t>(Incorrect_Initialization_3_T_Loop10_TestCase0, ERROR, 4163)
(Incorrect_Initialization_3_T_Loop21_TestCase0, ERROR, 4043)
(Incorrect_Initialization_3_T_Loop25_TestCase0, ERROR, 4139)</t>
  </si>
  <si>
    <t>(Incorrect_Initialization_3_T_Loop0_TestCase0, ERROR, 4097)</t>
  </si>
  <si>
    <t>(Incorrect_Initialization_3_T_Loop10_TestCase0, ERROR, 4216)
(Incorrect_Initialization_3_T_Loop21_TestCase0, ERROR, 4042)
(Incorrect_Initialization_3_T_Loop25_TestCase0, ERROR, 4147)</t>
  </si>
  <si>
    <t>(Incorrect_Initialization_3_T_Loop0_TestCase0, ERROR, 4282)</t>
  </si>
  <si>
    <t>(Incorrect_Initialization_3_NT_Loop10_TestCase0, ERROR, 4227)
(Incorrect_Initialization_3_NT_Loop25_TestCase0, ERROR, 4113)
(Incorrect_Initialization_3_NT_Loop21_TestCase0, ERROR, 4042)</t>
  </si>
  <si>
    <t>(Incorrect_Initialization_3_NT_Loop0_TestCase0, ERROR, 4420)</t>
  </si>
  <si>
    <t>(Incorrect_Initialization_3_NT_Loop10_TestCase0, ERROR, 4289)
(Incorrect_Initialization_3_NT_Loop25_TestCase0, ERROR, 4135)
(Incorrect_Initialization_3_NT_Loop21_TestCase0, ERROR, 4152)</t>
  </si>
  <si>
    <t>(Incorrect_Initialization_3_NT_Loop0_TestCase0, ERROR, 4469)</t>
  </si>
  <si>
    <t>(Incorrect_Initialization_2_T_Loop26_TestCase9, TRUE, 122878)
(Incorrect_Initialization_2_T_Loop26_TestCase8, TRUE, 133585)
(Incorrect_Initialization_2_T_Loop29_TestCase1, TRUE, 5154)
(Incorrect_Initialization_2_T_Loop26_TestCase10, TRUE, 121369)
(Incorrect_Initialization_2_T_Loop29_TestCase10, TRUE, 122044)
(Incorrect_Initialization_2_T_Loop29_TestCase2, UNKNOWN, 301524)
(Incorrect_Initialization_2_T_Loop29_TestCase3, UNKNOWN, 301494)
(Incorrect_Initialization_2_T_Loop29_TestCase7, TRUE, 122942)
(Incorrect_Initialization_2_T_Loop29_TestCase6, TRUE, 122132)
(Incorrect_Initialization_2_T_Loop29_TestCase4, UNKNOWN, 301627)
(Incorrect_Initialization_2_T_Loop29_TestCase5, UNKNOWN, 301494)
(Incorrect_Initialization_2_T_Loop29_TestCase8, TRUE, 134982)
(Incorrect_Initialization_2_T_Loop29_TestCase9, TRUE, 123494)
(Incorrect_Initialization_2_T_Loop26_TestCase3, UNKNOWN, 301322)
(Incorrect_Initialization_2_T_Loop26_TestCase2, UNKNOWN, 301602)
(Incorrect_Initialization_2_T_Loop26_TestCase1, TRUE, 5323)
(Incorrect_Initialization_2_T_Loop26_TestCase5, UNKNOWN, 301631)
(Incorrect_Initialization_2_T_Loop26_TestCase4, UNKNOWN, 301697)
(Incorrect_Initialization_2_T_Loop26_TestCase6, TRUE, 123176)
(Incorrect_Initialization_2_T_Loop26_TestCase7, TRUE, 121322)</t>
  </si>
  <si>
    <t>(Incorrect_Initialization_2_T_Loop0_TestCase9, TRUE, 61420)
(Incorrect_Initialization_2_T_Loop0_TestCase8, TRUE, 62047)
(Incorrect_Initialization_2_T_Loop0_TestCase3, UNKNOWN, 309363)
(Incorrect_Initialization_2_T_Loop0_TestCase2, UNKNOWN, 301203)
(Incorrect_Initialization_2_T_Loop0_TestCase1, TRUE, 4928)
(Incorrect_Initialization_2_T_Loop0_TestCase5, UNKNOWN, 309196)
(Incorrect_Initialization_2_T_Loop0_TestCase4, UNKNOWN, 301186)
(Incorrect_Initialization_2_T_Loop0_TestCase10, TRUE, 61845)
(Incorrect_Initialization_2_T_Loop0_TestCase6, TRUE, 70727)
(Incorrect_Initialization_2_T_Loop0_TestCase7, TRUE, 70503)</t>
  </si>
  <si>
    <t>(Incorrect_Initialization_2_T_Loop29_TestCase0, UNKNOWN, 301803)
(Incorrect_Initialization_2_T_Loop26_TestCase0, UNKNOWN, 301451)</t>
  </si>
  <si>
    <t>(Incorrect_Initialization_2_T_Loop0_TestCase0, UNKNOWN, 301642)</t>
  </si>
  <si>
    <t>(Incorrect_Initialization_2_NT_Loop31_TestCase7, FALSE, 5343)
(Incorrect_Initialization_2_NT_Loop31_TestCase6, FALSE, 5327)
(Incorrect_Initialization_2_NT_Loop31_TestCase4, FALSE, 5445)
(Incorrect_Initialization_2_NT_Loop31_TestCase5, FALSE, 25225)
(Incorrect_Initialization_2_NT_Loop31_TestCase1, TRUE, 5022)
(Incorrect_Initialization_2_NT_Loop31_TestCase2, FALSE, 5354)
(Incorrect_Initialization_2_NT_Loop31_TestCase3, FALSE, 5377)
(Incorrect_Initialization_2_NT_Loop29_TestCase9, FALSE, 5355)
(Incorrect_Initialization_2_NT_Loop29_TestCase8, FALSE, 5326)
(Incorrect_Initialization_2_NT_Loop29_TestCase5, FALSE, 25552)
(Incorrect_Initialization_2_NT_Loop29_TestCase4, FALSE, 5415)
(Incorrect_Initialization_2_NT_Loop29_TestCase6, FALSE, 5349)
(Incorrect_Initialization_2_NT_Loop31_TestCase10, FALSE, 5393)
(Incorrect_Initialization_2_NT_Loop29_TestCase7, FALSE, 5336)
(Incorrect_Initialization_2_NT_Loop29_TestCase3, FALSE, 5312)
(Incorrect_Initialization_2_NT_Loop29_TestCase2, FALSE, 5340)
(Incorrect_Initialization_2_NT_Loop29_TestCase1, TRUE, 5010)
(Incorrect_Initialization_2_NT_Loop31_TestCase8, FALSE, 5376)
(Incorrect_Initialization_2_NT_Loop31_TestCase9, FALSE, 5311)
(Incorrect_Initialization_2_NT_Loop29_TestCase10, FALSE, 5342)</t>
  </si>
  <si>
    <t>(Incorrect_Initialization_2_NT_Loop0_TestCase10, FALSE, 5193)
(Incorrect_Initialization_2_NT_Loop0_TestCase1, TRUE, 4990)
(Incorrect_Initialization_2_NT_Loop0_TestCase3, FALSE, 5213)
(Incorrect_Initialization_2_NT_Loop0_TestCase2, FALSE, 5255)
(Incorrect_Initialization_2_NT_Loop0_TestCase6, FALSE, 5241)
(Incorrect_Initialization_2_NT_Loop0_TestCase7, FALSE, 5141)
(Incorrect_Initialization_2_NT_Loop0_TestCase5, FALSE, 16251)
(Incorrect_Initialization_2_NT_Loop0_TestCase4, FALSE, 5265)
(Incorrect_Initialization_2_NT_Loop0_TestCase9, FALSE, 5249)
(Incorrect_Initialization_2_NT_Loop0_TestCase8, FALSE, 5255)</t>
  </si>
  <si>
    <t>(Incorrect_Initialization_2_NT_Loop31_TestCase0, FALSE, 5298)
(Incorrect_Initialization_2_NT_Loop29_TestCase0, FALSE, 5266)</t>
  </si>
  <si>
    <t>(Incorrect_Initialization_2_NT_Loop0_TestCase0, FALSE, 5325)</t>
  </si>
  <si>
    <t>(Incorrect_Initialization_1_T_Loop18_TestCase8, ERROR, 4177)
(Incorrect_Initialization_1_T_Loop35_TestCase10, ERROR, 4191)
(Incorrect_Initialization_1_T_Loop18_TestCase9, ERROR, 4214)
(Incorrect_Initialization_1_T_Loop35_TestCase8, ERROR, 4195)
(Incorrect_Initialization_1_T_Loop31_TestCase9, ERROR, 4046)
(Incorrect_Initialization_1_T_Loop31_TestCase8, ERROR, 4100)
(Incorrect_Initialization_1_T_Loop35_TestCase9, ERROR, 4177)
(Incorrect_Initialization_1_T_Loop31_TestCase10, ERROR, 4054)
(Incorrect_Initialization_1_T_Loop15_TestCase8, ERROR, 4174)
(Incorrect_Initialization_1_T_Loop15_TestCase9, ERROR, 4159)
(Incorrect_Initialization_1_T_Loop15_TestCase2, ERROR, 4168)
(Incorrect_Initialization_1_T_Loop15_TestCase3, ERROR, 4169)
(Incorrect_Initialization_1_T_Loop15_TestCase1, ERROR, 4194)
(Incorrect_Initialization_1_T_Loop15_TestCase4, ERROR, 4223)
(Incorrect_Initialization_1_T_Loop15_TestCase5, ERROR, 4083)
(Incorrect_Initialization_1_T_Loop18_TestCase10, ERROR, 4181)
(Incorrect_Initialization_1_T_Loop15_TestCase7, ERROR, 4175)
(Incorrect_Initialization_1_T_Loop15_TestCase6, ERROR, 4157)
(Incorrect_Initialization_1_T_Loop35_TestCase7, ERROR, 4177)
(Incorrect_Initialization_1_T_Loop31_TestCase6, ERROR, 4067)
(Incorrect_Initialization_1_T_Loop18_TestCase2, ERROR, 4181)
(Incorrect_Initialization_1_T_Loop18_TestCase3, ERROR, 4175)
(Incorrect_Initialization_1_T_Loop31_TestCase7, ERROR, 4042)
(Incorrect_Initialization_1_T_Loop35_TestCase6, ERROR, 4179)
(Incorrect_Initialization_1_T_Loop35_TestCase4, ERROR, 4177)
(Incorrect_Initialization_1_T_Loop18_TestCase1, ERROR, 4146)
(Incorrect_Initialization_1_T_Loop31_TestCase5, ERROR, 4059)
(Incorrect_Initialization_1_T_Loop31_TestCase4, ERROR, 4017)
(Incorrect_Initialization_1_T_Loop35_TestCase5, ERROR, 4188)
(Incorrect_Initialization_1_T_Loop15_TestCase10, ERROR, 4157)
(Incorrect_Initialization_1_T_Loop35_TestCase1, ERROR, 4154)
(Incorrect_Initialization_1_T_Loop18_TestCase4, ERROR, 4162)
(Incorrect_Initialization_1_T_Loop31_TestCase1, ERROR, 4032)
(Incorrect_Initialization_1_T_Loop18_TestCase5, ERROR, 4181)
(Incorrect_Initialization_1_T_Loop35_TestCase2, ERROR, 4152)
(Incorrect_Initialization_1_T_Loop31_TestCase3, ERROR, 4069)
(Incorrect_Initialization_1_T_Loop18_TestCase7, ERROR, 4173)
(Incorrect_Initialization_1_T_Loop18_TestCase6, ERROR, 4192)
(Incorrect_Initialization_1_T_Loop31_TestCase2, ERROR, 4066)
(Incorrect_Initialization_1_T_Loop35_TestCase3, ERROR, 4181)</t>
  </si>
  <si>
    <t>(Incorrect_Initialization_1_T_Loop0_TestCase7, ERROR, 4131)
(Incorrect_Initialization_1_T_Loop0_TestCase6, ERROR, 4145)
(Incorrect_Initialization_1_T_Loop0_TestCase4, ERROR, 4119)
(Incorrect_Initialization_1_T_Loop0_TestCase5, ERROR, 4187)
(Incorrect_Initialization_1_T_Loop0_TestCase1, ERROR, 4130)
(Incorrect_Initialization_1_T_Loop0_TestCase2, ERROR, 4156)
(Incorrect_Initialization_1_T_Loop0_TestCase3, ERROR, 4180)
(Incorrect_Initialization_1_T_Loop0_TestCase8, ERROR, 4187)
(Incorrect_Initialization_1_T_Loop0_TestCase9, ERROR, 4140)
(Incorrect_Initialization_1_T_Loop0_TestCase10, ERROR, 4126)</t>
  </si>
  <si>
    <t>(Incorrect_Initialization_1_T_Loop15_TestCase0, ERROR, 4142)
(Incorrect_Initialization_1_T_Loop18_TestCase0, ERROR, 4139)
(Incorrect_Initialization_1_T_Loop31_TestCase0, ERROR, 4033)
(Incorrect_Initialization_1_T_Loop35_TestCase0, ERROR, 4103)</t>
  </si>
  <si>
    <t>(Incorrect_Initialization_1_T_Loop0_TestCase0, ERROR, 4256)</t>
  </si>
  <si>
    <t>(Incorrect_Initialization_1_NT_Loop16_TestCase3, ERROR, 4160)
(Incorrect_Initialization_1_NT_Loop16_TestCase2, ERROR, 4183)
(Incorrect_Initialization_1_NT_Loop16_TestCase1, ERROR, 4174)
(Incorrect_Initialization_1_NT_Loop16_TestCase5, ERROR, 4162)
(Incorrect_Initialization_1_NT_Loop16_TestCase4, ERROR, 4158)
(Incorrect_Initialization_1_NT_Loop16_TestCase6, ERROR, 4139)
(Incorrect_Initialization_1_NT_Loop36_TestCase10, ERROR, 4169)
(Incorrect_Initialization_1_NT_Loop16_TestCase7, ERROR, 4159)
(Incorrect_Initialization_1_NT_Loop36_TestCase6, ERROR, 4164)
(Incorrect_Initialization_1_NT_Loop19_TestCase8, ERROR, 4148)
(Incorrect_Initialization_1_NT_Loop32_TestCase7, ERROR, 4089)
(Incorrect_Initialization_1_NT_Loop32_TestCase6, ERROR, 4092)
(Incorrect_Initialization_1_NT_Loop19_TestCase9, ERROR, 4190)
(Incorrect_Initialization_1_NT_Loop36_TestCase7, ERROR, 4138)
(Incorrect_Initialization_1_NT_Loop36_TestCase5, ERROR, 4180)
(Incorrect_Initialization_1_NT_Loop32_TestCase4, ERROR, 3990)
(Incorrect_Initialization_1_NT_Loop32_TestCase5, ERROR, 4094)
(Incorrect_Initialization_1_NT_Loop36_TestCase4, ERROR, 4203)
(Incorrect_Initialization_1_NT_Loop32_TestCase1, ERROR, 4068)
(Incorrect_Initialization_1_NT_Loop32_TestCase10, ERROR, 4059)
(Incorrect_Initialization_1_NT_Loop36_TestCase1, ERROR, 4203)
(Incorrect_Initialization_1_NT_Loop36_TestCase3, ERROR, 4144)
(Incorrect_Initialization_1_NT_Loop32_TestCase2, ERROR, 4091)
(Incorrect_Initialization_1_NT_Loop32_TestCase3, ERROR, 4089)
(Incorrect_Initialization_1_NT_Loop36_TestCase2, ERROR, 4152)
(Incorrect_Initialization_1_NT_Loop19_TestCase1, ERROR, 4147)
(Incorrect_Initialization_1_NT_Loop19_TestCase2, ERROR, 4162)
(Incorrect_Initialization_1_NT_Loop19_TestCase3, ERROR, 4179)
(Incorrect_Initialization_1_NT_Loop36_TestCase9, ERROR, 4172)
(Incorrect_Initialization_1_NT_Loop19_TestCase7, ERROR, 4152)
(Incorrect_Initialization_1_NT_Loop32_TestCase8, ERROR, 4094)
(Incorrect_Initialization_1_NT_Loop32_TestCase9, ERROR, 4076)
(Incorrect_Initialization_1_NT_Loop19_TestCase6, ERROR, 4284)
(Incorrect_Initialization_1_NT_Loop36_TestCase8, ERROR, 4182)
(Incorrect_Initialization_1_NT_Loop19_TestCase4, ERROR, 4188)
(Incorrect_Initialization_1_NT_Loop19_TestCase5, ERROR, 4175)
(Incorrect_Initialization_1_NT_Loop16_TestCase9, ERROR, 4286)
(Incorrect_Initialization_1_NT_Loop16_TestCase8, ERROR, 4172)
(Incorrect_Initialization_1_NT_Loop19_TestCase10, ERROR, 4168)
(Incorrect_Initialization_1_NT_Loop16_TestCase10, ERROR, 4211)</t>
  </si>
  <si>
    <t>(Incorrect_Initialization_1_NT_Loop0_TestCase5, ERROR, 4166)
(Incorrect_Initialization_1_NT_Loop0_TestCase4, ERROR, 4122)
(Incorrect_Initialization_1_NT_Loop0_TestCase6, ERROR, 4148)
(Incorrect_Initialization_1_NT_Loop0_TestCase7, ERROR, 4183)
(Incorrect_Initialization_1_NT_Loop0_TestCase10, ERROR, 4120)
(Incorrect_Initialization_1_NT_Loop0_TestCase3, ERROR, 4170)
(Incorrect_Initialization_1_NT_Loop0_TestCase2, ERROR, 4082)
(Incorrect_Initialization_1_NT_Loop0_TestCase1, ERROR, 4142)
(Incorrect_Initialization_1_NT_Loop0_TestCase9, ERROR, 4146)
(Incorrect_Initialization_1_NT_Loop0_TestCase8, ERROR, 4130)</t>
  </si>
  <si>
    <t>(Incorrect_Initialization_1_NT_Loop16_TestCase0, ERROR, 4163)
(Incorrect_Initialization_1_NT_Loop36_TestCase0, ERROR, 4150)
(Incorrect_Initialization_1_NT_Loop32_TestCase0, ERROR, 4017)
(Incorrect_Initialization_1_NT_Loop19_TestCase0, ERROR, 4198)</t>
  </si>
  <si>
    <t>(Incorrect_Initialization_1_NT_Loop0_TestCase0, ERROR, 4316)</t>
  </si>
  <si>
    <t>(Incorrect_Control_Statement_2_T_Loop17_TestCase9, ERROR, 4093)
(Incorrect_Control_Statement_2_T_Loop17_TestCase8, ERROR, 4087)
(Incorrect_Control_Statement_2_T_Loop17_TestCase10, ERROR, 4085)
(Incorrect_Control_Statement_2_T_Loop23_TestCase9, ERROR, 4137)
(Incorrect_Control_Statement_2_T_Loop23_TestCase8, ERROR, 4119)
(Incorrect_Control_Statement_2_T_Loop23_TestCase3, ERROR, 4124)
(Incorrect_Control_Statement_2_T_Loop23_TestCase2, ERROR, 4060)
(Incorrect_Control_Statement_2_T_Loop23_TestCase1, ERROR, 4144)
(Incorrect_Control_Statement_2_T_Loop23_TestCase5, ERROR, 4133)
(Incorrect_Control_Statement_2_T_Loop23_TestCase4, ERROR, 4133)
(Incorrect_Control_Statement_2_T_Loop23_TestCase6, ERROR, 4117)
(Incorrect_Control_Statement_2_T_Loop23_TestCase10, ERROR, 4134)
(Incorrect_Control_Statement_2_T_Loop23_TestCase7, ERROR, 4212)
(Incorrect_Control_Statement_2_T_Loop17_TestCase3, ERROR, 4109)
(Incorrect_Control_Statement_2_T_Loop17_TestCase2, ERROR, 4083)
(Incorrect_Control_Statement_2_T_Loop17_TestCase1, ERROR, 4073)
(Incorrect_Control_Statement_2_T_Loop17_TestCase5, ERROR, 4026)
(Incorrect_Control_Statement_2_T_Loop17_TestCase4, ERROR, 4101)
(Incorrect_Control_Statement_2_T_Loop17_TestCase6, ERROR, 4090)
(Incorrect_Control_Statement_2_T_Loop17_TestCase7, ERROR, 4133)</t>
  </si>
  <si>
    <t>(Incorrect_Control_Statement_2_T_Loop0_TestCase2, ERROR, 4174)
(Incorrect_Control_Statement_2_T_Loop0_TestCase3, ERROR, 4200)
(Incorrect_Control_Statement_2_T_Loop0_TestCase1, ERROR, 4160)
(Incorrect_Control_Statement_2_T_Loop0_TestCase4, ERROR, 4185)
(Incorrect_Control_Statement_2_T_Loop0_TestCase5, ERROR, 4187)
(Incorrect_Control_Statement_2_T_Loop0_TestCase7, ERROR, 4127)
(Incorrect_Control_Statement_2_T_Loop0_TestCase6, ERROR, 4107)
(Incorrect_Control_Statement_2_T_Loop0_TestCase10, ERROR, 4170)
(Incorrect_Control_Statement_2_T_Loop0_TestCase8, ERROR, 4186)
(Incorrect_Control_Statement_2_T_Loop0_TestCase9, ERROR, 4185)</t>
  </si>
  <si>
    <t>(Incorrect_Control_Statement_2_T_Loop23_TestCase0, ERROR, 4046)
(Incorrect_Control_Statement_2_T_Loop17_TestCase0, ERROR, 4067)</t>
  </si>
  <si>
    <t>(Incorrect_Control_Statement_2_T_Loop0_TestCase0, ERROR, 4259)</t>
  </si>
  <si>
    <t>(Incorrect_Control_Statement_2_NT_Loop17_TestCase3, ERROR, 4085)
(Incorrect_Control_Statement_2_NT_Loop17_TestCase2, ERROR, 4175)
(Incorrect_Control_Statement_2_NT_Loop17_TestCase1, ERROR, 4064)
(Incorrect_Control_Statement_2_NT_Loop17_TestCase10, ERROR, 4159)
(Incorrect_Control_Statement_2_NT_Loop17_TestCase5, ERROR, 4120)
(Incorrect_Control_Statement_2_NT_Loop17_TestCase4, ERROR, 4111)
(Incorrect_Control_Statement_2_NT_Loop17_TestCase6, ERROR, 4136)
(Incorrect_Control_Statement_2_NT_Loop17_TestCase7, ERROR, 4100)
(Incorrect_Control_Statement_2_NT_Loop23_TestCase3, ERROR, 4139)
(Incorrect_Control_Statement_2_NT_Loop23_TestCase2, ERROR, 4145)
(Incorrect_Control_Statement_2_NT_Loop23_TestCase1, ERROR, 4214)
(Incorrect_Control_Statement_2_NT_Loop23_TestCase5, ERROR, 4057)
(Incorrect_Control_Statement_2_NT_Loop23_TestCase4, ERROR, 4183)
(Incorrect_Control_Statement_2_NT_Loop23_TestCase6, ERROR, 4151)
(Incorrect_Control_Statement_2_NT_Loop23_TestCase7, ERROR, 4144)
(Incorrect_Control_Statement_2_NT_Loop23_TestCase9, ERROR, 4162)
(Incorrect_Control_Statement_2_NT_Loop23_TestCase8, ERROR, 4163)
(Incorrect_Control_Statement_2_NT_Loop17_TestCase9, ERROR, 4122)
(Incorrect_Control_Statement_2_NT_Loop23_TestCase10, ERROR, 4223)
(Incorrect_Control_Statement_2_NT_Loop17_TestCase8, ERROR, 4108)</t>
  </si>
  <si>
    <t>(Incorrect_Control_Statement_2_NT_Loop0_TestCase9, ERROR, 4136)
(Incorrect_Control_Statement_2_NT_Loop0_TestCase8, ERROR, 4186)
(Incorrect_Control_Statement_2_NT_Loop0_TestCase10, ERROR, 4186)
(Incorrect_Control_Statement_2_NT_Loop0_TestCase6, ERROR, 4175)
(Incorrect_Control_Statement_2_NT_Loop0_TestCase7, ERROR, 4105)
(Incorrect_Control_Statement_2_NT_Loop0_TestCase5, ERROR, 4178)
(Incorrect_Control_Statement_2_NT_Loop0_TestCase4, ERROR, 4199)
(Incorrect_Control_Statement_2_NT_Loop0_TestCase1, ERROR, 4195)
(Incorrect_Control_Statement_2_NT_Loop0_TestCase3, ERROR, 4185)
(Incorrect_Control_Statement_2_NT_Loop0_TestCase2, ERROR, 4170)</t>
  </si>
  <si>
    <t>(Incorrect_Control_Statement_2_NT_Loop17_TestCase0, ERROR, 4039)
(Incorrect_Control_Statement_2_NT_Loop23_TestCase0, ERROR, 4149)</t>
  </si>
  <si>
    <t>(Incorrect_Control_Statement_2_NT_Loop0_TestCase0, ERROR, 4256)</t>
  </si>
  <si>
    <t>(Incorrect_Control_Statement_1_T_Loop14_TestCase9, ERROR, 4155)
(Incorrect_Control_Statement_1_T_Loop14_TestCase8, ERROR, 4101)
(Incorrect_Control_Statement_1_T_Loop18_TestCase10, ERROR, 4152)
(Incorrect_Control_Statement_1_T_Loop18_TestCase4, ERROR, 4160)
(Incorrect_Control_Statement_1_T_Loop18_TestCase5, ERROR, 4119)
(Incorrect_Control_Statement_1_T_Loop18_TestCase7, ERROR, 4179)
(Incorrect_Control_Statement_1_T_Loop18_TestCase6, ERROR, 4171)
(Incorrect_Control_Statement_1_T_Loop18_TestCase2, ERROR, 4130)
(Incorrect_Control_Statement_1_T_Loop18_TestCase3, ERROR, 4216)
(Incorrect_Control_Statement_1_T_Loop18_TestCase1, ERROR, 4209)
(Incorrect_Control_Statement_1_T_Loop14_TestCase10, ERROR, 4070)
(Incorrect_Control_Statement_1_T_Loop18_TestCase8, ERROR, 4197)
(Incorrect_Control_Statement_1_T_Loop18_TestCase9, ERROR, 4073)
(Incorrect_Control_Statement_1_T_Loop14_TestCase3, ERROR, 4074)
(Incorrect_Control_Statement_1_T_Loop14_TestCase2, ERROR, 4087)
(Incorrect_Control_Statement_1_T_Loop14_TestCase1, ERROR, 4076)
(Incorrect_Control_Statement_1_T_Loop14_TestCase5, ERROR, 4070)
(Incorrect_Control_Statement_1_T_Loop14_TestCase4, ERROR, 4090)
(Incorrect_Control_Statement_1_T_Loop14_TestCase6, ERROR, 4127)
(Incorrect_Control_Statement_1_T_Loop14_TestCase7, ERROR, 4093)</t>
  </si>
  <si>
    <t>(Incorrect_Control_Statement_1_T_Loop0_TestCase9, ERROR, 4139)
(Incorrect_Control_Statement_1_T_Loop0_TestCase8, ERROR, 4182)
(Incorrect_Control_Statement_1_T_Loop0_TestCase10, ERROR, 4174)
(Incorrect_Control_Statement_1_T_Loop0_TestCase6, ERROR, 4197)
(Incorrect_Control_Statement_1_T_Loop0_TestCase7, ERROR, 4156)
(Incorrect_Control_Statement_1_T_Loop0_TestCase5, ERROR, 4183)
(Incorrect_Control_Statement_1_T_Loop0_TestCase4, ERROR, 4190)
(Incorrect_Control_Statement_1_T_Loop0_TestCase1, ERROR, 4180)
(Incorrect_Control_Statement_1_T_Loop0_TestCase3, ERROR, 4164)
(Incorrect_Control_Statement_1_T_Loop0_TestCase2, ERROR, 4101)</t>
  </si>
  <si>
    <t>(Incorrect_Control_Statement_1_T_Loop18_TestCase0, ERROR, 4091)
(Incorrect_Control_Statement_1_T_Loop14_TestCase0, ERROR, 4064)</t>
  </si>
  <si>
    <t>(Incorrect_Control_Statement_1_T_Loop0_TestCase0, ERROR, 4294)</t>
  </si>
  <si>
    <t>(Incorrect_Control_Statement_1_NT_Loop20_TestCase3, ERROR, 4146)
(Incorrect_Control_Statement_1_NT_Loop20_TestCase2, ERROR, 4182)
(Incorrect_Control_Statement_1_NT_Loop20_TestCase1, ERROR, 4161)
(Incorrect_Control_Statement_1_NT_Loop20_TestCase5, ERROR, 4147)
(Incorrect_Control_Statement_1_NT_Loop20_TestCase10, ERROR, 4162)
(Incorrect_Control_Statement_1_NT_Loop20_TestCase4, ERROR, 4083)
(Incorrect_Control_Statement_1_NT_Loop20_TestCase6, ERROR, 4146)
(Incorrect_Control_Statement_1_NT_Loop20_TestCase7, ERROR, 4170)
(Incorrect_Control_Statement_1_NT_Loop16_TestCase8, ERROR, 4109)
(Incorrect_Control_Statement_1_NT_Loop16_TestCase9, ERROR, 4110)
(Incorrect_Control_Statement_1_NT_Loop16_TestCase1, ERROR, 4065)
(Incorrect_Control_Statement_1_NT_Loop16_TestCase2, ERROR, 4061)
(Incorrect_Control_Statement_1_NT_Loop16_TestCase3, ERROR, 4057)
(Incorrect_Control_Statement_1_NT_Loop16_TestCase7, ERROR, 4049)
(Incorrect_Control_Statement_1_NT_Loop16_TestCase6, ERROR, 4075)
(Incorrect_Control_Statement_1_NT_Loop16_TestCase10, ERROR, 4072)
(Incorrect_Control_Statement_1_NT_Loop16_TestCase4, ERROR, 4059)
(Incorrect_Control_Statement_1_NT_Loop16_TestCase5, ERROR, 4064)
(Incorrect_Control_Statement_1_NT_Loop20_TestCase9, ERROR, 4131)
(Incorrect_Control_Statement_1_NT_Loop20_TestCase8, ERROR, 4131)</t>
  </si>
  <si>
    <t>(Incorrect_Control_Statement_1_NT_Loop0_TestCase9, ERROR, 4166)
(Incorrect_Control_Statement_1_NT_Loop0_TestCase8, ERROR, 4302)
(Incorrect_Control_Statement_1_NT_Loop0_TestCase3, ERROR, 4191)
(Incorrect_Control_Statement_1_NT_Loop0_TestCase2, ERROR, 4245)
(Incorrect_Control_Statement_1_NT_Loop0_TestCase1, ERROR, 4237)
(Incorrect_Control_Statement_1_NT_Loop0_TestCase5, ERROR, 4263)
(Incorrect_Control_Statement_1_NT_Loop0_TestCase4, ERROR, 4208)
(Incorrect_Control_Statement_1_NT_Loop0_TestCase6, ERROR, 4283)
(Incorrect_Control_Statement_1_NT_Loop0_TestCase10, ERROR, 4151)
(Incorrect_Control_Statement_1_NT_Loop0_TestCase7, ERROR, 4201)</t>
  </si>
  <si>
    <t>(Incorrect_Control_Statement_1_NT_Loop20_TestCase0, ERROR, 4217)
(Incorrect_Control_Statement_1_NT_Loop16_TestCase0, ERROR, 4091)</t>
  </si>
  <si>
    <t>(Incorrect_Control_Statement_1_NT_Loop0_TestCase0, ERROR, 4277)</t>
  </si>
  <si>
    <t>(Incorrect_Bit_Calculation_3_T_Loop15_TestCase3, TRUE, 4738)
(Incorrect_Bit_Calculation_3_T_Loop15_TestCase2, TRUE, 4786)
(Incorrect_Bit_Calculation_3_T_Loop15_TestCase10, TRUE, 4903)
(Incorrect_Bit_Calculation_3_T_Loop15_TestCase1, TRUE, 4805)
(Incorrect_Bit_Calculation_3_T_Loop15_TestCase5, TRUE, 4764)
(Incorrect_Bit_Calculation_3_T_Loop15_TestCase4, TRUE, 4836)
(Incorrect_Bit_Calculation_3_T_Loop15_TestCase6, TRUE, 4936)
(Incorrect_Bit_Calculation_3_T_Loop15_TestCase7, TRUE, 4916)
(Incorrect_Bit_Calculation_3_T_Loop15_TestCase9, TRUE, 4910)
(Incorrect_Bit_Calculation_3_T_Loop15_TestCase8, TRUE, 4899)</t>
  </si>
  <si>
    <t>(Incorrect_Bit_Calculation_3_T_Loop0_TestCase2, TRUE, 4917)
(Incorrect_Bit_Calculation_3_T_Loop0_TestCase3, TRUE, 4964)
(Incorrect_Bit_Calculation_3_T_Loop0_TestCase1, TRUE, 5046)
(Incorrect_Bit_Calculation_3_T_Loop0_TestCase10, TRUE, 5129)
(Incorrect_Bit_Calculation_3_T_Loop0_TestCase4, TRUE, 5147)
(Incorrect_Bit_Calculation_3_T_Loop0_TestCase5, TRUE, 5358)
(Incorrect_Bit_Calculation_3_T_Loop0_TestCase7, TRUE, 5329)
(Incorrect_Bit_Calculation_3_T_Loop0_TestCase6, TRUE, 5016)
(Incorrect_Bit_Calculation_3_T_Loop0_TestCase8, TRUE, 5049)
(Incorrect_Bit_Calculation_3_T_Loop0_TestCase9, TRUE, 5766)</t>
  </si>
  <si>
    <t>(Incorrect_Bit_Calculation_3_T_Loop15_TestCase0, UNKNOWN, 300846)</t>
  </si>
  <si>
    <t>(Incorrect_Bit_Calculation_3_T_Loop0_TestCase0, UNKNOWN, 300827)</t>
  </si>
  <si>
    <t>(Incorrect_Bit_Calculation_3_NT_Loop18_TestCase8, FALSE, 4843)
(Incorrect_Bit_Calculation_3_NT_Loop18_TestCase9, FALSE, 4855)
(Incorrect_Bit_Calculation_3_NT_Loop18_TestCase10, FALSE, 4730)
(Incorrect_Bit_Calculation_3_NT_Loop18_TestCase7, FALSE, 4828)
(Incorrect_Bit_Calculation_3_NT_Loop18_TestCase6, FALSE, 4774)
(Incorrect_Bit_Calculation_3_NT_Loop18_TestCase4, TRUE, 4758)
(Incorrect_Bit_Calculation_3_NT_Loop18_TestCase5, TRUE, 4869)
(Incorrect_Bit_Calculation_3_NT_Loop18_TestCase1, TRUE, 4900)
(Incorrect_Bit_Calculation_3_NT_Loop18_TestCase2, TRUE, 4792)
(Incorrect_Bit_Calculation_3_NT_Loop18_TestCase3, TRUE, 4757)</t>
  </si>
  <si>
    <t>(Incorrect_Bit_Calculation_3_NT_Loop0_TestCase8, FALSE, 4904)
(Incorrect_Bit_Calculation_3_NT_Loop0_TestCase9, FALSE, 5004)
(Incorrect_Bit_Calculation_3_NT_Loop0_TestCase4, TRUE, 4852)
(Incorrect_Bit_Calculation_3_NT_Loop0_TestCase5, TRUE, 4788)
(Incorrect_Bit_Calculation_3_NT_Loop0_TestCase7, FALSE, 5036)
(Incorrect_Bit_Calculation_3_NT_Loop0_TestCase6, FALSE, 4776)
(Incorrect_Bit_Calculation_3_NT_Loop0_TestCase2, TRUE, 4848)
(Incorrect_Bit_Calculation_3_NT_Loop0_TestCase3, TRUE, 5103)
(Incorrect_Bit_Calculation_3_NT_Loop0_TestCase1, TRUE, 4740)
(Incorrect_Bit_Calculation_3_NT_Loop0_TestCase10, FALSE, 4848)</t>
  </si>
  <si>
    <t>(Incorrect_Bit_Calculation_3_NT_Loop18_TestCase0, FALSE, 4901)</t>
  </si>
  <si>
    <t>(Incorrect_Bit_Calculation_3_NT_Loop0_TestCase0, FALSE, 4949)</t>
  </si>
  <si>
    <t>(Incorrect_Bit_Calculation_2_T_Loop16_TestCase2, TRUE, 4832)
(Incorrect_Bit_Calculation_2_T_Loop16_TestCase3, TRUE, 4878)
(Incorrect_Bit_Calculation_2_T_Loop16_TestCase1, TRUE, 4782)
(Incorrect_Bit_Calculation_2_T_Loop16_TestCase4, TRUE, 4930)
(Incorrect_Bit_Calculation_2_T_Loop16_TestCase5, TRUE, 4795)
(Incorrect_Bit_Calculation_2_T_Loop16_TestCase7, TRUE, 4807)
(Incorrect_Bit_Calculation_2_T_Loop16_TestCase6, TRUE, 4817)
(Incorrect_Bit_Calculation_2_T_Loop16_TestCase10, TRUE, 4826)
(Incorrect_Bit_Calculation_2_T_Loop16_TestCase8, TRUE, 4828)
(Incorrect_Bit_Calculation_2_T_Loop16_TestCase9, TRUE, 4823)</t>
  </si>
  <si>
    <t>(Incorrect_Bit_Calculation_2_T_Loop0_TestCase8, TRUE, 4939)
(Incorrect_Bit_Calculation_2_T_Loop0_TestCase9, TRUE, 4809)
(Incorrect_Bit_Calculation_2_T_Loop0_TestCase10, TRUE, 4763)
(Incorrect_Bit_Calculation_2_T_Loop0_TestCase1, TRUE, 4794)
(Incorrect_Bit_Calculation_2_T_Loop0_TestCase2, TRUE, 4891)
(Incorrect_Bit_Calculation_2_T_Loop0_TestCase3, TRUE, 4944)
(Incorrect_Bit_Calculation_2_T_Loop0_TestCase7, TRUE, 4753)
(Incorrect_Bit_Calculation_2_T_Loop0_TestCase6, TRUE, 4822)
(Incorrect_Bit_Calculation_2_T_Loop0_TestCase4, TRUE, 4907)
(Incorrect_Bit_Calculation_2_T_Loop0_TestCase5, TRUE, 4887)</t>
  </si>
  <si>
    <t>(Incorrect_Bit_Calculation_2_T_Loop16_TestCase0, UNKNOWN, 300971)</t>
  </si>
  <si>
    <t>(Incorrect_Bit_Calculation_2_T_Loop0_TestCase0, UNKNOWN, 300804)</t>
  </si>
  <si>
    <t>(Incorrect_Bit_Calculation_2_NT_Loop20_TestCase10, FALSE, 4887)
(Incorrect_Bit_Calculation_2_NT_Loop20_TestCase8, FALSE, 4867)
(Incorrect_Bit_Calculation_2_NT_Loop20_TestCase9, FALSE, 4849)
(Incorrect_Bit_Calculation_2_NT_Loop20_TestCase4, TRUE, 4970)
(Incorrect_Bit_Calculation_2_NT_Loop20_TestCase5, TRUE, 4821)
(Incorrect_Bit_Calculation_2_NT_Loop20_TestCase7, FALSE, 4897)
(Incorrect_Bit_Calculation_2_NT_Loop20_TestCase6, FALSE, 4824)
(Incorrect_Bit_Calculation_2_NT_Loop20_TestCase2, TRUE, 4826)
(Incorrect_Bit_Calculation_2_NT_Loop20_TestCase3, TRUE, 4886)
(Incorrect_Bit_Calculation_2_NT_Loop20_TestCase1, TRUE, 4787)</t>
  </si>
  <si>
    <t>(Incorrect_Bit_Calculation_2_NT_Loop0_TestCase9, FALSE, 4941)
(Incorrect_Bit_Calculation_2_NT_Loop0_TestCase8, FALSE, 4844)
(Incorrect_Bit_Calculation_2_NT_Loop0_TestCase10, FALSE, 4905)
(Incorrect_Bit_Calculation_2_NT_Loop0_TestCase1, TRUE, 4847)
(Incorrect_Bit_Calculation_2_NT_Loop0_TestCase3, TRUE, 4951)
(Incorrect_Bit_Calculation_2_NT_Loop0_TestCase2, TRUE, 4864)
(Incorrect_Bit_Calculation_2_NT_Loop0_TestCase6, FALSE, 4834)
(Incorrect_Bit_Calculation_2_NT_Loop0_TestCase7, FALSE, 4971)
(Incorrect_Bit_Calculation_2_NT_Loop0_TestCase5, TRUE, 4815)
(Incorrect_Bit_Calculation_2_NT_Loop0_TestCase4, TRUE, 4874)</t>
  </si>
  <si>
    <t>(Incorrect_Bit_Calculation_2_NT_Loop20_TestCase0, FALSE, 4793)</t>
  </si>
  <si>
    <t>(Incorrect_Bit_Calculation_2_NT_Loop0_TestCase0, FALSE, 4998)</t>
  </si>
  <si>
    <t>(Incorrect_Bit_Calculation_1_T_Loop14_TestCase9, TRUE, 4747)
(Incorrect_Bit_Calculation_1_T_Loop14_TestCase8, TRUE, 4809)
(Incorrect_Bit_Calculation_1_T_Loop14_TestCase10, TRUE, 4962)
(Incorrect_Bit_Calculation_1_T_Loop14_TestCase5, TRUE, 4888)
(Incorrect_Bit_Calculation_1_T_Loop14_TestCase4, TRUE, 4827)
(Incorrect_Bit_Calculation_1_T_Loop14_TestCase6, TRUE, 4778)
(Incorrect_Bit_Calculation_1_T_Loop14_TestCase7, TRUE, 4741)
(Incorrect_Bit_Calculation_1_T_Loop14_TestCase3, TRUE, 4852)
(Incorrect_Bit_Calculation_1_T_Loop14_TestCase2, TRUE, 4771)
(Incorrect_Bit_Calculation_1_T_Loop14_TestCase1, TRUE, 4689)</t>
  </si>
  <si>
    <t>(Incorrect_Bit_Calculation_1_T_Loop0_TestCase5, TRUE, 4888)
(Incorrect_Bit_Calculation_1_T_Loop0_TestCase4, TRUE, 4896)
(Incorrect_Bit_Calculation_1_T_Loop0_TestCase6, TRUE, 4772)
(Incorrect_Bit_Calculation_1_T_Loop0_TestCase7, TRUE, 4717)
(Incorrect_Bit_Calculation_1_T_Loop0_TestCase3, TRUE, 4856)
(Incorrect_Bit_Calculation_1_T_Loop0_TestCase2, TRUE, 4848)
(Incorrect_Bit_Calculation_1_T_Loop0_TestCase1, TRUE, 4819)
(Incorrect_Bit_Calculation_1_T_Loop0_TestCase10, TRUE, 4832)
(Incorrect_Bit_Calculation_1_T_Loop0_TestCase9, TRUE, 4794)
(Incorrect_Bit_Calculation_1_T_Loop0_TestCase8, TRUE, 4780)</t>
  </si>
  <si>
    <t>(Incorrect_Bit_Calculation_1_T_Loop14_TestCase0, FALSE, 5134)</t>
  </si>
  <si>
    <t>(Incorrect_Bit_Calculation_1_T_Loop0_TestCase0, FALSE, 5355)</t>
  </si>
  <si>
    <t>(Incorrect_Bit_Calculation_1_NT_Loop15_TestCase10, FALSE, 4956)
(Incorrect_Bit_Calculation_1_NT_Loop15_TestCase6, FALSE, 4788)
(Incorrect_Bit_Calculation_1_NT_Loop15_TestCase7, FALSE, 4801)
(Incorrect_Bit_Calculation_1_NT_Loop15_TestCase5, TRUE, 4916)
(Incorrect_Bit_Calculation_1_NT_Loop15_TestCase4, TRUE, 4856)
(Incorrect_Bit_Calculation_1_NT_Loop15_TestCase1, TRUE, 4825)
(Incorrect_Bit_Calculation_1_NT_Loop15_TestCase3, TRUE, 4879)
(Incorrect_Bit_Calculation_1_NT_Loop15_TestCase2, TRUE, 4815)
(Incorrect_Bit_Calculation_1_NT_Loop15_TestCase9, FALSE, 4830)
(Incorrect_Bit_Calculation_1_NT_Loop15_TestCase8, FALSE, 4802)</t>
  </si>
  <si>
    <t>(Incorrect_Bit_Calculation_1_NT_Loop0_TestCase10, FALSE, 4819)
(Incorrect_Bit_Calculation_1_NT_Loop0_TestCase9, FALSE, 4760)
(Incorrect_Bit_Calculation_1_NT_Loop0_TestCase8, FALSE, 4845)
(Incorrect_Bit_Calculation_1_NT_Loop0_TestCase5, TRUE, 4955)
(Incorrect_Bit_Calculation_1_NT_Loop0_TestCase4, TRUE, 4810)
(Incorrect_Bit_Calculation_1_NT_Loop0_TestCase6, FALSE, 4766)
(Incorrect_Bit_Calculation_1_NT_Loop0_TestCase7, FALSE, 4842)
(Incorrect_Bit_Calculation_1_NT_Loop0_TestCase3, TRUE, 4795)
(Incorrect_Bit_Calculation_1_NT_Loop0_TestCase2, TRUE, 4786)
(Incorrect_Bit_Calculation_1_NT_Loop0_TestCase1, TRUE, 4782)</t>
  </si>
  <si>
    <t>(Incorrect_Bit_Calculation_1_NT_Loop15_TestCase0, FALSE, 4796)</t>
  </si>
  <si>
    <t>(Incorrect_Bit_Calculation_1_NT_Loop0_TestCase0, FALSE, 4948)</t>
  </si>
  <si>
    <t>(Adding_Subtracting_Zero_5_T_Loop21_TestCase8, ERROR, 4210)
(Adding_Subtracting_Zero_5_T_Loop21_TestCase9, ERROR, 4273)
(Adding_Subtracting_Zero_5_T_Loop38_TestCase10, ERROR, 4293)
(Adding_Subtracting_Zero_5_T_Loop21_TestCase10, ERROR, 4212)
(Adding_Subtracting_Zero_5_T_Loop38_TestCase8, ERROR, 4265)
(Adding_Subtracting_Zero_5_T_Loop38_TestCase9, ERROR, 4323)
(Adding_Subtracting_Zero_5_T_Loop38_TestCase4, ERROR, 4283)
(Adding_Subtracting_Zero_5_T_Loop38_TestCase5, TRUE, 4901)
(Adding_Subtracting_Zero_5_T_Loop38_TestCase7, ERROR, 4236)
(Adding_Subtracting_Zero_5_T_Loop38_TestCase6, ERROR, 4280)
(Adding_Subtracting_Zero_5_T_Loop38_TestCase2, TRUE, 4834)
(Adding_Subtracting_Zero_5_T_Loop38_TestCase3, ERROR, 4292)
(Adding_Subtracting_Zero_5_T_Loop38_TestCase1, ERROR, 4218)
(Adding_Subtracting_Zero_5_T_Loop21_TestCase1, ERROR, 4215)
(Adding_Subtracting_Zero_5_T_Loop21_TestCase2, ERROR, 4161)
(Adding_Subtracting_Zero_5_T_Loop21_TestCase3, ERROR, 4167)
(Adding_Subtracting_Zero_5_T_Loop21_TestCase7, ERROR, 4199)
(Adding_Subtracting_Zero_5_T_Loop21_TestCase6, ERROR, 4246)
(Adding_Subtracting_Zero_5_T_Loop21_TestCase4, ERROR, 4198)
(Adding_Subtracting_Zero_5_T_Loop21_TestCase5, ERROR, 4235)</t>
  </si>
  <si>
    <t>(Adding_Subtracting_Zero_5_T_Loop0_TestCase3, ERROR, 4252)
(Adding_Subtracting_Zero_5_T_Loop0_TestCase2, TRUE, 4849)
(Adding_Subtracting_Zero_5_T_Loop0_TestCase1, TRUE, 4879)
(Adding_Subtracting_Zero_5_T_Loop0_TestCase5, TRUE, 4825)
(Adding_Subtracting_Zero_5_T_Loop0_TestCase4, ERROR, 4251)
(Adding_Subtracting_Zero_5_T_Loop0_TestCase6, ERROR, 4217)
(Adding_Subtracting_Zero_5_T_Loop0_TestCase7, ERROR, 4286)
(Adding_Subtracting_Zero_5_T_Loop0_TestCase10, ERROR, 4250)
(Adding_Subtracting_Zero_5_T_Loop0_TestCase9, ERROR, 4258)
(Adding_Subtracting_Zero_5_T_Loop0_TestCase8, ERROR, 4234)</t>
  </si>
  <si>
    <t>(Adding_Subtracting_Zero_5_T_Loop38_TestCase0, ERROR, 4147)
(Adding_Subtracting_Zero_5_T_Loop21_TestCase0, ERROR, 4202)</t>
  </si>
  <si>
    <t>(Adding_Subtracting_Zero_5_T_Loop0_TestCase0, ERROR, 4349)</t>
  </si>
  <si>
    <t>(Adding_Subtracting_Zero_5_NT_Loop21_TestCase7, ERROR, 4222)
(Adding_Subtracting_Zero_5_NT_Loop21_TestCase6, ERROR, 4206)
(Adding_Subtracting_Zero_5_NT_Loop21_TestCase4, ERROR, 4246)
(Adding_Subtracting_Zero_5_NT_Loop21_TestCase5, ERROR, 4218)
(Adding_Subtracting_Zero_5_NT_Loop21_TestCase1, ERROR, 4172)
(Adding_Subtracting_Zero_5_NT_Loop21_TestCase2, ERROR, 4234)
(Adding_Subtracting_Zero_5_NT_Loop21_TestCase3, ERROR, 4231)
(Adding_Subtracting_Zero_5_NT_Loop38_TestCase2, ERROR, 4344)
(Adding_Subtracting_Zero_5_NT_Loop38_TestCase3, ERROR, 4720)
(Adding_Subtracting_Zero_5_NT_Loop38_TestCase1, ERROR, 4365)
(Adding_Subtracting_Zero_5_NT_Loop38_TestCase4, ERROR, 4264)
(Adding_Subtracting_Zero_5_NT_Loop38_TestCase5, ERROR, 4249)
(Adding_Subtracting_Zero_5_NT_Loop38_TestCase7, ERROR, 4263)
(Adding_Subtracting_Zero_5_NT_Loop38_TestCase6, ERROR, 4334)
(Adding_Subtracting_Zero_5_NT_Loop38_TestCase8, ERROR, 4233)
(Adding_Subtracting_Zero_5_NT_Loop38_TestCase9, ERROR, 4578)
(Adding_Subtracting_Zero_5_NT_Loop38_TestCase10, ERROR, 4173)
(Adding_Subtracting_Zero_5_NT_Loop21_TestCase8, ERROR, 4267)
(Adding_Subtracting_Zero_5_NT_Loop21_TestCase9, ERROR, 4215)
(Adding_Subtracting_Zero_5_NT_Loop21_TestCase10, ERROR, 4271)</t>
  </si>
  <si>
    <t>(Adding_Subtracting_Zero_5_NT_Loop0_TestCase10, ERROR, 4258)
(Adding_Subtracting_Zero_5_NT_Loop0_TestCase6, ERROR, 4256)
(Adding_Subtracting_Zero_5_NT_Loop0_TestCase7, ERROR, 4242)
(Adding_Subtracting_Zero_5_NT_Loop0_TestCase5, TRUE, 4835)
(Adding_Subtracting_Zero_5_NT_Loop0_TestCase4, ERROR, 4186)
(Adding_Subtracting_Zero_5_NT_Loop0_TestCase1, TRUE, 4835)
(Adding_Subtracting_Zero_5_NT_Loop0_TestCase3, ERROR, 4259)
(Adding_Subtracting_Zero_5_NT_Loop0_TestCase2, TRUE, 4864)
(Adding_Subtracting_Zero_5_NT_Loop0_TestCase9, ERROR, 4255)
(Adding_Subtracting_Zero_5_NT_Loop0_TestCase8, ERROR, 4275)</t>
  </si>
  <si>
    <t>(Adding_Subtracting_Zero_5_NT_Loop21_TestCase0, ERROR, 4183)
(Adding_Subtracting_Zero_5_NT_Loop38_TestCase0, ERROR, 4140)</t>
  </si>
  <si>
    <t>(Adding_Subtracting_Zero_5_NT_Loop0_TestCase0, ERROR, 4332)</t>
  </si>
  <si>
    <t>(Adding_Subtracting_Zero_4_T_Loop16_TestCase9, ERROR, 4353)
(Adding_Subtracting_Zero_4_T_Loop16_TestCase8, ERROR, 4342)
(Adding_Subtracting_Zero_4_T_Loop51_TestCase9, ERROR, 4463)
(Adding_Subtracting_Zero_4_T_Loop16_TestCase10, ERROR, 4363)
(Adding_Subtracting_Zero_4_T_Loop51_TestCase8, ERROR, 4397)
(Adding_Subtracting_Zero_4_T_Loop51_TestCase6, ERROR, 4437)
(Adding_Subtracting_Zero_4_T_Loop51_TestCase7, ERROR, 4383)
(Adding_Subtracting_Zero_4_T_Loop51_TestCase5, ERROR, 4421)
(Adding_Subtracting_Zero_4_T_Loop51_TestCase4, ERROR, 4384)
(Adding_Subtracting_Zero_4_T_Loop51_TestCase1, TRUE, 4973)
(Adding_Subtracting_Zero_4_T_Loop51_TestCase3, ERROR, 4493)
(Adding_Subtracting_Zero_4_T_Loop51_TestCase2, TRUE, 5096)
(Adding_Subtracting_Zero_4_T_Loop16_TestCase1, TRUE, 4906)
(Adding_Subtracting_Zero_4_T_Loop16_TestCase3, ERROR, 4354)
(Adding_Subtracting_Zero_4_T_Loop16_TestCase2, TRUE, 4986)
(Adding_Subtracting_Zero_4_T_Loop51_TestCase10, ERROR, 4370)
(Adding_Subtracting_Zero_4_T_Loop16_TestCase6, ERROR, 4272)
(Adding_Subtracting_Zero_4_T_Loop16_TestCase7, ERROR, 4395)
(Adding_Subtracting_Zero_4_T_Loop16_TestCase5, ERROR, 4431)
(Adding_Subtracting_Zero_4_T_Loop16_TestCase4, ERROR, 4354)</t>
  </si>
  <si>
    <t>(Adding_Subtracting_Zero_4_T_Loop0_TestCase9, ERROR, 4332)
(Adding_Subtracting_Zero_4_T_Loop0_TestCase8, ERROR, 4365)
(Adding_Subtracting_Zero_4_T_Loop0_TestCase1, TRUE, 4907)
(Adding_Subtracting_Zero_4_T_Loop0_TestCase3, ERROR, 4486)
(Adding_Subtracting_Zero_4_T_Loop0_TestCase2, TRUE, 5009)
(Adding_Subtracting_Zero_4_T_Loop0_TestCase6, ERROR, 4270)
(Adding_Subtracting_Zero_4_T_Loop0_TestCase7, ERROR, 4303)
(Adding_Subtracting_Zero_4_T_Loop0_TestCase5, ERROR, 4354)
(Adding_Subtracting_Zero_4_T_Loop0_TestCase10, ERROR, 4385)
(Adding_Subtracting_Zero_4_T_Loop0_TestCase4, ERROR, 4362)</t>
  </si>
  <si>
    <t>(Adding_Subtracting_Zero_4_T_Loop51_TestCase0, ERROR, 4375)
(Adding_Subtracting_Zero_4_T_Loop16_TestCase0, ERROR, 4254)</t>
  </si>
  <si>
    <t>(Adding_Subtracting_Zero_4_T_Loop0_TestCase0, ERROR, 4427)</t>
  </si>
  <si>
    <t>(Adding_Subtracting_Zero_4_NT_Loop16_TestCase9, ERROR, 5452)
(Adding_Subtracting_Zero_4_NT_Loop16_TestCase10, ERROR, 4372)
(Adding_Subtracting_Zero_4_NT_Loop16_TestCase8, ERROR, 4368)
(Adding_Subtracting_Zero_4_NT_Loop50_TestCase7, ERROR, 4328)
(Adding_Subtracting_Zero_4_NT_Loop50_TestCase6, ERROR, 4358)
(Adding_Subtracting_Zero_4_NT_Loop50_TestCase4, ERROR, 4294)
(Adding_Subtracting_Zero_4_NT_Loop50_TestCase5, ERROR, 4394)
(Adding_Subtracting_Zero_4_NT_Loop50_TestCase1, TRUE, 4933)
(Adding_Subtracting_Zero_4_NT_Loop50_TestCase2, TRUE, 5034)
(Adding_Subtracting_Zero_4_NT_Loop50_TestCase3, ERROR, 4344)
(Adding_Subtracting_Zero_4_NT_Loop50_TestCase10, ERROR, 4366)
(Adding_Subtracting_Zero_4_NT_Loop50_TestCase8, ERROR, 4419)
(Adding_Subtracting_Zero_4_NT_Loop50_TestCase9, ERROR, 4375)
(Adding_Subtracting_Zero_4_NT_Loop16_TestCase6, ERROR, 4323)
(Adding_Subtracting_Zero_4_NT_Loop16_TestCase7, ERROR, 4358)
(Adding_Subtracting_Zero_4_NT_Loop16_TestCase5, ERROR, 4411)
(Adding_Subtracting_Zero_4_NT_Loop16_TestCase4, ERROR, 4360)
(Adding_Subtracting_Zero_4_NT_Loop16_TestCase1, TRUE, 4941)
(Adding_Subtracting_Zero_4_NT_Loop16_TestCase3, ERROR, 4465)
(Adding_Subtracting_Zero_4_NT_Loop16_TestCase2, TRUE, 5006)</t>
  </si>
  <si>
    <t>(Adding_Subtracting_Zero_4_NT_Loop0_TestCase2, TRUE, 4999)
(Adding_Subtracting_Zero_4_NT_Loop0_TestCase3, ERROR, 4307)
(Adding_Subtracting_Zero_4_NT_Loop0_TestCase1, TRUE, 4847)
(Adding_Subtracting_Zero_4_NT_Loop0_TestCase4, ERROR, 4325)
(Adding_Subtracting_Zero_4_NT_Loop0_TestCase5, ERROR, 4349)
(Adding_Subtracting_Zero_4_NT_Loop0_TestCase7, ERROR, 4364)
(Adding_Subtracting_Zero_4_NT_Loop0_TestCase6, ERROR, 4293)
(Adding_Subtracting_Zero_4_NT_Loop0_TestCase10, ERROR, 4332)
(Adding_Subtracting_Zero_4_NT_Loop0_TestCase8, ERROR, 4398)
(Adding_Subtracting_Zero_4_NT_Loop0_TestCase9, ERROR, 4335)</t>
  </si>
  <si>
    <t>(Adding_Subtracting_Zero_4_NT_Loop50_TestCase0, ERROR, 4277)
(Adding_Subtracting_Zero_4_NT_Loop16_TestCase0, ERROR, 4324)</t>
  </si>
  <si>
    <t>(Adding_Subtracting_Zero_4_NT_Loop0_TestCase0, ERROR, 4496)</t>
  </si>
  <si>
    <t>(Adding_Subtracting_Zero_3_T_Loop72_TestCase9, ERROR, 4350)
(Adding_Subtracting_Zero_3_T_Loop72_TestCase10, ERROR, 4428)
(Adding_Subtracting_Zero_3_T_Loop72_TestCase8, ERROR, 4400)
(Adding_Subtracting_Zero_3_T_Loop37_TestCase1, TRUE, 4919)
(Adding_Subtracting_Zero_3_T_Loop37_TestCase2, TRUE, 5017)
(Adding_Subtracting_Zero_3_T_Loop37_TestCase3, ERROR, 4370)
(Adding_Subtracting_Zero_3_T_Loop37_TestCase7, ERROR, 4380)
(Adding_Subtracting_Zero_3_T_Loop37_TestCase6, ERROR, 4374)
(Adding_Subtracting_Zero_3_T_Loop37_TestCase4, ERROR, 4413)
(Adding_Subtracting_Zero_3_T_Loop37_TestCase5, ERROR, 4440)
(Adding_Subtracting_Zero_3_T_Loop37_TestCase8, ERROR, 4426)
(Adding_Subtracting_Zero_3_T_Loop37_TestCase9, ERROR, 4354)
(Adding_Subtracting_Zero_3_T_Loop72_TestCase5, ERROR, 4405)
(Adding_Subtracting_Zero_3_T_Loop72_TestCase4, ERROR, 4401)
(Adding_Subtracting_Zero_3_T_Loop37_TestCase10, ERROR, 4351)
(Adding_Subtracting_Zero_3_T_Loop72_TestCase6, ERROR, 4373)
(Adding_Subtracting_Zero_3_T_Loop72_TestCase7, ERROR, 4356)
(Adding_Subtracting_Zero_3_T_Loop72_TestCase3, ERROR, 4403)
(Adding_Subtracting_Zero_3_T_Loop72_TestCase2, TRUE, 4961)
(Adding_Subtracting_Zero_3_T_Loop72_TestCase1, TRUE, 4984)</t>
  </si>
  <si>
    <t>(Adding_Subtracting_Zero_3_T_Loop0_TestCase7, ERROR, 4415)
(Adding_Subtracting_Zero_3_T_Loop0_TestCase6, ERROR, 4434)
(Adding_Subtracting_Zero_3_T_Loop0_TestCase4, ERROR, 4429)
(Adding_Subtracting_Zero_3_T_Loop0_TestCase5, ERROR, 4437)
(Adding_Subtracting_Zero_3_T_Loop0_TestCase1, TRUE, 5021)
(Adding_Subtracting_Zero_3_T_Loop0_TestCase2, TRUE, 4933)
(Adding_Subtracting_Zero_3_T_Loop0_TestCase3, ERROR, 4419)
(Adding_Subtracting_Zero_3_T_Loop0_TestCase8, ERROR, 4414)
(Adding_Subtracting_Zero_3_T_Loop0_TestCase10, ERROR, 4419)
(Adding_Subtracting_Zero_3_T_Loop0_TestCase9, ERROR, 4379)</t>
  </si>
  <si>
    <t>(Adding_Subtracting_Zero_3_T_Loop37_TestCase0, ERROR, 4339)
(Adding_Subtracting_Zero_3_T_Loop72_TestCase0, ERROR, 4389)</t>
  </si>
  <si>
    <t>(Adding_Subtracting_Zero_3_T_Loop0_TestCase0, ERROR, 4445)</t>
  </si>
  <si>
    <t>(Adding_Subtracting_Zero_3_NT_Loop40_TestCase1, TRUE, 4925)
(Adding_Subtracting_Zero_3_NT_Loop40_TestCase2, TRUE, 4911)
(Adding_Subtracting_Zero_3_NT_Loop40_TestCase3, ERROR, 4376)
(Adding_Subtracting_Zero_3_NT_Loop40_TestCase7, ERROR, 4368)
(Adding_Subtracting_Zero_3_NT_Loop40_TestCase6, ERROR, 4308)
(Adding_Subtracting_Zero_3_NT_Loop40_TestCase4, ERROR, 4351)
(Adding_Subtracting_Zero_3_NT_Loop40_TestCase5, ERROR, 4383)
(Adding_Subtracting_Zero_3_NT_Loop40_TestCase10, ERROR, 4348)
(Adding_Subtracting_Zero_3_NT_Loop75_TestCase9, ERROR, 4399)
(Adding_Subtracting_Zero_3_NT_Loop75_TestCase8, ERROR, 4372)
(Adding_Subtracting_Zero_3_NT_Loop75_TestCase6, ERROR, 4438)
(Adding_Subtracting_Zero_3_NT_Loop75_TestCase10, ERROR, 4407)
(Adding_Subtracting_Zero_3_NT_Loop75_TestCase7, ERROR, 4411)
(Adding_Subtracting_Zero_3_NT_Loop75_TestCase5, ERROR, 4397)
(Adding_Subtracting_Zero_3_NT_Loop75_TestCase4, ERROR, 4444)
(Adding_Subtracting_Zero_3_NT_Loop75_TestCase1, TRUE, 4963)
(Adding_Subtracting_Zero_3_NT_Loop75_TestCase3, ERROR, 4345)
(Adding_Subtracting_Zero_3_NT_Loop75_TestCase2, TRUE, 4977)
(Adding_Subtracting_Zero_3_NT_Loop40_TestCase8, ERROR, 4350)
(Adding_Subtracting_Zero_3_NT_Loop40_TestCase9, ERROR, 4371)</t>
  </si>
  <si>
    <t>(Adding_Subtracting_Zero_3_NT_Loop0_TestCase1, TRUE, 4926)
(Adding_Subtracting_Zero_3_NT_Loop0_TestCase2, TRUE, 4924)
(Adding_Subtracting_Zero_3_NT_Loop0_TestCase3, ERROR, 4333)
(Adding_Subtracting_Zero_3_NT_Loop0_TestCase7, ERROR, 4433)
(Adding_Subtracting_Zero_3_NT_Loop0_TestCase6, ERROR, 4376)
(Adding_Subtracting_Zero_3_NT_Loop0_TestCase4, ERROR, 4328)
(Adding_Subtracting_Zero_3_NT_Loop0_TestCase5, ERROR, 4463)
(Adding_Subtracting_Zero_3_NT_Loop0_TestCase8, ERROR, 4382)
(Adding_Subtracting_Zero_3_NT_Loop0_TestCase9, ERROR, 4364)
(Adding_Subtracting_Zero_3_NT_Loop0_TestCase10, ERROR, 4332)</t>
  </si>
  <si>
    <t>(Adding_Subtracting_Zero_3_NT_Loop40_TestCase0, ERROR, 4335)
(Adding_Subtracting_Zero_3_NT_Loop75_TestCase0, ERROR, 4351)</t>
  </si>
  <si>
    <t>(Adding_Subtracting_Zero_3_NT_Loop0_TestCase0, ERROR, 4461)</t>
  </si>
  <si>
    <t>(Adding_Subtracting_Zero_2_T_Loop35_TestCase10, TRUE, 4996)
(Adding_Subtracting_Zero_2_T_Loop35_TestCase8, TRUE, 4966)
(Adding_Subtracting_Zero_2_T_Loop35_TestCase9, TRUE, 4961)
(Adding_Subtracting_Zero_2_T_Loop35_TestCase7, TRUE, 5010)
(Adding_Subtracting_Zero_2_T_Loop35_TestCase6, TRUE, 5012)
(Adding_Subtracting_Zero_2_T_Loop35_TestCase4, ERROR, 4324)
(Adding_Subtracting_Zero_2_T_Loop35_TestCase5, ERROR, 4227)
(Adding_Subtracting_Zero_2_T_Loop35_TestCase1, TRUE, 4907)
(Adding_Subtracting_Zero_2_T_Loop35_TestCase2, TRUE, 4920)
(Adding_Subtracting_Zero_2_T_Loop35_TestCase3, ERROR, 4359)</t>
  </si>
  <si>
    <t>(Adding_Subtracting_Zero_2_T_Loop0_TestCase8, ERROR, 4300)
(Adding_Subtracting_Zero_2_T_Loop0_TestCase9, ERROR, 4236)
(Adding_Subtracting_Zero_2_T_Loop0_TestCase4, ERROR, 4247)
(Adding_Subtracting_Zero_2_T_Loop0_TestCase5, ERROR, 4301)
(Adding_Subtracting_Zero_2_T_Loop0_TestCase7, ERROR, 4263)
(Adding_Subtracting_Zero_2_T_Loop0_TestCase10, TRUE, 4849)
(Adding_Subtracting_Zero_2_T_Loop0_TestCase6, TRUE, 4897)
(Adding_Subtracting_Zero_2_T_Loop0_TestCase2, TRUE, 4852)
(Adding_Subtracting_Zero_2_T_Loop0_TestCase3, ERROR, 4242)
(Adding_Subtracting_Zero_2_T_Loop0_TestCase1, TRUE, 4869)</t>
  </si>
  <si>
    <t>(Adding_Subtracting_Zero_2_T_Loop35_TestCase0, ERROR, 4270)</t>
  </si>
  <si>
    <t>(Adding_Subtracting_Zero_2_T_Loop0_TestCase0, ERROR, 4360)</t>
  </si>
  <si>
    <t>(Adding_Subtracting_Zero_2_NT_Loop34_TestCase10, ERROR, 4373)
(Adding_Subtracting_Zero_2_NT_Loop34_TestCase8, ERROR, 4360)
(Adding_Subtracting_Zero_2_NT_Loop34_TestCase9, ERROR, 4320)
(Adding_Subtracting_Zero_2_NT_Loop34_TestCase7, ERROR, 4379)
(Adding_Subtracting_Zero_2_NT_Loop34_TestCase6, ERROR, 4334)
(Adding_Subtracting_Zero_2_NT_Loop34_TestCase4, ERROR, 4326)
(Adding_Subtracting_Zero_2_NT_Loop34_TestCase5, ERROR, 4318)
(Adding_Subtracting_Zero_2_NT_Loop34_TestCase1, TRUE, 4821)
(Adding_Subtracting_Zero_2_NT_Loop34_TestCase2, TRUE, 4886)
(Adding_Subtracting_Zero_2_NT_Loop34_TestCase3, TRUE, 5019)</t>
  </si>
  <si>
    <t>(Adding_Subtracting_Zero_2_NT_Loop0_TestCase5, ERROR, 4246)
(Adding_Subtracting_Zero_2_NT_Loop0_TestCase4, ERROR, 4224)
(Adding_Subtracting_Zero_2_NT_Loop0_TestCase6, ERROR, 4274)
(Adding_Subtracting_Zero_2_NT_Loop0_TestCase7, ERROR, 4256)
(Adding_Subtracting_Zero_2_NT_Loop0_TestCase3, TRUE, 4886)
(Adding_Subtracting_Zero_2_NT_Loop0_TestCase2, TRUE, 4829)
(Adding_Subtracting_Zero_2_NT_Loop0_TestCase10, ERROR, 4205)
(Adding_Subtracting_Zero_2_NT_Loop0_TestCase1, TRUE, 4814)
(Adding_Subtracting_Zero_2_NT_Loop0_TestCase9, ERROR, 4219)
(Adding_Subtracting_Zero_2_NT_Loop0_TestCase8, ERROR, 4259)</t>
  </si>
  <si>
    <t>(Adding_Subtracting_Zero_2_NT_Loop34_TestCase0, ERROR, 4259)</t>
  </si>
  <si>
    <t>(Adding_Subtracting_Zero_2_NT_Loop0_TestCase0, ERROR, 4388)</t>
  </si>
  <si>
    <t>(Adding_Subtracting_Zero_1_T_Loop17_TestCase5, TRUE, 4960)
(Adding_Subtracting_Zero_1_T_Loop17_TestCase4, TRUE, 4780)
(Adding_Subtracting_Zero_1_T_Loop17_TestCase6, TRUE, 4837)
(Adding_Subtracting_Zero_1_T_Loop17_TestCase7, TRUE, 4799)
(Adding_Subtracting_Zero_1_T_Loop17_TestCase3, TRUE, 4931)
(Adding_Subtracting_Zero_1_T_Loop17_TestCase2, TRUE, 4892)
(Adding_Subtracting_Zero_1_T_Loop17_TestCase1, TRUE, 4829)
(Adding_Subtracting_Zero_1_T_Loop17_TestCase9, TRUE, 4809)
(Adding_Subtracting_Zero_1_T_Loop17_TestCase8, TRUE, 4835)
(Adding_Subtracting_Zero_1_T_Loop17_TestCase10, TRUE, 4817)</t>
  </si>
  <si>
    <t>(Adding_Subtracting_Zero_1_T_Loop0_TestCase1, TRUE, 4759)
(Adding_Subtracting_Zero_1_T_Loop0_TestCase3, TRUE, 4898)
(Adding_Subtracting_Zero_1_T_Loop0_TestCase2, TRUE, 4749)
(Adding_Subtracting_Zero_1_T_Loop0_TestCase6, TRUE, 4777)
(Adding_Subtracting_Zero_1_T_Loop0_TestCase7, TRUE, 4748)
(Adding_Subtracting_Zero_1_T_Loop0_TestCase5, TRUE, 4870)
(Adding_Subtracting_Zero_1_T_Loop0_TestCase4, TRUE, 4862)
(Adding_Subtracting_Zero_1_T_Loop0_TestCase9, TRUE, 4725)
(Adding_Subtracting_Zero_1_T_Loop0_TestCase8, TRUE, 4740)
(Adding_Subtracting_Zero_1_T_Loop0_TestCase10, TRUE, 4751)</t>
  </si>
  <si>
    <t>(Adding_Subtracting_Zero_1_T_Loop17_TestCase0, UNKNOWN, 300780)</t>
  </si>
  <si>
    <t>(Adding_Subtracting_Zero_1_T_Loop0_TestCase0, UNKNOWN, 300794)</t>
  </si>
  <si>
    <t>(Adding_Subtracting_Zero_1_NT_Loop17_TestCase8, FALSE, 4846)
(Adding_Subtracting_Zero_1_NT_Loop17_TestCase9, FALSE, 4852)
(Adding_Subtracting_Zero_1_NT_Loop17_TestCase10, FALSE, 4945)
(Adding_Subtracting_Zero_1_NT_Loop17_TestCase2, TRUE, 4806)
(Adding_Subtracting_Zero_1_NT_Loop17_TestCase3, TRUE, 4928)
(Adding_Subtracting_Zero_1_NT_Loop17_TestCase1, TRUE, 4779)
(Adding_Subtracting_Zero_1_NT_Loop17_TestCase4, TRUE, 4898)
(Adding_Subtracting_Zero_1_NT_Loop17_TestCase5, TRUE, 4956)
(Adding_Subtracting_Zero_1_NT_Loop17_TestCase7, FALSE, 4880)
(Adding_Subtracting_Zero_1_NT_Loop17_TestCase6, FALSE, 4854)</t>
  </si>
  <si>
    <t>(Adding_Subtracting_Zero_1_NT_Loop0_TestCase10, FALSE, 4818)
(Adding_Subtracting_Zero_1_NT_Loop0_TestCase1, TRUE, 4777)
(Adding_Subtracting_Zero_1_NT_Loop0_TestCase3, TRUE, 4879)
(Adding_Subtracting_Zero_1_NT_Loop0_TestCase2, TRUE, 4724)
(Adding_Subtracting_Zero_1_NT_Loop0_TestCase6, FALSE, 4829)
(Adding_Subtracting_Zero_1_NT_Loop0_TestCase7, FALSE, 4883)
(Adding_Subtracting_Zero_1_NT_Loop0_TestCase5, TRUE, 4911)
(Adding_Subtracting_Zero_1_NT_Loop0_TestCase4, TRUE, 4830)
(Adding_Subtracting_Zero_1_NT_Loop0_TestCase9, FALSE, 4859)
(Adding_Subtracting_Zero_1_NT_Loop0_TestCase8, FALSE, 4875)</t>
  </si>
  <si>
    <t>(Adding_Subtracting_Zero_1_NT_Loop17_TestCase0, FALSE, 4803)</t>
  </si>
  <si>
    <t>(Adding_Subtracting_Zero_1_NT_Loop0_TestCase0, FALSE, 5279)</t>
  </si>
  <si>
    <t>(Using_Erroneous_Condition_3_T_Loop24_TestCase1, unknown, 607)
(Using_Erroneous_Condition_3_T_Loop27_TestCase4, unknown, 588)
(Using_Erroneous_Condition_3_T_Loop27_TestCase5, unknown, 595)
(Using_Erroneous_Condition_3_T_Loop24_TestCase2, yes, 402)
(Using_Erroneous_Condition_3_T_Loop27_TestCase7, unknown, 555)
(Using_Erroneous_Condition_3_T_Loop27_TestCase6, unknown, 565)
(Using_Erroneous_Condition_3_T_Loop24_TestCase3, yes, 343)
(Using_Erroneous_Condition_3_T_Loop24_TestCase7, unknown, 570)
(Using_Erroneous_Condition_3_T_Loop27_TestCase2, yes, 423)
(Using_Erroneous_Condition_3_T_Loop27_TestCase3, yes, 409)
(Using_Erroneous_Condition_3_T_Loop24_TestCase6, unknown, 578)
(Using_Erroneous_Condition_3_T_Loop24_TestCase4, unknown, 606)
(Using_Erroneous_Condition_3_T_Loop27_TestCase1, unknown, 611)
(Using_Erroneous_Condition_3_T_Loop24_TestCase5, unknown, 613)
(Using_Erroneous_Condition_3_T_Loop17_TestCase5, yes, 368)
(Using_Erroneous_Condition_3_T_Loop17_TestCase4, yes, 367)
(Using_Erroneous_Condition_3_T_Loop17_TestCase10, yes, 377)
(Using_Erroneous_Condition_3_T_Loop17_TestCase6, yes, 382)
(Using_Erroneous_Condition_3_T_Loop17_TestCase7, yes, 377)
(Using_Erroneous_Condition_3_T_Loop17_TestCase3, yes, 370)
(Using_Erroneous_Condition_3_T_Loop17_TestCase2, yes, 398)
(Using_Erroneous_Condition_3_T_Loop17_TestCase1, yes, 397)
(Using_Erroneous_Condition_3_T_Loop24_TestCase10, unknown, 572)
(Using_Erroneous_Condition_3_T_Loop17_TestCase9, yes, 373)
(Using_Erroneous_Condition_3_T_Loop17_TestCase8, yes, 374)
(Using_Erroneous_Condition_3_T_Loop24_TestCase8, unknown, 598)
(Using_Erroneous_Condition_3_T_Loop24_TestCase9, unknown, 548)
(Using_Erroneous_Condition_3_T_Loop27_TestCase10, unknown, 575)
(Using_Erroneous_Condition_3_T_Loop27_TestCase8, unknown, 567)
(Using_Erroneous_Condition_3_T_Loop27_TestCase9, unknown, 581)</t>
  </si>
  <si>
    <t>(Using_Erroneous_Condition_3_T_Loop0_TestCase1, unknown, 561)
(Using_Erroneous_Condition_3_T_Loop0_TestCase3, yes, 450)
(Using_Erroneous_Condition_3_T_Loop0_TestCase2, yes, 422)
(Using_Erroneous_Condition_3_T_Loop0_TestCase6, unknown, 549)
(Using_Erroneous_Condition_3_T_Loop0_TestCase7, unknown, 581)
(Using_Erroneous_Condition_3_T_Loop0_TestCase5, unknown, 603)
(Using_Erroneous_Condition_3_T_Loop0_TestCase4, unknown, 595)
(Using_Erroneous_Condition_3_T_Loop0_TestCase9, unknown, 563)
(Using_Erroneous_Condition_3_T_Loop0_TestCase8, unknown, 572)
(Using_Erroneous_Condition_3_T_Loop0_TestCase10, unknown, 612)</t>
  </si>
  <si>
    <t>(Using_Erroneous_Condition_3_T_Loop24_TestCase0, unknown, 753)
(Using_Erroneous_Condition_3_T_Loop27_TestCase0, unknown, 638)
(Using_Erroneous_Condition_3_T_Loop17_TestCase0, yes, 414)</t>
  </si>
  <si>
    <t>(Using_Erroneous_Condition_3_T_Loop0_TestCase0, unknown, 576)</t>
  </si>
  <si>
    <t>(Using_Erroneous_Condition_3_NT_Loop17_TestCase2, yes, 368)
(Using_Erroneous_Condition_3_NT_Loop17_TestCase3, yes, 366)
(Using_Erroneous_Condition_3_NT_Loop17_TestCase1, yes, 386)
(Using_Erroneous_Condition_3_NT_Loop17_TestCase4, yes, 394)
(Using_Erroneous_Condition_3_NT_Loop17_TestCase5, yes, 381)
(Using_Erroneous_Condition_3_NT_Loop17_TestCase7, yes, 400)
(Using_Erroneous_Condition_3_NT_Loop17_TestCase6, yes, 365)
(Using_Erroneous_Condition_3_NT_Loop27_TestCase3, unknown, 584)
(Using_Erroneous_Condition_3_NT_Loop24_TestCase6, unknown, 569)
(Using_Erroneous_Condition_3_NT_Loop24_TestCase7, unknown, 473)
(Using_Erroneous_Condition_3_NT_Loop27_TestCase2, unknown, 553)
(Using_Erroneous_Condition_3_NT_Loop24_TestCase5, unknown, 566)
(Using_Erroneous_Condition_3_NT_Loop17_TestCase10, yes, 370)
(Using_Erroneous_Condition_3_NT_Loop24_TestCase4, unknown, 575)
(Using_Erroneous_Condition_3_NT_Loop27_TestCase1, unknown, 566)
(Using_Erroneous_Condition_3_NT_Loop27_TestCase5, unknown, 537)
(Using_Erroneous_Condition_3_NT_Loop24_TestCase1, unknown, 592)
(Using_Erroneous_Condition_3_NT_Loop27_TestCase4, unknown, 563)
(Using_Erroneous_Condition_3_NT_Loop27_TestCase6, unknown, 568)
(Using_Erroneous_Condition_3_NT_Loop24_TestCase3, unknown, 590)
(Using_Erroneous_Condition_3_NT_Loop24_TestCase2, unknown, 566)
(Using_Erroneous_Condition_3_NT_Loop27_TestCase7, unknown, 562)
(Using_Erroneous_Condition_3_NT_Loop27_TestCase9, unknown, 572)
(Using_Erroneous_Condition_3_NT_Loop27_TestCase8, unknown, 582)
(Using_Erroneous_Condition_3_NT_Loop24_TestCase9, unknown, 577)
(Using_Erroneous_Condition_3_NT_Loop24_TestCase8, unknown, 557)
(Using_Erroneous_Condition_3_NT_Loop24_TestCase10, unknown, 557)
(Using_Erroneous_Condition_3_NT_Loop17_TestCase8, yes, 380)
(Using_Erroneous_Condition_3_NT_Loop17_TestCase9, yes, 371)
(Using_Erroneous_Condition_3_NT_Loop27_TestCase10, unknown, 534)</t>
  </si>
  <si>
    <t>(Using_Erroneous_Condition_3_NT_Loop0_TestCase1, unknown, 567)
(Using_Erroneous_Condition_3_NT_Loop0_TestCase3, unknown, 521)
(Using_Erroneous_Condition_3_NT_Loop0_TestCase2, unknown, 551)
(Using_Erroneous_Condition_3_NT_Loop0_TestCase6, unknown, 612)
(Using_Erroneous_Condition_3_NT_Loop0_TestCase7, unknown, 554)
(Using_Erroneous_Condition_3_NT_Loop0_TestCase5, unknown, 554)
(Using_Erroneous_Condition_3_NT_Loop0_TestCase4, unknown, 583)
(Using_Erroneous_Condition_3_NT_Loop0_TestCase10, unknown, 599)
(Using_Erroneous_Condition_3_NT_Loop0_TestCase9, unknown, 568)
(Using_Erroneous_Condition_3_NT_Loop0_TestCase8, unknown, 568)</t>
  </si>
  <si>
    <t>(Using_Erroneous_Condition_3_NT_Loop17_TestCase0, yes, 367)
(Using_Erroneous_Condition_3_NT_Loop27_TestCase0, unknown, 566)
(Using_Erroneous_Condition_3_NT_Loop24_TestCase0, unknown, 647)</t>
  </si>
  <si>
    <t>(Using_Erroneous_Condition_3_NT_Loop0_TestCase0, unknown, 629)</t>
  </si>
  <si>
    <t>(Using_Erroneous_Condition_2_T_Loop15_TestCase9, yes, 387)
(Using_Erroneous_Condition_2_T_Loop15_TestCase8, yes, 358)
(Using_Erroneous_Condition_2_T_Loop15_TestCase10, yes, 299)
(Using_Erroneous_Condition_2_T_Loop15_TestCase3, yes, 339)
(Using_Erroneous_Condition_2_T_Loop15_TestCase2, yes, 326)
(Using_Erroneous_Condition_2_T_Loop15_TestCase1, yes, 371)
(Using_Erroneous_Condition_2_T_Loop15_TestCase5, yes, 335)
(Using_Erroneous_Condition_2_T_Loop15_TestCase4, yes, 333)
(Using_Erroneous_Condition_2_T_Loop15_TestCase6, yes, 345)
(Using_Erroneous_Condition_2_T_Loop15_TestCase7, yes, 375)</t>
  </si>
  <si>
    <t>(Using_Erroneous_Condition_2_T_Loop0_TestCase9, yes, 409)
(Using_Erroneous_Condition_2_T_Loop0_TestCase8, yes, 384)
(Using_Erroneous_Condition_2_T_Loop0_TestCase10, yes, 407)
(Using_Erroneous_Condition_2_T_Loop0_TestCase3, yes, 349)
(Using_Erroneous_Condition_2_T_Loop0_TestCase2, yes, 346)
(Using_Erroneous_Condition_2_T_Loop0_TestCase1, yes, 376)
(Using_Erroneous_Condition_2_T_Loop0_TestCase5, yes, 369)
(Using_Erroneous_Condition_2_T_Loop0_TestCase4, yes, 361)
(Using_Erroneous_Condition_2_T_Loop0_TestCase6, yes, 315)
(Using_Erroneous_Condition_2_T_Loop0_TestCase7, yes, 371)</t>
  </si>
  <si>
    <t>(Using_Erroneous_Condition_2_T_Loop15_TestCase0, yes, 342)</t>
  </si>
  <si>
    <t>(Using_Erroneous_Condition_2_T_Loop0_TestCase0, yes, 348)</t>
  </si>
  <si>
    <t>(Using_Erroneous_Condition_2_NT_Loop16_TestCase10, no, 361)
(Using_Erroneous_Condition_2_NT_Loop16_TestCase1, unknown, 267)
(Using_Erroneous_Condition_2_NT_Loop16_TestCase2, unknown, 342)
(Using_Erroneous_Condition_2_NT_Loop16_TestCase3, unknown, 358)
(Using_Erroneous_Condition_2_NT_Loop16_TestCase7, no, 327)
(Using_Erroneous_Condition_2_NT_Loop16_TestCase6, no, 339)
(Using_Erroneous_Condition_2_NT_Loop16_TestCase4, unknown, 342)
(Using_Erroneous_Condition_2_NT_Loop16_TestCase5, unknown, 345)
(Using_Erroneous_Condition_2_NT_Loop16_TestCase8, no, 350)
(Using_Erroneous_Condition_2_NT_Loop16_TestCase9, no, 350)</t>
  </si>
  <si>
    <t>(Using_Erroneous_Condition_2_NT_Loop0_TestCase4, yes, 298)
(Using_Erroneous_Condition_2_NT_Loop0_TestCase5, yes, 334)
(Using_Erroneous_Condition_2_NT_Loop0_TestCase7, no, 360)
(Using_Erroneous_Condition_2_NT_Loop0_TestCase6, no, 362)
(Using_Erroneous_Condition_2_NT_Loop0_TestCase2, yes, 382)
(Using_Erroneous_Condition_2_NT_Loop0_TestCase3, yes, 344)
(Using_Erroneous_Condition_2_NT_Loop0_TestCase1, yes, 368)
(Using_Erroneous_Condition_2_NT_Loop0_TestCase10, no, 372)
(Using_Erroneous_Condition_2_NT_Loop0_TestCase8, no, 359)
(Using_Erroneous_Condition_2_NT_Loop0_TestCase9, no, 389)</t>
  </si>
  <si>
    <t>(Using_Erroneous_Condition_2_NT_Loop16_TestCase0, unknown, 292)</t>
  </si>
  <si>
    <t>(Using_Erroneous_Condition_2_NT_Loop0_TestCase0, unknown, 459)</t>
  </si>
  <si>
    <t>(Using_Erroneous_Condition_1_T_Loop39_TestCase4, unknown, 464)
(Using_Erroneous_Condition_1_T_Loop39_TestCase5, unknown, 560)
(Using_Erroneous_Condition_1_T_Loop39_TestCase7, yes, 402)
(Using_Erroneous_Condition_1_T_Loop39_TestCase6, unknown, 688)
(Using_Erroneous_Condition_1_T_Loop39_TestCase2, unknown, 668)
(Using_Erroneous_Condition_1_T_Loop39_TestCase3, unknown, 779)
(Using_Erroneous_Condition_1_T_Loop39_TestCase1, yes, 516)
(Using_Erroneous_Condition_1_T_Loop39_TestCase10, unknown, 619)
(Using_Erroneous_Condition_1_T_Loop39_TestCase8, unknown, 649)
(Using_Erroneous_Condition_1_T_Loop39_TestCase9, yes, 482)</t>
  </si>
  <si>
    <t>(Using_Erroneous_Condition_1_T_Loop0_TestCase7, yes, 536)
(Using_Erroneous_Condition_1_T_Loop0_TestCase6, unknown, 650)
(Using_Erroneous_Condition_1_T_Loop0_TestCase4, unknown, 479)
(Using_Erroneous_Condition_1_T_Loop0_TestCase5, unknown, 626)
(Using_Erroneous_Condition_1_T_Loop0_TestCase1, yes, 522)
(Using_Erroneous_Condition_1_T_Loop0_TestCase2, unknown, 658)
(Using_Erroneous_Condition_1_T_Loop0_TestCase3, unknown, 668)
(Using_Erroneous_Condition_1_T_Loop0_TestCase10, unknown, 547)
(Using_Erroneous_Condition_1_T_Loop0_TestCase8, unknown, 667)
(Using_Erroneous_Condition_1_T_Loop0_TestCase9, yes, 419)</t>
  </si>
  <si>
    <t>(Using_Erroneous_Condition_1_T_Loop39_TestCase0, unknown, 455)</t>
  </si>
  <si>
    <t>(Using_Erroneous_Condition_1_T_Loop0_TestCase0, unknown, 516)</t>
  </si>
  <si>
    <t>(Using_Erroneous_Condition_1_NT_Loop39_TestCase9, no, 377)
(Using_Erroneous_Condition_1_NT_Loop39_TestCase8, no, 379)
(Using_Erroneous_Condition_1_NT_Loop39_TestCase10, no, 367)
(Using_Erroneous_Condition_1_NT_Loop39_TestCase3, unknown, 779)
(Using_Erroneous_Condition_1_NT_Loop39_TestCase2, unknown, 584)
(Using_Erroneous_Condition_1_NT_Loop39_TestCase1, yes, 424)
(Using_Erroneous_Condition_1_NT_Loop39_TestCase5, unknown, 494)
(Using_Erroneous_Condition_1_NT_Loop39_TestCase4, unknown, 518)
(Using_Erroneous_Condition_1_NT_Loop39_TestCase6, no, 381)
(Using_Erroneous_Condition_1_NT_Loop39_TestCase7, no, 391)</t>
  </si>
  <si>
    <t>(Using_Erroneous_Condition_1_NT_Loop0_TestCase1, yes, 473)
(Using_Erroneous_Condition_1_NT_Loop0_TestCase2, unknown, 483)
(Using_Erroneous_Condition_1_NT_Loop0_TestCase3, unknown, 631)
(Using_Erroneous_Condition_1_NT_Loop0_TestCase7, no, 379)
(Using_Erroneous_Condition_1_NT_Loop0_TestCase6, no, 392)
(Using_Erroneous_Condition_1_NT_Loop0_TestCase4, unknown, 506)
(Using_Erroneous_Condition_1_NT_Loop0_TestCase5, unknown, 524)
(Using_Erroneous_Condition_1_NT_Loop0_TestCase10, no, 398)
(Using_Erroneous_Condition_1_NT_Loop0_TestCase8, no, 381)
(Using_Erroneous_Condition_1_NT_Loop0_TestCase9, no, 380)</t>
  </si>
  <si>
    <t>(Using_Erroneous_Condition_1_NT_Loop39_TestCase0, unknown, 478)</t>
  </si>
  <si>
    <t>(Using_Erroneous_Condition_1_NT_Loop0_TestCase0, unknown, 702)</t>
  </si>
  <si>
    <t>(Unsigned_Wraparound_Error_4_T_Loop13_TestCase9, yes, 360)
(Unsigned_Wraparound_Error_4_T_Loop13_TestCase8, yes, 360)
(Unsigned_Wraparound_Error_4_T_Loop13_TestCase6, yes, 327)
(Unsigned_Wraparound_Error_4_T_Loop13_TestCase7, yes, 266)
(Unsigned_Wraparound_Error_4_T_Loop13_TestCase5, yes, 334)
(Unsigned_Wraparound_Error_4_T_Loop13_TestCase4, yes, 335)
(Unsigned_Wraparound_Error_4_T_Loop13_TestCase1, yes, 340)
(Unsigned_Wraparound_Error_4_T_Loop13_TestCase3, yes, 340)
(Unsigned_Wraparound_Error_4_T_Loop13_TestCase2, yes, 342)
(Unsigned_Wraparound_Error_4_T_Loop13_TestCase10, yes, 362)</t>
  </si>
  <si>
    <t>(Unsigned_Wraparound_Error_4_T_Loop0_TestCase8, yes, 364)
(Unsigned_Wraparound_Error_4_T_Loop0_TestCase9, yes, 378)
(Unsigned_Wraparound_Error_4_T_Loop0_TestCase10, yes, 302)
(Unsigned_Wraparound_Error_4_T_Loop0_TestCase2, yes, 334)
(Unsigned_Wraparound_Error_4_T_Loop0_TestCase3, yes, 358)
(Unsigned_Wraparound_Error_4_T_Loop0_TestCase1, yes, 346)
(Unsigned_Wraparound_Error_4_T_Loop0_TestCase4, yes, 369)
(Unsigned_Wraparound_Error_4_T_Loop0_TestCase5, yes, 367)
(Unsigned_Wraparound_Error_4_T_Loop0_TestCase7, yes, 382)
(Unsigned_Wraparound_Error_4_T_Loop0_TestCase6, yes, 367)</t>
  </si>
  <si>
    <t>(Unsigned_Wraparound_Error_4_T_Loop13_TestCase0, yes, 300)</t>
  </si>
  <si>
    <t>(Unsigned_Wraparound_Error_4_T_Loop0_TestCase0, yes, 314)</t>
  </si>
  <si>
    <t>(Unsigned_Wraparound_Error_4_NT_Loop15_TestCase2, unknown, 433)
(Unsigned_Wraparound_Error_4_NT_Loop15_TestCase10, unknown, 474)
(Unsigned_Wraparound_Error_4_NT_Loop15_TestCase3, unknown, 427)
(Unsigned_Wraparound_Error_4_NT_Loop15_TestCase1, yes, 346)
(Unsigned_Wraparound_Error_4_NT_Loop15_TestCase4, unknown, 440)
(Unsigned_Wraparound_Error_4_NT_Loop15_TestCase5, unknown, 448)
(Unsigned_Wraparound_Error_4_NT_Loop15_TestCase7, unknown, 417)
(Unsigned_Wraparound_Error_4_NT_Loop15_TestCase6, unknown, 358)
(Unsigned_Wraparound_Error_4_NT_Loop15_TestCase8, unknown, 481)
(Unsigned_Wraparound_Error_4_NT_Loop15_TestCase9, unknown, 456)</t>
  </si>
  <si>
    <t>(Unsigned_Wraparound_Error_4_NT_Loop0_TestCase8, unknown, 453)
(Unsigned_Wraparound_Error_4_NT_Loop0_TestCase9, unknown, 419)
(Unsigned_Wraparound_Error_4_NT_Loop0_TestCase10, unknown, 483)
(Unsigned_Wraparound_Error_4_NT_Loop0_TestCase2, unknown, 447)
(Unsigned_Wraparound_Error_4_NT_Loop0_TestCase3, unknown, 468)
(Unsigned_Wraparound_Error_4_NT_Loop0_TestCase1, yes, 349)
(Unsigned_Wraparound_Error_4_NT_Loop0_TestCase4, unknown, 464)
(Unsigned_Wraparound_Error_4_NT_Loop0_TestCase5, unknown, 447)
(Unsigned_Wraparound_Error_4_NT_Loop0_TestCase7, unknown, 472)
(Unsigned_Wraparound_Error_4_NT_Loop0_TestCase6, unknown, 441)</t>
  </si>
  <si>
    <t>(Unsigned_Wraparound_Error_4_NT_Loop15_TestCase0, unknown, 353)</t>
  </si>
  <si>
    <t>(Unsigned_Wraparound_Error_4_NT_Loop0_TestCase0, unknown, 414)</t>
  </si>
  <si>
    <t>(Unsigned_Wraparound_Error_3_T_Loop19_TestCase8, yes, 371)
(Unsigned_Wraparound_Error_3_T_Loop19_TestCase9, yes, 341)
(Unsigned_Wraparound_Error_3_T_Loop19_TestCase1, yes, 343)
(Unsigned_Wraparound_Error_3_T_Loop19_TestCase2, yes, 367)
(Unsigned_Wraparound_Error_3_T_Loop19_TestCase3, yes, 382)
(Unsigned_Wraparound_Error_3_T_Loop19_TestCase7, yes, 349)
(Unsigned_Wraparound_Error_3_T_Loop19_TestCase6, yes, 282)
(Unsigned_Wraparound_Error_3_T_Loop19_TestCase10, yes, 368)
(Unsigned_Wraparound_Error_3_T_Loop19_TestCase4, yes, 374)
(Unsigned_Wraparound_Error_3_T_Loop19_TestCase5, yes, 372)</t>
  </si>
  <si>
    <t>(Unsigned_Wraparound_Error_3_T_Loop0_TestCase5, yes, 377)
(Unsigned_Wraparound_Error_3_T_Loop0_TestCase4, yes, 325)
(Unsigned_Wraparound_Error_3_T_Loop0_TestCase6, yes, 358)
(Unsigned_Wraparound_Error_3_T_Loop0_TestCase7, yes, 382)
(Unsigned_Wraparound_Error_3_T_Loop0_TestCase10, yes, 361)
(Unsigned_Wraparound_Error_3_T_Loop0_TestCase3, yes, 367)
(Unsigned_Wraparound_Error_3_T_Loop0_TestCase2, yes, 347)
(Unsigned_Wraparound_Error_3_T_Loop0_TestCase1, yes, 350)
(Unsigned_Wraparound_Error_3_T_Loop0_TestCase9, yes, 358)
(Unsigned_Wraparound_Error_3_T_Loop0_TestCase8, yes, 366)</t>
  </si>
  <si>
    <t>(Unsigned_Wraparound_Error_3_T_Loop19_TestCase0, yes, 349)</t>
  </si>
  <si>
    <t>(Unsigned_Wraparound_Error_3_T_Loop0_TestCase0, yes, 352)</t>
  </si>
  <si>
    <t>(Unsigned_Wraparound_Error_3_NT_Loop20_TestCase8, unknown, 376)
(Unsigned_Wraparound_Error_3_NT_Loop20_TestCase9, unknown, 426)
(Unsigned_Wraparound_Error_3_NT_Loop20_TestCase10, unknown, 443)
(Unsigned_Wraparound_Error_3_NT_Loop20_TestCase7, unknown, 462)
(Unsigned_Wraparound_Error_3_NT_Loop20_TestCase6, unknown, 439)
(Unsigned_Wraparound_Error_3_NT_Loop20_TestCase4, yes, 380)
(Unsigned_Wraparound_Error_3_NT_Loop20_TestCase5, yes, 362)
(Unsigned_Wraparound_Error_3_NT_Loop20_TestCase1, yes, 333)
(Unsigned_Wraparound_Error_3_NT_Loop20_TestCase2, yes, 277)
(Unsigned_Wraparound_Error_3_NT_Loop20_TestCase3, yes, 365)</t>
  </si>
  <si>
    <t>(Unsigned_Wraparound_Error_3_NT_Loop0_TestCase10, unknown, 494)
(Unsigned_Wraparound_Error_3_NT_Loop0_TestCase8, unknown, 444)
(Unsigned_Wraparound_Error_3_NT_Loop0_TestCase9, unknown, 415)
(Unsigned_Wraparound_Error_3_NT_Loop0_TestCase1, yes, 305)
(Unsigned_Wraparound_Error_3_NT_Loop0_TestCase2, yes, 363)
(Unsigned_Wraparound_Error_3_NT_Loop0_TestCase3, yes, 347)
(Unsigned_Wraparound_Error_3_NT_Loop0_TestCase7, unknown, 446)
(Unsigned_Wraparound_Error_3_NT_Loop0_TestCase6, unknown, 454)
(Unsigned_Wraparound_Error_3_NT_Loop0_TestCase4, yes, 379)
(Unsigned_Wraparound_Error_3_NT_Loop0_TestCase5, yes, 386)</t>
  </si>
  <si>
    <t>(Unsigned_Wraparound_Error_3_NT_Loop20_TestCase0, unknown, 353)</t>
  </si>
  <si>
    <t>(Unsigned_Wraparound_Error_3_NT_Loop0_TestCase0, unknown, 367)</t>
  </si>
  <si>
    <t>(Unsigned_Wraparound_Error_2_T_Loop18_TestCase2, yes, 356)
(Unsigned_Wraparound_Error_2_T_Loop18_TestCase3, yes, 352)
(Unsigned_Wraparound_Error_2_T_Loop18_TestCase1, yes, 350)
(Unsigned_Wraparound_Error_2_T_Loop18_TestCase4, yes, 385)
(Unsigned_Wraparound_Error_2_T_Loop18_TestCase5, yes, 384)
(Unsigned_Wraparound_Error_2_T_Loop18_TestCase10, yes, 293)
(Unsigned_Wraparound_Error_2_T_Loop18_TestCase7, yes, 410)
(Unsigned_Wraparound_Error_2_T_Loop18_TestCase6, yes, 372)
(Unsigned_Wraparound_Error_2_T_Loop18_TestCase8, yes, 390)
(Unsigned_Wraparound_Error_2_T_Loop18_TestCase9, yes, 369)</t>
  </si>
  <si>
    <t>(Unsigned_Wraparound_Error_2_T_Loop0_TestCase10, yes, 385)
(Unsigned_Wraparound_Error_2_T_Loop0_TestCase9, yes, 386)
(Unsigned_Wraparound_Error_2_T_Loop0_TestCase8, yes, 397)
(Unsigned_Wraparound_Error_2_T_Loop0_TestCase6, yes, 388)
(Unsigned_Wraparound_Error_2_T_Loop0_TestCase7, yes, 411)
(Unsigned_Wraparound_Error_2_T_Loop0_TestCase5, yes, 377)
(Unsigned_Wraparound_Error_2_T_Loop0_TestCase4, yes, 349)
(Unsigned_Wraparound_Error_2_T_Loop0_TestCase1, yes, 339)
(Unsigned_Wraparound_Error_2_T_Loop0_TestCase3, yes, 367)
(Unsigned_Wraparound_Error_2_T_Loop0_TestCase2, yes, 347)</t>
  </si>
  <si>
    <t>(Unsigned_Wraparound_Error_2_T_Loop18_TestCase0, yes, 299)</t>
  </si>
  <si>
    <t>(Unsigned_Wraparound_Error_2_T_Loop0_TestCase0, yes, 337)</t>
  </si>
  <si>
    <t>(Unsigned_Wraparound_Error_2_NT_Loop18_TestCase8, unknown, 458)
(Unsigned_Wraparound_Error_2_NT_Loop18_TestCase9, unknown, 388)
(Unsigned_Wraparound_Error_2_NT_Loop18_TestCase4, yes, 389)
(Unsigned_Wraparound_Error_2_NT_Loop18_TestCase5, yes, 386)
(Unsigned_Wraparound_Error_2_NT_Loop18_TestCase7, unknown, 334)
(Unsigned_Wraparound_Error_2_NT_Loop18_TestCase6, no, 387)
(Unsigned_Wraparound_Error_2_NT_Loop18_TestCase2, yes, 345)
(Unsigned_Wraparound_Error_2_NT_Loop18_TestCase3, yes, 369)
(Unsigned_Wraparound_Error_2_NT_Loop18_TestCase1, yes, 335)
(Unsigned_Wraparound_Error_2_NT_Loop18_TestCase10, no, 358)</t>
  </si>
  <si>
    <t>(Unsigned_Wraparound_Error_2_NT_Loop0_TestCase9, unknown, 412)
(Unsigned_Wraparound_Error_2_NT_Loop0_TestCase8, unknown, 391)
(Unsigned_Wraparound_Error_2_NT_Loop0_TestCase10, no, 352)
(Unsigned_Wraparound_Error_2_NT_Loop0_TestCase5, yes, 428)
(Unsigned_Wraparound_Error_2_NT_Loop0_TestCase4, yes, 393)
(Unsigned_Wraparound_Error_2_NT_Loop0_TestCase6, no, 316)
(Unsigned_Wraparound_Error_2_NT_Loop0_TestCase7, unknown, 391)
(Unsigned_Wraparound_Error_2_NT_Loop0_TestCase3, yes, 388)
(Unsigned_Wraparound_Error_2_NT_Loop0_TestCase2, yes, 371)
(Unsigned_Wraparound_Error_2_NT_Loop0_TestCase1, yes, 384)</t>
  </si>
  <si>
    <t>(Unsigned_Wraparound_Error_2_NT_Loop18_TestCase0, unknown, 379)</t>
  </si>
  <si>
    <t>(Unsigned_Wraparound_Error_2_NT_Loop0_TestCase0, unknown, 420)</t>
  </si>
  <si>
    <t>(Unsigned_Wraparound_Error_1_T_Loop22_TestCase2, yes, 353)
(Unsigned_Wraparound_Error_1_T_Loop22_TestCase3, yes, 373)
(Unsigned_Wraparound_Error_1_T_Loop22_TestCase1, yes, 352)
(Unsigned_Wraparound_Error_1_T_Loop22_TestCase4, yes, 299)
(Unsigned_Wraparound_Error_1_T_Loop22_TestCase5, yes, 385)
(Unsigned_Wraparound_Error_1_T_Loop22_TestCase7, yes, 352)
(Unsigned_Wraparound_Error_1_T_Loop22_TestCase6, yes, 360)
(Unsigned_Wraparound_Error_1_T_Loop22_TestCase8, yes, 395)
(Unsigned_Wraparound_Error_1_T_Loop22_TestCase9, yes, 422)
(Unsigned_Wraparound_Error_1_T_Loop22_TestCase10, yes, 365)</t>
  </si>
  <si>
    <t>(Unsigned_Wraparound_Error_1_T_Loop0_TestCase2, yes, 341)
(Unsigned_Wraparound_Error_1_T_Loop0_TestCase3, yes, 388)
(Unsigned_Wraparound_Error_1_T_Loop0_TestCase1, yes, 344)
(Unsigned_Wraparound_Error_1_T_Loop0_TestCase4, yes, 398)
(Unsigned_Wraparound_Error_1_T_Loop0_TestCase5, yes, 370)
(Unsigned_Wraparound_Error_1_T_Loop0_TestCase7, yes, 383)
(Unsigned_Wraparound_Error_1_T_Loop0_TestCase6, yes, 394)
(Unsigned_Wraparound_Error_1_T_Loop0_TestCase10, yes, 335)
(Unsigned_Wraparound_Error_1_T_Loop0_TestCase8, yes, 450)
(Unsigned_Wraparound_Error_1_T_Loop0_TestCase9, yes, 452)</t>
  </si>
  <si>
    <t>(Unsigned_Wraparound_Error_1_T_Loop22_TestCase0, yes, 321)</t>
  </si>
  <si>
    <t>(Unsigned_Wraparound_Error_1_T_Loop0_TestCase0, yes, 340)</t>
  </si>
  <si>
    <t>(Unsigned_Wraparound_Error_1_NT_Loop22_TestCase8, no, 404)
(Unsigned_Wraparound_Error_1_NT_Loop22_TestCase9, no, 409)
(Unsigned_Wraparound_Error_1_NT_Loop22_TestCase4, yes, 352)
(Unsigned_Wraparound_Error_1_NT_Loop22_TestCase5, yes, 385)
(Unsigned_Wraparound_Error_1_NT_Loop22_TestCase10, no, 351)
(Unsigned_Wraparound_Error_1_NT_Loop22_TestCase7, no, 350)
(Unsigned_Wraparound_Error_1_NT_Loop22_TestCase6, no, 358)
(Unsigned_Wraparound_Error_1_NT_Loop22_TestCase2, yes, 314)
(Unsigned_Wraparound_Error_1_NT_Loop22_TestCase3, yes, 262)
(Unsigned_Wraparound_Error_1_NT_Loop22_TestCase1, yes, 350)</t>
  </si>
  <si>
    <t>(Unsigned_Wraparound_Error_1_NT_Loop0_TestCase9, no, 345)
(Unsigned_Wraparound_Error_1_NT_Loop0_TestCase8, no, 376)
(Unsigned_Wraparound_Error_1_NT_Loop0_TestCase1, yes, 358)
(Unsigned_Wraparound_Error_1_NT_Loop0_TestCase10, no, 362)
(Unsigned_Wraparound_Error_1_NT_Loop0_TestCase3, yes, 361)
(Unsigned_Wraparound_Error_1_NT_Loop0_TestCase2, yes, 366)
(Unsigned_Wraparound_Error_1_NT_Loop0_TestCase6, no, 347)
(Unsigned_Wraparound_Error_1_NT_Loop0_TestCase7, no, 369)
(Unsigned_Wraparound_Error_1_NT_Loop0_TestCase5, yes, 388)
(Unsigned_Wraparound_Error_1_NT_Loop0_TestCase4, yes, 355)</t>
  </si>
  <si>
    <t>(Unsigned_Wraparound_Error_1_NT_Loop22_TestCase0, unknown, 366)</t>
  </si>
  <si>
    <t>(Unsigned_Wraparound_Error_1_NT_Loop0_TestCase0, unknown, 393)</t>
  </si>
  <si>
    <t>(Undefined_Behavior_3_T_Loop15_TestCase9, yes, 363)
(Undefined_Behavior_3_T_Loop15_TestCase8, yes, 372)
(Undefined_Behavior_3_T_Loop15_TestCase10, yes, 360)
(Undefined_Behavior_3_T_Loop15_TestCase5, yes, 356)
(Undefined_Behavior_3_T_Loop15_TestCase4, yes, 402)
(Undefined_Behavior_3_T_Loop15_TestCase6, yes, 370)
(Undefined_Behavior_3_T_Loop15_TestCase7, yes, 362)
(Undefined_Behavior_3_T_Loop15_TestCase3, yes, 295)
(Undefined_Behavior_3_T_Loop15_TestCase2, yes, 368)
(Undefined_Behavior_3_T_Loop15_TestCase1, yes, 359)</t>
  </si>
  <si>
    <t>(Undefined_Behavior_3_T_Loop0_TestCase8, yes, 323)
(Undefined_Behavior_3_T_Loop0_TestCase9, yes, 359)
(Undefined_Behavior_3_T_Loop0_TestCase10, yes, 380)
(Undefined_Behavior_3_T_Loop0_TestCase7, yes, 370)
(Undefined_Behavior_3_T_Loop0_TestCase6, yes, 417)
(Undefined_Behavior_3_T_Loop0_TestCase4, yes, 383)
(Undefined_Behavior_3_T_Loop0_TestCase5, yes, 363)
(Undefined_Behavior_3_T_Loop0_TestCase1, yes, 371)
(Undefined_Behavior_3_T_Loop0_TestCase2, yes, 375)
(Undefined_Behavior_3_T_Loop0_TestCase3, yes, 380)</t>
  </si>
  <si>
    <t>(Undefined_Behavior_3_T_Loop15_TestCase0, yes, 325)</t>
  </si>
  <si>
    <t>(Undefined_Behavior_3_T_Loop0_TestCase0, yes, 332)</t>
  </si>
  <si>
    <t>(Undefined_Behavior_3_Loop15_TestCase3, yes, 354)
(Undefined_Behavior_3_Loop15_TestCase2, yes, 363)
(Undefined_Behavior_3_Loop15_TestCase1, yes, 347)
(Undefined_Behavior_3_Loop15_TestCase5, yes, 351)
(Undefined_Behavior_3_Loop15_TestCase4, yes, 309)
(Undefined_Behavior_3_Loop15_TestCase6, yes, 396)
(Undefined_Behavior_3_Loop15_TestCase7, yes, 368)
(Undefined_Behavior_3_Loop15_TestCase10, yes, 364)
(Undefined_Behavior_3_Loop15_TestCase9, yes, 386)
(Undefined_Behavior_3_Loop15_TestCase8, yes, 372)</t>
  </si>
  <si>
    <t>(Undefined_Behavior_3_Loop0_TestCase6, yes, 379)
(Undefined_Behavior_3_Loop0_TestCase7, yes, 400)
(Undefined_Behavior_3_Loop0_TestCase5, yes, 374)
(Undefined_Behavior_3_Loop0_TestCase4, yes, 380)
(Undefined_Behavior_3_Loop0_TestCase1, yes, 299)
(Undefined_Behavior_3_Loop0_TestCase3, yes, 382)
(Undefined_Behavior_3_Loop0_TestCase2, yes, 376)
(Undefined_Behavior_3_Loop0_TestCase10, yes, 367)
(Undefined_Behavior_3_Loop0_TestCase9, yes, 372)
(Undefined_Behavior_3_Loop0_TestCase8, yes, 386)</t>
  </si>
  <si>
    <t>(Undefined_Behavior_3_Loop15_TestCase0, yes, 328)</t>
  </si>
  <si>
    <t>(Undefined_Behavior_3_Loop0_TestCase0, yes, 332)</t>
  </si>
  <si>
    <t>(Undefined_Behavior_2_T_Loop25_TestCase9, unknown, 516)
(Undefined_Behavior_2_T_Loop25_TestCase8, unknown, 529)
(Undefined_Behavior_2_T_Loop14_TestCase6, unknown, 487)
(Undefined_Behavior_2_T_Loop14_TestCase7, unknown, 519)
(Undefined_Behavior_2_T_Loop14_TestCase5, unknown, 519)
(Undefined_Behavior_2_T_Loop25_TestCase10, unknown, 518)
(Undefined_Behavior_2_T_Loop14_TestCase4, unknown, 536)
(Undefined_Behavior_2_T_Loop14_TestCase1, unknown, 526)
(Undefined_Behavior_2_T_Loop14_TestCase3, unknown, 528)
(Undefined_Behavior_2_T_Loop14_TestCase2, unknown, 515)
(Undefined_Behavior_2_T_Loop14_TestCase9, unknown, 515)
(Undefined_Behavior_2_T_Loop14_TestCase8, unknown, 501)
(Undefined_Behavior_2_T_Loop14_TestCase10, unknown, 504)
(Undefined_Behavior_2_T_Loop25_TestCase1, unknown, 500)
(Undefined_Behavior_2_T_Loop25_TestCase3, unknown, 530)
(Undefined_Behavior_2_T_Loop25_TestCase2, unknown, 526)
(Undefined_Behavior_2_T_Loop25_TestCase6, unknown, 513)
(Undefined_Behavior_2_T_Loop25_TestCase7, unknown, 541)
(Undefined_Behavior_2_T_Loop25_TestCase5, unknown, 417)
(Undefined_Behavior_2_T_Loop25_TestCase4, unknown, 519)</t>
  </si>
  <si>
    <t>(Undefined_Behavior_2_T_Loop0_TestCase4, unknown, 531)
(Undefined_Behavior_2_T_Loop0_TestCase5, unknown, 530)
(Undefined_Behavior_2_T_Loop0_TestCase7, unknown, 523)
(Undefined_Behavior_2_T_Loop0_TestCase6, unknown, 518)
(Undefined_Behavior_2_T_Loop0_TestCase2, unknown, 521)
(Undefined_Behavior_2_T_Loop0_TestCase3, unknown, 533)
(Undefined_Behavior_2_T_Loop0_TestCase1, unknown, 524)
(Undefined_Behavior_2_T_Loop0_TestCase8, unknown, 533)
(Undefined_Behavior_2_T_Loop0_TestCase9, unknown, 533)
(Undefined_Behavior_2_T_Loop0_TestCase10, unknown, 479)</t>
  </si>
  <si>
    <t>(Undefined_Behavior_2_T_Loop14_TestCase0, unknown, 444)
(Undefined_Behavior_2_T_Loop25_TestCase0, unknown, 503)</t>
  </si>
  <si>
    <t>(Undefined_Behavior_2_T_Loop0_TestCase0, unknown, 462)</t>
  </si>
  <si>
    <t>(Undefined_Behavior_2_Loop13_TestCase10, unknown, 534)
(Undefined_Behavior_2_Loop24_TestCase9, unknown, 518)
(Undefined_Behavior_2_Loop24_TestCase8, unknown, 542)
(Undefined_Behavior_2_Loop13_TestCase9, unknown, 533)
(Undefined_Behavior_2_Loop13_TestCase8, unknown, 457)
(Undefined_Behavior_2_Loop13_TestCase3, unknown, 556)
(Undefined_Behavior_2_Loop13_TestCase2, unknown, 523)
(Undefined_Behavior_2_Loop24_TestCase10, unknown, 544)
(Undefined_Behavior_2_Loop13_TestCase1, unknown, 518)
(Undefined_Behavior_2_Loop13_TestCase5, unknown, 538)
(Undefined_Behavior_2_Loop13_TestCase4, unknown, 531)
(Undefined_Behavior_2_Loop13_TestCase6, unknown, 544)
(Undefined_Behavior_2_Loop13_TestCase7, unknown, 543)
(Undefined_Behavior_2_Loop24_TestCase6, unknown, 521)
(Undefined_Behavior_2_Loop24_TestCase7, unknown, 522)
(Undefined_Behavior_2_Loop24_TestCase5, unknown, 516)
(Undefined_Behavior_2_Loop24_TestCase4, unknown, 521)
(Undefined_Behavior_2_Loop24_TestCase1, unknown, 518)
(Undefined_Behavior_2_Loop24_TestCase3, unknown, 545)
(Undefined_Behavior_2_Loop24_TestCase2, unknown, 530)</t>
  </si>
  <si>
    <t>(Undefined_Behavior_2_Loop0_TestCase7, unknown, 557)
(Undefined_Behavior_2_Loop0_TestCase10, unknown, 519)
(Undefined_Behavior_2_Loop0_TestCase6, unknown, 544)
(Undefined_Behavior_2_Loop0_TestCase4, unknown, 549)
(Undefined_Behavior_2_Loop0_TestCase5, unknown, 539)
(Undefined_Behavior_2_Loop0_TestCase1, unknown, 471)
(Undefined_Behavior_2_Loop0_TestCase2, unknown, 532)
(Undefined_Behavior_2_Loop0_TestCase3, unknown, 556)
(Undefined_Behavior_2_Loop0_TestCase8, unknown, 542)
(Undefined_Behavior_2_Loop0_TestCase9, unknown, 565)</t>
  </si>
  <si>
    <t>(Undefined_Behavior_2_Loop13_TestCase0, unknown, 442)
(Undefined_Behavior_2_Loop24_TestCase0, unknown, 552)</t>
  </si>
  <si>
    <t>(Undefined_Behavior_2_Loop0_TestCase0, unknown, 490)</t>
  </si>
  <si>
    <t>(Undefined_Behavior_1_T_Loop15_TestCase8, yes, 378)
(Undefined_Behavior_1_T_Loop15_TestCase9, yes, 360)
(Undefined_Behavior_1_T_Loop15_TestCase4, yes, 367)
(Undefined_Behavior_1_T_Loop15_TestCase10, yes, 281)
(Undefined_Behavior_1_T_Loop15_TestCase5, yes, 385)
(Undefined_Behavior_1_T_Loop15_TestCase7, yes, 351)
(Undefined_Behavior_1_T_Loop15_TestCase6, yes, 355)
(Undefined_Behavior_1_T_Loop15_TestCase2, yes, 361)
(Undefined_Behavior_1_T_Loop15_TestCase3, yes, 369)
(Undefined_Behavior_1_T_Loop15_TestCase1, yes, 356)</t>
  </si>
  <si>
    <t>(Undefined_Behavior_1_T_Loop0_TestCase9, yes, 430)
(Undefined_Behavior_1_T_Loop0_TestCase8, yes, 578)
(Undefined_Behavior_1_T_Loop0_TestCase1, yes, 385)
(Undefined_Behavior_1_T_Loop0_TestCase3, yes, 377)
(Undefined_Behavior_1_T_Loop0_TestCase2, yes, 399)
(Undefined_Behavior_1_T_Loop0_TestCase6, yes, 356)
(Undefined_Behavior_1_T_Loop0_TestCase7, yes, 435)
(Undefined_Behavior_1_T_Loop0_TestCase5, yes, 441)
(Undefined_Behavior_1_T_Loop0_TestCase10, yes, 437)
(Undefined_Behavior_1_T_Loop0_TestCase4, yes, 408)</t>
  </si>
  <si>
    <t>(Undefined_Behavior_1_T_Loop15_TestCase0, yes, 290)</t>
  </si>
  <si>
    <t>(Undefined_Behavior_1_T_Loop0_TestCase0, yes, 361)</t>
  </si>
  <si>
    <t>(Undefined_Behavior_1_Loop14_TestCase3, yes, 306)
(Undefined_Behavior_1_Loop14_TestCase2, yes, 400)
(Undefined_Behavior_1_Loop14_TestCase1, yes, 356)
(Undefined_Behavior_1_Loop14_TestCase5, yes, 382)
(Undefined_Behavior_1_Loop14_TestCase4, yes, 363)
(Undefined_Behavior_1_Loop14_TestCase6, yes, 381)
(Undefined_Behavior_1_Loop14_TestCase7, yes, 401)
(Undefined_Behavior_1_Loop14_TestCase10, yes, 403)
(Undefined_Behavior_1_Loop14_TestCase9, yes, 364)
(Undefined_Behavior_1_Loop14_TestCase8, yes, 397)</t>
  </si>
  <si>
    <t>(Undefined_Behavior_1_Loop0_TestCase5, yes, 378)
(Undefined_Behavior_1_Loop0_TestCase4, yes, 374)
(Undefined_Behavior_1_Loop0_TestCase6, yes, 394)
(Undefined_Behavior_1_Loop0_TestCase7, yes, 420)
(Undefined_Behavior_1_Loop0_TestCase3, yes, 386)
(Undefined_Behavior_1_Loop0_TestCase2, yes, 365)
(Undefined_Behavior_1_Loop0_TestCase1, yes, 347)
(Undefined_Behavior_1_Loop0_TestCase9, yes, 405)
(Undefined_Behavior_1_Loop0_TestCase8, yes, 371)
(Undefined_Behavior_1_Loop0_TestCase10, yes, 393)</t>
  </si>
  <si>
    <t>(Undefined_Behavior_1_Loop14_TestCase0, yes, 286)</t>
  </si>
  <si>
    <t>(Undefined_Behavior_1_Loop0_TestCase0, yes, 356)</t>
  </si>
  <si>
    <t>(Type_Conversion_in_Comparison_2_T_Loop16_TestCase8, unknown, 379)
(Type_Conversion_in_Comparison_2_T_Loop16_TestCase9, unknown, 378)
(Type_Conversion_in_Comparison_2_T_Loop16_TestCase10, unknown, 374)
(Type_Conversion_in_Comparison_2_T_Loop16_TestCase7, yes, 323)
(Type_Conversion_in_Comparison_2_T_Loop16_TestCase6, yes, 357)
(Type_Conversion_in_Comparison_2_T_Loop16_TestCase4, unknown, 303)
(Type_Conversion_in_Comparison_2_T_Loop16_TestCase5, unknown, 381)
(Type_Conversion_in_Comparison_2_T_Loop16_TestCase1, yes, 358)
(Type_Conversion_in_Comparison_2_T_Loop16_TestCase2, unknown, 372)
(Type_Conversion_in_Comparison_2_T_Loop16_TestCase3, unknown, 357)</t>
  </si>
  <si>
    <t>(Type_Conversion_in_Comparison_2_T_Loop0_TestCase9, unknown, 373)
(Type_Conversion_in_Comparison_2_T_Loop0_TestCase8, unknown, 364)
(Type_Conversion_in_Comparison_2_T_Loop0_TestCase10, unknown, 378)
(Type_Conversion_in_Comparison_2_T_Loop0_TestCase1, yes, 370)
(Type_Conversion_in_Comparison_2_T_Loop0_TestCase3, unknown, 370)
(Type_Conversion_in_Comparison_2_T_Loop0_TestCase2, unknown, 387)
(Type_Conversion_in_Comparison_2_T_Loop0_TestCase6, yes, 292)
(Type_Conversion_in_Comparison_2_T_Loop0_TestCase7, yes, 354)
(Type_Conversion_in_Comparison_2_T_Loop0_TestCase5, unknown, 398)
(Type_Conversion_in_Comparison_2_T_Loop0_TestCase4, unknown, 395)</t>
  </si>
  <si>
    <t>(Type_Conversion_in_Comparison_2_T_Loop16_TestCase0, unknown, 295)</t>
  </si>
  <si>
    <t>(Type_Conversion_in_Comparison_2_T_Loop0_TestCase0, unknown, 338)</t>
  </si>
  <si>
    <t>(Type_Conversion_in_Comparison_2_NT_Loop17_TestCase8, no, 327)
(Type_Conversion_in_Comparison_2_NT_Loop17_TestCase9, no, 354)
(Type_Conversion_in_Comparison_2_NT_Loop17_TestCase10, no, 269)
(Type_Conversion_in_Comparison_2_NT_Loop17_TestCase1, yes, 342)
(Type_Conversion_in_Comparison_2_NT_Loop17_TestCase2, unknown, 373)
(Type_Conversion_in_Comparison_2_NT_Loop17_TestCase3, unknown, 381)
(Type_Conversion_in_Comparison_2_NT_Loop17_TestCase7, no, 331)
(Type_Conversion_in_Comparison_2_NT_Loop17_TestCase6, no, 337)
(Type_Conversion_in_Comparison_2_NT_Loop17_TestCase4, unknown, 387)
(Type_Conversion_in_Comparison_2_NT_Loop17_TestCase5, unknown, 378)</t>
  </si>
  <si>
    <t>(Type_Conversion_in_Comparison_2_NT_Loop0_TestCase5, unknown, 377)
(Type_Conversion_in_Comparison_2_NT_Loop0_TestCase4, unknown, 403)
(Type_Conversion_in_Comparison_2_NT_Loop0_TestCase6, no, 338)
(Type_Conversion_in_Comparison_2_NT_Loop0_TestCase7, no, 344)
(Type_Conversion_in_Comparison_2_NT_Loop0_TestCase3, unknown, 413)
(Type_Conversion_in_Comparison_2_NT_Loop0_TestCase2, unknown, 383)
(Type_Conversion_in_Comparison_2_NT_Loop0_TestCase1, yes, 339)
(Type_Conversion_in_Comparison_2_NT_Loop0_TestCase10, no, 341)
(Type_Conversion_in_Comparison_2_NT_Loop0_TestCase9, no, 331)
(Type_Conversion_in_Comparison_2_NT_Loop0_TestCase8, no, 348)</t>
  </si>
  <si>
    <t>(Type_Conversion_in_Comparison_2_NT_Loop17_TestCase0, unknown, 314)</t>
  </si>
  <si>
    <t>(Type_Conversion_in_Comparison_2_NT_Loop0_TestCase0, unknown, 335)</t>
  </si>
  <si>
    <t>(Type_Conversion_in_Comparison_1_T_Loop18_TestCase8, yes, 395)
(Type_Conversion_in_Comparison_1_T_Loop18_TestCase9, yes, 370)
(Type_Conversion_in_Comparison_1_T_Loop18_TestCase7, yes, 384)
(Type_Conversion_in_Comparison_1_T_Loop18_TestCase6, yes, 372)
(Type_Conversion_in_Comparison_1_T_Loop18_TestCase4, yes, 312)
(Type_Conversion_in_Comparison_1_T_Loop18_TestCase5, yes, 385)
(Type_Conversion_in_Comparison_1_T_Loop18_TestCase1, yes, 359)
(Type_Conversion_in_Comparison_1_T_Loop18_TestCase2, yes, 381)
(Type_Conversion_in_Comparison_1_T_Loop18_TestCase3, yes, 360)
(Type_Conversion_in_Comparison_1_T_Loop18_TestCase10, yes, 359)</t>
  </si>
  <si>
    <t>(Type_Conversion_in_Comparison_1_T_Loop0_TestCase4, yes, 401)
(Type_Conversion_in_Comparison_1_T_Loop0_TestCase5, yes, 376)
(Type_Conversion_in_Comparison_1_T_Loop0_TestCase7, yes, 404)
(Type_Conversion_in_Comparison_1_T_Loop0_TestCase6, yes, 419)
(Type_Conversion_in_Comparison_1_T_Loop0_TestCase2, yes, 344)
(Type_Conversion_in_Comparison_1_T_Loop0_TestCase3, yes, 372)
(Type_Conversion_in_Comparison_1_T_Loop0_TestCase1, yes, 365)
(Type_Conversion_in_Comparison_1_T_Loop0_TestCase10, yes, 399)
(Type_Conversion_in_Comparison_1_T_Loop0_TestCase8, yes, 440)
(Type_Conversion_in_Comparison_1_T_Loop0_TestCase9, yes, 396)</t>
  </si>
  <si>
    <t>(Type_Conversion_in_Comparison_1_T_Loop18_TestCase0, yes, 303)</t>
  </si>
  <si>
    <t>(Type_Conversion_in_Comparison_1_T_Loop0_TestCase0, yes, 337)</t>
  </si>
  <si>
    <t>(Type_Conversion_in_Comparison_1_NT_Loop16_TestCase3, yes, 353)
(Type_Conversion_in_Comparison_1_NT_Loop16_TestCase2, yes, 354)
(Type_Conversion_in_Comparison_1_NT_Loop16_TestCase1, yes, 340)
(Type_Conversion_in_Comparison_1_NT_Loop16_TestCase5, yes, 364)
(Type_Conversion_in_Comparison_1_NT_Loop16_TestCase4, yes, 354)
(Type_Conversion_in_Comparison_1_NT_Loop16_TestCase6, no, 351)
(Type_Conversion_in_Comparison_1_NT_Loop16_TestCase7, no, 382)
(Type_Conversion_in_Comparison_1_NT_Loop16_TestCase9, no, 369)
(Type_Conversion_in_Comparison_1_NT_Loop16_TestCase8, no, 369)
(Type_Conversion_in_Comparison_1_NT_Loop16_TestCase10, no, 274)</t>
  </si>
  <si>
    <t>(Type_Conversion_in_Comparison_1_NT_Loop0_TestCase1, yes, 361)
(Type_Conversion_in_Comparison_1_NT_Loop0_TestCase3, yes, 362)
(Type_Conversion_in_Comparison_1_NT_Loop0_TestCase2, yes, 362)
(Type_Conversion_in_Comparison_1_NT_Loop0_TestCase6, no, 351)
(Type_Conversion_in_Comparison_1_NT_Loop0_TestCase10, no, 286)
(Type_Conversion_in_Comparison_1_NT_Loop0_TestCase7, no, 362)
(Type_Conversion_in_Comparison_1_NT_Loop0_TestCase5, yes, 371)
(Type_Conversion_in_Comparison_1_NT_Loop0_TestCase4, yes, 359)
(Type_Conversion_in_Comparison_1_NT_Loop0_TestCase9, no, 369)
(Type_Conversion_in_Comparison_1_NT_Loop0_TestCase8, no, 343)</t>
  </si>
  <si>
    <t>(Type_Conversion_in_Comparison_1_NT_Loop16_TestCase0, unknown, 310)</t>
  </si>
  <si>
    <t>(Type_Conversion_in_Comparison_1_NT_Loop0_TestCase0, unknown, 348)</t>
  </si>
  <si>
    <t>(Type_Conversion_in_Assignment_1_T_Loop26_TestCase6, error, 324)
(Type_Conversion_in_Assignment_1_T_Loop26_TestCase7, error, 353)
(Type_Conversion_in_Assignment_1_T_Loop26_TestCase5, error, 288)
(Type_Conversion_in_Assignment_1_T_Loop26_TestCase4, error, 348)
(Type_Conversion_in_Assignment_1_T_Loop26_TestCase1, error, 262)
(Type_Conversion_in_Assignment_1_T_Loop26_TestCase3, error, 369)
(Type_Conversion_in_Assignment_1_T_Loop26_TestCase2, error, 347)
(Type_Conversion_in_Assignment_1_T_Loop26_TestCase9, error, 343)
(Type_Conversion_in_Assignment_1_T_Loop26_TestCase8, error, 354)
(Type_Conversion_in_Assignment_1_T_Loop26_TestCase10, error, 309)</t>
  </si>
  <si>
    <t>(Type_Conversion_in_Assignment_1_T_Loop0_TestCase9, unknown, 464)
(Type_Conversion_in_Assignment_1_T_Loop0_TestCase8, unknown, 452)
(Type_Conversion_in_Assignment_1_T_Loop0_TestCase10, unknown, 420)
(Type_Conversion_in_Assignment_1_T_Loop0_TestCase1, yes, 394)
(Type_Conversion_in_Assignment_1_T_Loop0_TestCase3, yes, 412)
(Type_Conversion_in_Assignment_1_T_Loop0_TestCase2, yes, 389)
(Type_Conversion_in_Assignment_1_T_Loop0_TestCase6, unknown, 445)
(Type_Conversion_in_Assignment_1_T_Loop0_TestCase7, unknown, 387)
(Type_Conversion_in_Assignment_1_T_Loop0_TestCase5, yes, 424)
(Type_Conversion_in_Assignment_1_T_Loop0_TestCase4, yes, 435)</t>
  </si>
  <si>
    <t>(Type_Conversion_in_Assignment_1_T_Loop26_TestCase0, error, 249)</t>
  </si>
  <si>
    <t>(Type_Conversion_in_Assignment_1_T_Loop0_TestCase0, unknown, 432)</t>
  </si>
  <si>
    <t>(Type_Conversion_in_Assignment_1_NT_Loop27_TestCase10, error, 348)
(Type_Conversion_in_Assignment_1_NT_Loop27_TestCase7, error, 336)
(Type_Conversion_in_Assignment_1_NT_Loop27_TestCase6, error, 339)
(Type_Conversion_in_Assignment_1_NT_Loop27_TestCase4, error, 330)
(Type_Conversion_in_Assignment_1_NT_Loop27_TestCase5, error, 346)
(Type_Conversion_in_Assignment_1_NT_Loop27_TestCase1, error, 268)
(Type_Conversion_in_Assignment_1_NT_Loop27_TestCase2, error, 331)
(Type_Conversion_in_Assignment_1_NT_Loop27_TestCase3, error, 341)
(Type_Conversion_in_Assignment_1_NT_Loop27_TestCase8, error, 317)
(Type_Conversion_in_Assignment_1_NT_Loop27_TestCase9, error, 325)</t>
  </si>
  <si>
    <t>(Type_Conversion_in_Assignment_1_NT_Loop0_TestCase9, unknown, 454)
(Type_Conversion_in_Assignment_1_NT_Loop0_TestCase8, unknown, 447)
(Type_Conversion_in_Assignment_1_NT_Loop0_TestCase10, unknown, 446)
(Type_Conversion_in_Assignment_1_NT_Loop0_TestCase5, unknown, 409)
(Type_Conversion_in_Assignment_1_NT_Loop0_TestCase4, unknown, 383)
(Type_Conversion_in_Assignment_1_NT_Loop0_TestCase6, unknown, 437)
(Type_Conversion_in_Assignment_1_NT_Loop0_TestCase7, unknown, 450)
(Type_Conversion_in_Assignment_1_NT_Loop0_TestCase3, unknown, 393)
(Type_Conversion_in_Assignment_1_NT_Loop0_TestCase2, unknown, 403)
(Type_Conversion_in_Assignment_1_NT_Loop0_TestCase1, unknown, 430)</t>
  </si>
  <si>
    <t>(Type_Conversion_in_Assignment_1_NT_Loop27_TestCase0, error, 259)</t>
  </si>
  <si>
    <t>(Type_Conversion_in_Assignment_1_NT_Loop0_TestCase0, unknown, 427)</t>
  </si>
  <si>
    <t>(Signed_Overflow_Error_3_T_Loop14_TestCase9, yes, 382)
(Signed_Overflow_Error_3_T_Loop14_TestCase8, yes, 371)
(Signed_Overflow_Error_3_T_Loop14_TestCase10, yes, 392)
(Signed_Overflow_Error_3_T_Loop14_TestCase1, error, 328)
(Signed_Overflow_Error_3_T_Loop14_TestCase3, yes, 256)
(Signed_Overflow_Error_3_T_Loop14_TestCase2, yes, 345)
(Signed_Overflow_Error_3_T_Loop14_TestCase6, yes, 355)
(Signed_Overflow_Error_3_T_Loop14_TestCase7, yes, 376)
(Signed_Overflow_Error_3_T_Loop14_TestCase5, yes, 382)
(Signed_Overflow_Error_3_T_Loop14_TestCase4, yes, 364)</t>
  </si>
  <si>
    <t>(Signed_Overflow_Error_3_T_Loop0_TestCase10, yes, 453)
(Signed_Overflow_Error_3_T_Loop0_TestCase8, yes, 436)
(Signed_Overflow_Error_3_T_Loop0_TestCase9, yes, 431)
(Signed_Overflow_Error_3_T_Loop0_TestCase4, yes, 429)
(Signed_Overflow_Error_3_T_Loop0_TestCase5, yes, 431)
(Signed_Overflow_Error_3_T_Loop0_TestCase7, yes, 393)
(Signed_Overflow_Error_3_T_Loop0_TestCase6, yes, 399)
(Signed_Overflow_Error_3_T_Loop0_TestCase2, yes, 364)
(Signed_Overflow_Error_3_T_Loop0_TestCase3, yes, 372)
(Signed_Overflow_Error_3_T_Loop0_TestCase1, error, 335)</t>
  </si>
  <si>
    <t>(Signed_Overflow_Error_3_T_Loop14_TestCase0, yes, 291)</t>
  </si>
  <si>
    <t>(Signed_Overflow_Error_3_T_Loop0_TestCase0, yes, 334)</t>
  </si>
  <si>
    <t>(Signed_Overflow_Error_3_NT_Loop15_TestCase8, unknown, 456)
(Signed_Overflow_Error_3_NT_Loop15_TestCase9, unknown, 392)
(Signed_Overflow_Error_3_NT_Loop15_TestCase7, unknown, 390)
(Signed_Overflow_Error_3_NT_Loop15_TestCase6, no, 351)
(Signed_Overflow_Error_3_NT_Loop15_TestCase4, unknown, 420)
(Signed_Overflow_Error_3_NT_Loop15_TestCase5, unknown, 372)
(Signed_Overflow_Error_3_NT_Loop15_TestCase1, error, 348)
(Signed_Overflow_Error_3_NT_Loop15_TestCase2, unknown, 361)
(Signed_Overflow_Error_3_NT_Loop15_TestCase3, unknown, 355)
(Signed_Overflow_Error_3_NT_Loop15_TestCase10, unknown, 430)</t>
  </si>
  <si>
    <t>(Signed_Overflow_Error_3_NT_Loop0_TestCase9, unknown, 589)
(Signed_Overflow_Error_3_NT_Loop0_TestCase8, unknown, 543)
(Signed_Overflow_Error_3_NT_Loop0_TestCase1, error, 323)
(Signed_Overflow_Error_3_NT_Loop0_TestCase3, unknown, 525)
(Signed_Overflow_Error_3_NT_Loop0_TestCase2, unknown, 522)
(Signed_Overflow_Error_3_NT_Loop0_TestCase6, no, 395)
(Signed_Overflow_Error_3_NT_Loop0_TestCase7, unknown, 588)
(Signed_Overflow_Error_3_NT_Loop0_TestCase5, unknown, 574)
(Signed_Overflow_Error_3_NT_Loop0_TestCase4, unknown, 532)
(Signed_Overflow_Error_3_NT_Loop0_TestCase10, unknown, 548)</t>
  </si>
  <si>
    <t>(Signed_Overflow_Error_3_NT_Loop15_TestCase0, unknown, 357)</t>
  </si>
  <si>
    <t>(Signed_Overflow_Error_3_NT_Loop0_TestCase0, unknown, 574)</t>
  </si>
  <si>
    <t>(Signed_Overflow_Error_2_T_Loop14_TestCase8, unknown, 395)
(Signed_Overflow_Error_2_T_Loop14_TestCase9, unknown, 384)
(Signed_Overflow_Error_2_T_Loop14_TestCase4, unknown, 331)
(Signed_Overflow_Error_2_T_Loop14_TestCase5, unknown, 391)
(Signed_Overflow_Error_2_T_Loop14_TestCase7, unknown, 414)
(Signed_Overflow_Error_2_T_Loop14_TestCase10, unknown, 385)
(Signed_Overflow_Error_2_T_Loop14_TestCase6, unknown, 388)
(Signed_Overflow_Error_2_T_Loop14_TestCase2, unknown, 458)
(Signed_Overflow_Error_2_T_Loop14_TestCase3, unknown, 447)
(Signed_Overflow_Error_2_T_Loop14_TestCase1, unknown, 385)</t>
  </si>
  <si>
    <t>(Signed_Overflow_Error_2_T_Loop0_TestCase7, unknown, 357)
(Signed_Overflow_Error_2_T_Loop0_TestCase6, unknown, 420)
(Signed_Overflow_Error_2_T_Loop0_TestCase4, unknown, 449)
(Signed_Overflow_Error_2_T_Loop0_TestCase5, unknown, 383)
(Signed_Overflow_Error_2_T_Loop0_TestCase1, unknown, 421)
(Signed_Overflow_Error_2_T_Loop0_TestCase2, unknown, 403)
(Signed_Overflow_Error_2_T_Loop0_TestCase3, unknown, 479)
(Signed_Overflow_Error_2_T_Loop0_TestCase10, unknown, 435)
(Signed_Overflow_Error_2_T_Loop0_TestCase8, unknown, 404)
(Signed_Overflow_Error_2_T_Loop0_TestCase9, unknown, 396)</t>
  </si>
  <si>
    <t>(Signed_Overflow_Error_2_T_Loop14_TestCase0, unknown, 332)</t>
  </si>
  <si>
    <t>(Signed_Overflow_Error_2_T_Loop0_TestCase0, unknown, 344)</t>
  </si>
  <si>
    <t>(Signed_Overflow_Error_2_NT_Loop15_TestCase3, unknown, 353)
(Signed_Overflow_Error_2_NT_Loop15_TestCase2, unknown, 446)
(Signed_Overflow_Error_2_NT_Loop15_TestCase1, unknown, 377)
(Signed_Overflow_Error_2_NT_Loop15_TestCase5, unknown, 374)
(Signed_Overflow_Error_2_NT_Loop15_TestCase4, unknown, 370)
(Signed_Overflow_Error_2_NT_Loop15_TestCase6, no, 360)
(Signed_Overflow_Error_2_NT_Loop15_TestCase7, unknown, 349)
(Signed_Overflow_Error_2_NT_Loop15_TestCase10, unknown, 376)
(Signed_Overflow_Error_2_NT_Loop15_TestCase9, unknown, 299)
(Signed_Overflow_Error_2_NT_Loop15_TestCase8, unknown, 346)</t>
  </si>
  <si>
    <t>(Signed_Overflow_Error_2_NT_Loop0_TestCase8, unknown, 389)
(Signed_Overflow_Error_2_NT_Loop0_TestCase9, unknown, 371)
(Signed_Overflow_Error_2_NT_Loop0_TestCase10, unknown, 430)
(Signed_Overflow_Error_2_NT_Loop0_TestCase4, unknown, 388)
(Signed_Overflow_Error_2_NT_Loop0_TestCase5, unknown, 359)
(Signed_Overflow_Error_2_NT_Loop0_TestCase7, unknown, 457)
(Signed_Overflow_Error_2_NT_Loop0_TestCase6, no, 361)
(Signed_Overflow_Error_2_NT_Loop0_TestCase2, unknown, 361)
(Signed_Overflow_Error_2_NT_Loop0_TestCase3, unknown, 410)
(Signed_Overflow_Error_2_NT_Loop0_TestCase1, unknown, 421)</t>
  </si>
  <si>
    <t>(Signed_Overflow_Error_2_NT_Loop15_TestCase0, unknown, 313)</t>
  </si>
  <si>
    <t>(Signed_Overflow_Error_2_NT_Loop0_TestCase0, unknown, 326)</t>
  </si>
  <si>
    <t>(Signed_Overflow_Error_1_T_Loop14_TestCase0, unknown, 503)</t>
  </si>
  <si>
    <t>(Signed_Overflow_Error_1_T_Loop0_TestCase0, unknown, 455)</t>
  </si>
  <si>
    <t>(Signed_Overflow_Error_1_T_Loop14_TestCase0, unknown, 502)</t>
  </si>
  <si>
    <t>(Signed_Overflow_Error_1_T_Loop0_TestCase0, unknown, 431)</t>
  </si>
  <si>
    <t>(Signed_Overflow_Error_1_NT_Loop13_TestCase0, unknown, 412)</t>
  </si>
  <si>
    <t>(Signed_Overflow_Error_1_NT_Loop0_TestCase0, unknown, 359)</t>
  </si>
  <si>
    <t>(Signed_Overflow_Error_1_NT_Loop13_TestCase0, unknown, 403)</t>
  </si>
  <si>
    <t>(Signed_Overflow_Error_1_NT_Loop0_TestCase0, unknown, 361)</t>
  </si>
  <si>
    <t>(Reusing_Same_Loop_Iterator_2_T_Loop20_TestCase10, yes, 390)
(Reusing_Same_Loop_Iterator_2_T_Loop20_TestCase1, yes, 369)
(Reusing_Same_Loop_Iterator_2_T_Loop20_TestCase3, yes, 360)
(Reusing_Same_Loop_Iterator_2_T_Loop20_TestCase2, yes, 342)
(Reusing_Same_Loop_Iterator_2_T_Loop20_TestCase6, yes, 371)
(Reusing_Same_Loop_Iterator_2_T_Loop20_TestCase7, yes, 383)
(Reusing_Same_Loop_Iterator_2_T_Loop20_TestCase5, yes, 349)
(Reusing_Same_Loop_Iterator_2_T_Loop20_TestCase4, yes, 329)
(Reusing_Same_Loop_Iterator_2_T_Loop17_TestCase5, yes, 294)
(Reusing_Same_Loop_Iterator_2_T_Loop17_TestCase4, yes, 353)
(Reusing_Same_Loop_Iterator_2_T_Loop17_TestCase6, yes, 395)
(Reusing_Same_Loop_Iterator_2_T_Loop17_TestCase7, yes, 382)
(Reusing_Same_Loop_Iterator_2_T_Loop17_TestCase3, yes, 351)
(Reusing_Same_Loop_Iterator_2_T_Loop17_TestCase2, yes, 374)
(Reusing_Same_Loop_Iterator_2_T_Loop17_TestCase1, yes, 372)
(Reusing_Same_Loop_Iterator_2_T_Loop17_TestCase9, yes, 397)
(Reusing_Same_Loop_Iterator_2_T_Loop17_TestCase8, yes, 368)
(Reusing_Same_Loop_Iterator_2_T_Loop17_TestCase10, yes, 374)
(Reusing_Same_Loop_Iterator_2_T_Loop20_TestCase9, yes, 388)
(Reusing_Same_Loop_Iterator_2_T_Loop20_TestCase8, yes, 401)</t>
  </si>
  <si>
    <t>(Reusing_Same_Loop_Iterator_2_T_Loop0_TestCase3, yes, 369)
(Reusing_Same_Loop_Iterator_2_T_Loop0_TestCase2, yes, 369)
(Reusing_Same_Loop_Iterator_2_T_Loop0_TestCase1, yes, 372)
(Reusing_Same_Loop_Iterator_2_T_Loop0_TestCase5, yes, 369)
(Reusing_Same_Loop_Iterator_2_T_Loop0_TestCase4, yes, 327)
(Reusing_Same_Loop_Iterator_2_T_Loop0_TestCase6, yes, 404)
(Reusing_Same_Loop_Iterator_2_T_Loop0_TestCase7, yes, 431)
(Reusing_Same_Loop_Iterator_2_T_Loop0_TestCase9, yes, 410)
(Reusing_Same_Loop_Iterator_2_T_Loop0_TestCase8, yes, 418)
(Reusing_Same_Loop_Iterator_2_T_Loop0_TestCase10, yes, 346)</t>
  </si>
  <si>
    <t>(Reusing_Same_Loop_Iterator_2_T_Loop20_TestCase0, yes, 419)
(Reusing_Same_Loop_Iterator_2_T_Loop17_TestCase0, yes, 378)</t>
  </si>
  <si>
    <t>(Reusing_Same_Loop_Iterator_2_T_Loop0_TestCase0, yes, 383)</t>
  </si>
  <si>
    <t>(Reusing_Same_Loop_Iterator_2_NT_Loop16_TestCase1, yes, 350)
(Reusing_Same_Loop_Iterator_2_NT_Loop16_TestCase3, yes, 361)
(Reusing_Same_Loop_Iterator_2_NT_Loop16_TestCase2, yes, 360)
(Reusing_Same_Loop_Iterator_2_NT_Loop16_TestCase6, no, 396)
(Reusing_Same_Loop_Iterator_2_NT_Loop16_TestCase7, no, 399)
(Reusing_Same_Loop_Iterator_2_NT_Loop16_TestCase5, yes, 320)
(Reusing_Same_Loop_Iterator_2_NT_Loop16_TestCase4, yes, 307)
(Reusing_Same_Loop_Iterator_2_NT_Loop18_TestCase5, yes, 376)
(Reusing_Same_Loop_Iterator_2_NT_Loop18_TestCase4, yes, 334)
(Reusing_Same_Loop_Iterator_2_NT_Loop18_TestCase6, no, 420)
(Reusing_Same_Loop_Iterator_2_NT_Loop18_TestCase7, no, 371)
(Reusing_Same_Loop_Iterator_2_NT_Loop16_TestCase10, no, 378)
(Reusing_Same_Loop_Iterator_2_NT_Loop18_TestCase3, yes, 354)
(Reusing_Same_Loop_Iterator_2_NT_Loop18_TestCase2, yes, 365)
(Reusing_Same_Loop_Iterator_2_NT_Loop18_TestCase10, no, 384)
(Reusing_Same_Loop_Iterator_2_NT_Loop18_TestCase1, yes, 357)
(Reusing_Same_Loop_Iterator_2_NT_Loop18_TestCase9, no, 378)
(Reusing_Same_Loop_Iterator_2_NT_Loop18_TestCase8, no, 386)
(Reusing_Same_Loop_Iterator_2_NT_Loop16_TestCase9, no, 387)
(Reusing_Same_Loop_Iterator_2_NT_Loop16_TestCase8, no, 373)</t>
  </si>
  <si>
    <t>(Reusing_Same_Loop_Iterator_2_NT_Loop0_TestCase1, yes, 659)
(Reusing_Same_Loop_Iterator_2_NT_Loop0_TestCase3, yes, 306)
(Reusing_Same_Loop_Iterator_2_NT_Loop0_TestCase2, yes, 385)
(Reusing_Same_Loop_Iterator_2_NT_Loop0_TestCase6, no, 403)
(Reusing_Same_Loop_Iterator_2_NT_Loop0_TestCase7, no, 353)
(Reusing_Same_Loop_Iterator_2_NT_Loop0_TestCase5, yes, 426)
(Reusing_Same_Loop_Iterator_2_NT_Loop0_TestCase10, no, 388)
(Reusing_Same_Loop_Iterator_2_NT_Loop0_TestCase4, yes, 349)
(Reusing_Same_Loop_Iterator_2_NT_Loop0_TestCase9, no, 389)
(Reusing_Same_Loop_Iterator_2_NT_Loop0_TestCase8, no, 411)</t>
  </si>
  <si>
    <t>(Reusing_Same_Loop_Iterator_2_NT_Loop16_TestCase0, unknown, 330)
(Reusing_Same_Loop_Iterator_2_NT_Loop18_TestCase0, unknown, 403)</t>
  </si>
  <si>
    <t>(Reusing_Same_Loop_Iterator_2_NT_Loop0_TestCase0, unknown, 348)</t>
  </si>
  <si>
    <t>(Reusing_Same_Loop_Iterator_1_T_Loop19_TestCase5, yes, 463)
(Reusing_Same_Loop_Iterator_1_T_Loop19_TestCase4, yes, 342)
(Reusing_Same_Loop_Iterator_1_T_Loop19_TestCase6, yes, 412)
(Reusing_Same_Loop_Iterator_1_T_Loop19_TestCase7, yes, 439)
(Reusing_Same_Loop_Iterator_1_T_Loop19_TestCase3, yes, 363)
(Reusing_Same_Loop_Iterator_1_T_Loop19_TestCase2, yes, 445)
(Reusing_Same_Loop_Iterator_1_T_Loop19_TestCase1, yes, 312)
(Reusing_Same_Loop_Iterator_1_T_Loop17_TestCase1, yes, 379)
(Reusing_Same_Loop_Iterator_1_T_Loop17_TestCase3, yes, 343)
(Reusing_Same_Loop_Iterator_1_T_Loop17_TestCase2, yes, 388)
(Reusing_Same_Loop_Iterator_1_T_Loop17_TestCase6, yes, 381)
(Reusing_Same_Loop_Iterator_1_T_Loop17_TestCase7, yes, 353)
(Reusing_Same_Loop_Iterator_1_T_Loop17_TestCase5, yes, 401)
(Reusing_Same_Loop_Iterator_1_T_Loop17_TestCase4, yes, 351)
(Reusing_Same_Loop_Iterator_1_T_Loop17_TestCase9, yes, 377)
(Reusing_Same_Loop_Iterator_1_T_Loop17_TestCase8, yes, 384)
(Reusing_Same_Loop_Iterator_1_T_Loop17_TestCase10, yes, 388)
(Reusing_Same_Loop_Iterator_1_T_Loop19_TestCase10, yes, 428)
(Reusing_Same_Loop_Iterator_1_T_Loop19_TestCase9, yes, 441)
(Reusing_Same_Loop_Iterator_1_T_Loop19_TestCase8, yes, 418)</t>
  </si>
  <si>
    <t>(Reusing_Same_Loop_Iterator_1_T_Loop0_TestCase8, yes, 455)
(Reusing_Same_Loop_Iterator_1_T_Loop0_TestCase9, yes, 424)
(Reusing_Same_Loop_Iterator_1_T_Loop0_TestCase7, yes, 434)
(Reusing_Same_Loop_Iterator_1_T_Loop0_TestCase6, yes, 460)
(Reusing_Same_Loop_Iterator_1_T_Loop0_TestCase4, yes, 297)
(Reusing_Same_Loop_Iterator_1_T_Loop0_TestCase5, yes, 435)
(Reusing_Same_Loop_Iterator_1_T_Loop0_TestCase1, yes, 379)
(Reusing_Same_Loop_Iterator_1_T_Loop0_TestCase2, yes, 431)
(Reusing_Same_Loop_Iterator_1_T_Loop0_TestCase3, yes, 348)
(Reusing_Same_Loop_Iterator_1_T_Loop0_TestCase10, yes, 440)</t>
  </si>
  <si>
    <t>(Reusing_Same_Loop_Iterator_1_T_Loop19_TestCase0, yes, 460)
(Reusing_Same_Loop_Iterator_1_T_Loop17_TestCase0, yes, 316)</t>
  </si>
  <si>
    <t>(Reusing_Same_Loop_Iterator_1_T_Loop0_TestCase0, yes, 399)</t>
  </si>
  <si>
    <t>(Reusing_Same_Loop_Iterator_1_NT_Loop19_TestCase8, no, 383)
(Reusing_Same_Loop_Iterator_1_NT_Loop19_TestCase9, no, 313)
(Reusing_Same_Loop_Iterator_1_NT_Loop17_TestCase8, no, 364)
(Reusing_Same_Loop_Iterator_1_NT_Loop17_TestCase9, no, 371)
(Reusing_Same_Loop_Iterator_1_NT_Loop17_TestCase2, yes, 382)
(Reusing_Same_Loop_Iterator_1_NT_Loop17_TestCase3, yes, 329)
(Reusing_Same_Loop_Iterator_1_NT_Loop17_TestCase1, yes, 353)
(Reusing_Same_Loop_Iterator_1_NT_Loop17_TestCase4, yes, 245)
(Reusing_Same_Loop_Iterator_1_NT_Loop17_TestCase5, yes, 424)
(Reusing_Same_Loop_Iterator_1_NT_Loop17_TestCase7, no, 382)
(Reusing_Same_Loop_Iterator_1_NT_Loop17_TestCase6, no, 382)
(Reusing_Same_Loop_Iterator_1_NT_Loop19_TestCase7, no, 407)
(Reusing_Same_Loop_Iterator_1_NT_Loop19_TestCase6, no, 377)
(Reusing_Same_Loop_Iterator_1_NT_Loop19_TestCase4, yes, 325)
(Reusing_Same_Loop_Iterator_1_NT_Loop17_TestCase10, no, 405)
(Reusing_Same_Loop_Iterator_1_NT_Loop19_TestCase5, yes, 386)
(Reusing_Same_Loop_Iterator_1_NT_Loop19_TestCase1, yes, 342)
(Reusing_Same_Loop_Iterator_1_NT_Loop19_TestCase2, yes, 387)
(Reusing_Same_Loop_Iterator_1_NT_Loop19_TestCase10, no, 388)
(Reusing_Same_Loop_Iterator_1_NT_Loop19_TestCase3, yes, 347)</t>
  </si>
  <si>
    <t>(Reusing_Same_Loop_Iterator_1_NT_Loop0_TestCase10, no, 371)
(Reusing_Same_Loop_Iterator_1_NT_Loop0_TestCase5, yes, 424)
(Reusing_Same_Loop_Iterator_1_NT_Loop0_TestCase4, yes, 354)
(Reusing_Same_Loop_Iterator_1_NT_Loop0_TestCase6, no, 336)
(Reusing_Same_Loop_Iterator_1_NT_Loop0_TestCase7, no, 373)
(Reusing_Same_Loop_Iterator_1_NT_Loop0_TestCase3, yes, 334)
(Reusing_Same_Loop_Iterator_1_NT_Loop0_TestCase2, yes, 403)
(Reusing_Same_Loop_Iterator_1_NT_Loop0_TestCase1, yes, 411)
(Reusing_Same_Loop_Iterator_1_NT_Loop0_TestCase9, no, 348)
(Reusing_Same_Loop_Iterator_1_NT_Loop0_TestCase8, no, 398)</t>
  </si>
  <si>
    <t>(Reusing_Same_Loop_Iterator_1_NT_Loop17_TestCase0, unknown, 406)
(Reusing_Same_Loop_Iterator_1_NT_Loop19_TestCase0, unknown, 427)</t>
  </si>
  <si>
    <t>(Reusing_Same_Loop_Iterator_1_NT_Loop0_TestCase0, unknown, 391)</t>
  </si>
  <si>
    <t>(Misusing_Variable_Type_2_T_Loop23_TestCase10, yes, 653)
(Misusing_Variable_Type_2_T_Loop23_TestCase8, yes, 636)
(Misusing_Variable_Type_2_T_Loop23_TestCase9, yes, 641)
(Misusing_Variable_Type_2_T_Loop23_TestCase4, yes, 652)
(Misusing_Variable_Type_2_T_Loop23_TestCase5, yes, 638)
(Misusing_Variable_Type_2_T_Loop23_TestCase7, yes, 650)
(Misusing_Variable_Type_2_T_Loop23_TestCase6, yes, 655)
(Misusing_Variable_Type_2_T_Loop23_TestCase2, yes, 430)
(Misusing_Variable_Type_2_T_Loop23_TestCase3, yes, 510)
(Misusing_Variable_Type_2_T_Loop23_TestCase1, yes, 513)</t>
  </si>
  <si>
    <t>(Misusing_Variable_Type_2_T_Loop0_TestCase6, yes, 640)
(Misusing_Variable_Type_2_T_Loop0_TestCase7, yes, 645)
(Misusing_Variable_Type_2_T_Loop0_TestCase5, yes, 611)
(Misusing_Variable_Type_2_T_Loop0_TestCase4, yes, 619)
(Misusing_Variable_Type_2_T_Loop0_TestCase10, yes, 634)
(Misusing_Variable_Type_2_T_Loop0_TestCase1, yes, 515)
(Misusing_Variable_Type_2_T_Loop0_TestCase3, yes, 526)
(Misusing_Variable_Type_2_T_Loop0_TestCase2, yes, 493)
(Misusing_Variable_Type_2_T_Loop0_TestCase9, yes, 639)
(Misusing_Variable_Type_2_T_Loop0_TestCase8, yes, 635)</t>
  </si>
  <si>
    <t>(Misusing_Variable_Type_2_T_Loop23_TestCase0, yes, 657)</t>
  </si>
  <si>
    <t>(Misusing_Variable_Type_2_T_Loop0_TestCase0, yes, 658)</t>
  </si>
  <si>
    <t>(Misusing_Variable_Type_2_NT_Loop24_TestCase9, no, 345)
(Misusing_Variable_Type_2_NT_Loop24_TestCase8, no, 377)
(Misusing_Variable_Type_2_NT_Loop24_TestCase10, no, 293)
(Misusing_Variable_Type_2_NT_Loop24_TestCase5, yes, 359)
(Misusing_Variable_Type_2_NT_Loop24_TestCase4, yes, 390)
(Misusing_Variable_Type_2_NT_Loop24_TestCase6, no, 379)
(Misusing_Variable_Type_2_NT_Loop24_TestCase7, no, 361)
(Misusing_Variable_Type_2_NT_Loop24_TestCase3, yes, 377)
(Misusing_Variable_Type_2_NT_Loop24_TestCase2, yes, 375)
(Misusing_Variable_Type_2_NT_Loop24_TestCase1, yes, 355)</t>
  </si>
  <si>
    <t>(Misusing_Variable_Type_2_NT_Loop0_TestCase8, no, 343)
(Misusing_Variable_Type_2_NT_Loop0_TestCase9, no, 381)
(Misusing_Variable_Type_2_NT_Loop0_TestCase10, no, 321)
(Misusing_Variable_Type_2_NT_Loop0_TestCase1, yes, 373)
(Misusing_Variable_Type_2_NT_Loop0_TestCase2, yes, 366)
(Misusing_Variable_Type_2_NT_Loop0_TestCase3, yes, 379)
(Misusing_Variable_Type_2_NT_Loop0_TestCase7, no, 383)
(Misusing_Variable_Type_2_NT_Loop0_TestCase6, no, 363)
(Misusing_Variable_Type_2_NT_Loop0_TestCase4, yes, 386)
(Misusing_Variable_Type_2_NT_Loop0_TestCase5, yes, 380)</t>
  </si>
  <si>
    <t>(Misusing_Variable_Type_2_NT_Loop24_TestCase0, unknown, 419)</t>
  </si>
  <si>
    <t>(Misusing_Variable_Type_2_NT_Loop0_TestCase0, unknown, 451)</t>
  </si>
  <si>
    <t>(Misusing_Variable_Type_1_T_Loop16_TestCase0, yes, 399)
(Misusing_Variable_Type_1_T_Loop18_TestCase0, yes, 427)
(Misusing_Variable_Type_1_T_Loop14_TestCase0, yes, 350)</t>
  </si>
  <si>
    <t>(Misusing_Variable_Type_1_T_Loop0_TestCase0, yes, 438)</t>
  </si>
  <si>
    <t>(Misusing_Variable_Type_1_T_Loop16_TestCase0, yes, 395)
(Misusing_Variable_Type_1_T_Loop18_TestCase0, yes, 408)
(Misusing_Variable_Type_1_T_Loop14_TestCase0, yes, 352)</t>
  </si>
  <si>
    <t>(Misusing_Variable_Type_1_T_Loop0_TestCase0, yes, 423)</t>
  </si>
  <si>
    <t>(Misusing_Variable_Type_1_NT_Loop16_TestCase0, no, 342)
(Misusing_Variable_Type_1_NT_Loop18_TestCase0, no, 358)
(Misusing_Variable_Type_1_NT_Loop14_TestCase0, yes, 264)</t>
  </si>
  <si>
    <t>(Misusing_Variable_Type_1_NT_Loop0_TestCase0, no, 363)</t>
  </si>
  <si>
    <t>(Misusing_Variable_Type_1_NT_Loop16_TestCase0, no, 343)
(Misusing_Variable_Type_1_NT_Loop18_TestCase0, no, 354)
(Misusing_Variable_Type_1_NT_Loop14_TestCase0, yes, 268)</t>
  </si>
  <si>
    <t>(Misusing_Variable_Type_1_NT_Loop0_TestCase0, no, 364)</t>
  </si>
  <si>
    <t>(Missing_Iterator_Update_5_T_Loop22_TestCase3, yes, 398)
(Missing_Iterator_Update_5_T_Loop22_TestCase2, yes, 408)
(Missing_Iterator_Update_5_T_Loop22_TestCase1, yes, 382)
(Missing_Iterator_Update_5_T_Loop22_TestCase5, yes, 355)
(Missing_Iterator_Update_5_T_Loop22_TestCase4, yes, 412)
(Missing_Iterator_Update_5_T_Loop22_TestCase6, yes, 416)
(Missing_Iterator_Update_5_T_Loop22_TestCase10, yes, 411)
(Missing_Iterator_Update_5_T_Loop22_TestCase7, yes, 420)
(Missing_Iterator_Update_5_T_Loop17_TestCase8, yes, 404)
(Missing_Iterator_Update_5_T_Loop17_TestCase9, yes, 435)
(Missing_Iterator_Update_5_T_Loop17_TestCase4, yes, 423)
(Missing_Iterator_Update_5_T_Loop17_TestCase5, yes, 404)
(Missing_Iterator_Update_5_T_Loop17_TestCase7, yes, 409)
(Missing_Iterator_Update_5_T_Loop17_TestCase6, yes, 366)
(Missing_Iterator_Update_5_T_Loop17_TestCase2, yes, 593)
(Missing_Iterator_Update_5_T_Loop17_TestCase3, yes, 402)
(Missing_Iterator_Update_5_T_Loop17_TestCase1, yes, 359)
(Missing_Iterator_Update_5_T_Loop22_TestCase9, yes, 422)
(Missing_Iterator_Update_5_T_Loop22_TestCase8, yes, 418)
(Missing_Iterator_Update_5_T_Loop17_TestCase10, yes, 419)</t>
  </si>
  <si>
    <t>(Missing_Iterator_Update_5_T_Loop0_TestCase10, yes, 416)
(Missing_Iterator_Update_5_T_Loop0_TestCase1, yes, 342)
(Missing_Iterator_Update_5_T_Loop0_TestCase2, yes, 403)
(Missing_Iterator_Update_5_T_Loop0_TestCase3, yes, 390)
(Missing_Iterator_Update_5_T_Loop0_TestCase7, yes, 415)
(Missing_Iterator_Update_5_T_Loop0_TestCase6, yes, 395)
(Missing_Iterator_Update_5_T_Loop0_TestCase4, yes, 397)
(Missing_Iterator_Update_5_T_Loop0_TestCase5, yes, 406)
(Missing_Iterator_Update_5_T_Loop0_TestCase8, yes, 355)
(Missing_Iterator_Update_5_T_Loop0_TestCase9, yes, 415)</t>
  </si>
  <si>
    <t>(Missing_Iterator_Update_5_T_Loop22_TestCase0, yes, 366)
(Missing_Iterator_Update_5_T_Loop17_TestCase0, yes, 433)</t>
  </si>
  <si>
    <t>(Missing_Iterator_Update_5_T_Loop0_TestCase0, yes, 404)</t>
  </si>
  <si>
    <t>(Missing_Iterator_Update_5_NT_Loop18_TestCase4, unknown, 452)
(Missing_Iterator_Update_5_NT_Loop18_TestCase5, yes, 367)
(Missing_Iterator_Update_5_NT_Loop18_TestCase7, unknown, 432)
(Missing_Iterator_Update_5_NT_Loop18_TestCase6, unknown, 419)
(Missing_Iterator_Update_5_NT_Loop18_TestCase2, unknown, 434)
(Missing_Iterator_Update_5_NT_Loop23_TestCase9, unknown, 469)
(Missing_Iterator_Update_5_NT_Loop23_TestCase8, unknown, 424)
(Missing_Iterator_Update_5_NT_Loop18_TestCase3, yes, 402)
(Missing_Iterator_Update_5_NT_Loop18_TestCase1, yes, 351)
(Missing_Iterator_Update_5_NT_Loop18_TestCase10, unknown, 436)
(Missing_Iterator_Update_5_NT_Loop23_TestCase10, unknown, 466)
(Missing_Iterator_Update_5_NT_Loop23_TestCase6, unknown, 429)
(Missing_Iterator_Update_5_NT_Loop23_TestCase7, unknown, 403)
(Missing_Iterator_Update_5_NT_Loop23_TestCase5, yes, 591)
(Missing_Iterator_Update_5_NT_Loop23_TestCase4, unknown, 434)
(Missing_Iterator_Update_5_NT_Loop23_TestCase1, yes, 370)
(Missing_Iterator_Update_5_NT_Loop18_TestCase8, unknown, 432)
(Missing_Iterator_Update_5_NT_Loop23_TestCase3, yes, 383)
(Missing_Iterator_Update_5_NT_Loop23_TestCase2, unknown, 340)
(Missing_Iterator_Update_5_NT_Loop18_TestCase9, unknown, 434)</t>
  </si>
  <si>
    <t>(Missing_Iterator_Update_5_NT_Loop0_TestCase10, no, 401)
(Missing_Iterator_Update_5_NT_Loop0_TestCase8, no, 396)
(Missing_Iterator_Update_5_NT_Loop0_TestCase9, no, 405)
(Missing_Iterator_Update_5_NT_Loop0_TestCase1, yes, 363)
(Missing_Iterator_Update_5_NT_Loop0_TestCase2, yes, 409)
(Missing_Iterator_Update_5_NT_Loop0_TestCase3, yes, 403)
(Missing_Iterator_Update_5_NT_Loop0_TestCase7, no, 418)
(Missing_Iterator_Update_5_NT_Loop0_TestCase6, no, 402)
(Missing_Iterator_Update_5_NT_Loop0_TestCase4, yes, 355)
(Missing_Iterator_Update_5_NT_Loop0_TestCase5, yes, 401)</t>
  </si>
  <si>
    <t>(Missing_Iterator_Update_5_NT_Loop18_TestCase0, unknown, 452)
(Missing_Iterator_Update_5_NT_Loop23_TestCase0, unknown, 370)</t>
  </si>
  <si>
    <t>(Missing_Iterator_Update_5_NT_Loop0_TestCase0, unknown, 408)</t>
  </si>
  <si>
    <t>(Missing_Iterator_Update_4_T_Loop21_TestCase2, yes, 420)
(Missing_Iterator_Update_4_T_Loop21_TestCase3, yes, 303)
(Missing_Iterator_Update_4_T_Loop21_TestCase1, yes, 387)
(Missing_Iterator_Update_4_T_Loop21_TestCase4, yes, 337)
(Missing_Iterator_Update_4_T_Loop19_TestCase10, yes, 380)
(Missing_Iterator_Update_4_T_Loop21_TestCase5, yes, 331)
(Missing_Iterator_Update_4_T_Loop21_TestCase7, yes, 430)
(Missing_Iterator_Update_4_T_Loop19_TestCase9, yes, 369)
(Missing_Iterator_Update_4_T_Loop19_TestCase8, yes, 371)
(Missing_Iterator_Update_4_T_Loop21_TestCase6, yes, 437)
(Missing_Iterator_Update_4_T_Loop19_TestCase5, yes, 346)
(Missing_Iterator_Update_4_T_Loop19_TestCase4, yes, 330)
(Missing_Iterator_Update_4_T_Loop21_TestCase8, yes, 412)
(Missing_Iterator_Update_4_T_Loop19_TestCase6, yes, 379)
(Missing_Iterator_Update_4_T_Loop19_TestCase7, yes, 361)
(Missing_Iterator_Update_4_T_Loop21_TestCase9, yes, 470)
(Missing_Iterator_Update_4_T_Loop19_TestCase3, yes, 330)
(Missing_Iterator_Update_4_T_Loop19_TestCase2, yes, 353)
(Missing_Iterator_Update_4_T_Loop19_TestCase1, yes, 353)
(Missing_Iterator_Update_4_T_Loop21_TestCase10, yes, 475)</t>
  </si>
  <si>
    <t>(Missing_Iterator_Update_4_T_Loop0_TestCase8, yes, 469)
(Missing_Iterator_Update_4_T_Loop0_TestCase9, yes, 463)
(Missing_Iterator_Update_4_T_Loop0_TestCase10, yes, 477)
(Missing_Iterator_Update_4_T_Loop0_TestCase2, yes, 420)
(Missing_Iterator_Update_4_T_Loop0_TestCase3, yes, 348)
(Missing_Iterator_Update_4_T_Loop0_TestCase1, yes, 406)
(Missing_Iterator_Update_4_T_Loop0_TestCase4, yes, 336)
(Missing_Iterator_Update_4_T_Loop0_TestCase5, yes, 334)
(Missing_Iterator_Update_4_T_Loop0_TestCase7, yes, 455)
(Missing_Iterator_Update_4_T_Loop0_TestCase6, yes, 462)</t>
  </si>
  <si>
    <t>(Missing_Iterator_Update_4_T_Loop21_TestCase0, yes, 439)
(Missing_Iterator_Update_4_T_Loop19_TestCase0, yes, 319)</t>
  </si>
  <si>
    <t>(Missing_Iterator_Update_4_T_Loop0_TestCase0, yes, 453)</t>
  </si>
  <si>
    <t>(Missing_Iterator_Update_4_NT_Loop19_TestCase10, no, 329)
(Missing_Iterator_Update_4_NT_Loop19_TestCase7, no, 340)
(Missing_Iterator_Update_4_NT_Loop21_TestCase9, no, 408)
(Missing_Iterator_Update_4_NT_Loop21_TestCase8, no, 379)
(Missing_Iterator_Update_4_NT_Loop19_TestCase6, no, 300)
(Missing_Iterator_Update_4_NT_Loop19_TestCase4, unknown, 343)
(Missing_Iterator_Update_4_NT_Loop19_TestCase5, unknown, 338)
(Missing_Iterator_Update_4_NT_Loop19_TestCase1, unknown, 1376)
(Missing_Iterator_Update_4_NT_Loop19_TestCase2, unknown, 351)
(Missing_Iterator_Update_4_NT_Loop19_TestCase3, unknown, 338)
(Missing_Iterator_Update_4_NT_Loop21_TestCase1, yes, 370)
(Missing_Iterator_Update_4_NT_Loop21_TestCase3, yes, 328)
(Missing_Iterator_Update_4_NT_Loop21_TestCase2, yes, 357)
(Missing_Iterator_Update_4_NT_Loop19_TestCase8, no, 371)
(Missing_Iterator_Update_4_NT_Loop21_TestCase6, no, 374)
(Missing_Iterator_Update_4_NT_Loop21_TestCase7, no, 386)
(Missing_Iterator_Update_4_NT_Loop19_TestCase9, no, 369)
(Missing_Iterator_Update_4_NT_Loop21_TestCase10, no, 410)
(Missing_Iterator_Update_4_NT_Loop21_TestCase5, yes, 366)
(Missing_Iterator_Update_4_NT_Loop21_TestCase4, yes, 342)</t>
  </si>
  <si>
    <t>(Missing_Iterator_Update_4_NT_Loop0_TestCase9, no, 433)
(Missing_Iterator_Update_4_NT_Loop0_TestCase8, no, 411)
(Missing_Iterator_Update_4_NT_Loop0_TestCase10, no, 449)
(Missing_Iterator_Update_4_NT_Loop0_TestCase5, yes, 353)
(Missing_Iterator_Update_4_NT_Loop0_TestCase4, yes, 349)
(Missing_Iterator_Update_4_NT_Loop0_TestCase6, no, 409)
(Missing_Iterator_Update_4_NT_Loop0_TestCase7, no, 353)
(Missing_Iterator_Update_4_NT_Loop0_TestCase3, yes, 351)
(Missing_Iterator_Update_4_NT_Loop0_TestCase2, yes, 397)
(Missing_Iterator_Update_4_NT_Loop0_TestCase1, yes, 385)</t>
  </si>
  <si>
    <t>(Missing_Iterator_Update_4_NT_Loop19_TestCase0, unknown, 260)
(Missing_Iterator_Update_4_NT_Loop21_TestCase0, unknown, 465)</t>
  </si>
  <si>
    <t>(Missing_Iterator_Update_4_NT_Loop0_TestCase0, unknown, 705)</t>
  </si>
  <si>
    <t>(Missing_Iterator_Update_3_T_Loop36_TestCase1, error, 332)
(Missing_Iterator_Update_3_T_Loop36_TestCase2, error, 344)
(Missing_Iterator_Update_3_T_Loop30_TestCase8, yes, 391)
(Missing_Iterator_Update_3_T_Loop30_TestCase9, yes, 398)
(Missing_Iterator_Update_3_T_Loop36_TestCase3, error, 320)
(Missing_Iterator_Update_3_T_Loop36_TestCase7, error, 345)
(Missing_Iterator_Update_3_T_Loop36_TestCase6, error, 341)
(Missing_Iterator_Update_3_T_Loop36_TestCase4, error, 271)
(Missing_Iterator_Update_3_T_Loop36_TestCase5, error, 328)
(Missing_Iterator_Update_3_T_Loop36_TestCase8, error, 335)
(Missing_Iterator_Update_3_T_Loop30_TestCase2, yes, 372)
(Missing_Iterator_Update_3_T_Loop30_TestCase3, yes, 373)
(Missing_Iterator_Update_3_T_Loop36_TestCase9, error, 316)
(Missing_Iterator_Update_3_T_Loop30_TestCase1, yes, 428)
(Missing_Iterator_Update_3_T_Loop30_TestCase4, yes, 388)
(Missing_Iterator_Update_3_T_Loop30_TestCase5, yes, 394)
(Missing_Iterator_Update_3_T_Loop30_TestCase7, yes, 376)
(Missing_Iterator_Update_3_T_Loop30_TestCase6, yes, 378)
(Missing_Iterator_Update_3_T_Loop30_TestCase10, yes, 391)
(Missing_Iterator_Update_3_T_Loop36_TestCase10, error, 346)</t>
  </si>
  <si>
    <t>(Missing_Iterator_Update_3_T_Loop0_TestCase5, error, 321)
(Missing_Iterator_Update_3_T_Loop0_TestCase4, error, 348)
(Missing_Iterator_Update_3_T_Loop0_TestCase6, error, 286)
(Missing_Iterator_Update_3_T_Loop0_TestCase7, error, 331)
(Missing_Iterator_Update_3_T_Loop0_TestCase3, error, 348)
(Missing_Iterator_Update_3_T_Loop0_TestCase2, error, 338)
(Missing_Iterator_Update_3_T_Loop0_TestCase1, error, 319)
(Missing_Iterator_Update_3_T_Loop0_TestCase10, error, 328)
(Missing_Iterator_Update_3_T_Loop0_TestCase9, error, 321)
(Missing_Iterator_Update_3_T_Loop0_TestCase8, error, 326)</t>
  </si>
  <si>
    <t>(Missing_Iterator_Update_3_T_Loop36_TestCase0, error, 262)
(Missing_Iterator_Update_3_T_Loop30_TestCase0, yes, 388)</t>
  </si>
  <si>
    <t>(Missing_Iterator_Update_3_T_Loop0_TestCase0, error, 301)</t>
  </si>
  <si>
    <t>(Missing_Iterator_Update_3_NT_Loop29_TestCase10, yes, 390)
(Missing_Iterator_Update_3_NT_Loop35_TestCase8, error, 336)
(Missing_Iterator_Update_3_NT_Loop35_TestCase9, error, 329)
(Missing_Iterator_Update_3_NT_Loop35_TestCase10, error, 311)
(Missing_Iterator_Update_3_NT_Loop29_TestCase4, yes, 377)
(Missing_Iterator_Update_3_NT_Loop29_TestCase5, yes, 362)
(Missing_Iterator_Update_3_NT_Loop29_TestCase7, yes, 403)
(Missing_Iterator_Update_3_NT_Loop29_TestCase6, yes, 395)
(Missing_Iterator_Update_3_NT_Loop29_TestCase2, yes, 393)
(Missing_Iterator_Update_3_NT_Loop29_TestCase3, yes, 365)
(Missing_Iterator_Update_3_NT_Loop29_TestCase1, yes, 396)
(Missing_Iterator_Update_3_NT_Loop29_TestCase8, yes, 397)
(Missing_Iterator_Update_3_NT_Loop29_TestCase9, yes, 378)
(Missing_Iterator_Update_3_NT_Loop35_TestCase7, error, 328)
(Missing_Iterator_Update_3_NT_Loop35_TestCase6, error, 254)
(Missing_Iterator_Update_3_NT_Loop35_TestCase4, error, 342)
(Missing_Iterator_Update_3_NT_Loop35_TestCase5, error, 325)
(Missing_Iterator_Update_3_NT_Loop35_TestCase1, error, 346)
(Missing_Iterator_Update_3_NT_Loop35_TestCase2, error, 330)
(Missing_Iterator_Update_3_NT_Loop35_TestCase3, error, 347)</t>
  </si>
  <si>
    <t>(Missing_Iterator_Update_3_NT_Loop0_TestCase9, error, 339)
(Missing_Iterator_Update_3_NT_Loop0_TestCase8, error, 353)
(Missing_Iterator_Update_3_NT_Loop0_TestCase6, error, 331)
(Missing_Iterator_Update_3_NT_Loop0_TestCase7, error, 345)
(Missing_Iterator_Update_3_NT_Loop0_TestCase5, error, 289)
(Missing_Iterator_Update_3_NT_Loop0_TestCase4, error, 348)
(Missing_Iterator_Update_3_NT_Loop0_TestCase10, error, 349)
(Missing_Iterator_Update_3_NT_Loop0_TestCase1, error, 334)
(Missing_Iterator_Update_3_NT_Loop0_TestCase3, error, 326)
(Missing_Iterator_Update_3_NT_Loop0_TestCase2, error, 341)</t>
  </si>
  <si>
    <t>(Missing_Iterator_Update_3_NT_Loop29_TestCase0, yes, 396)
(Missing_Iterator_Update_3_NT_Loop35_TestCase0, error, 263)</t>
  </si>
  <si>
    <t>(Missing_Iterator_Update_3_NT_Loop0_TestCase0, error, 274)</t>
  </si>
  <si>
    <t>(Missing_Iterator_Update_2_T_Loop28_TestCase10, unknown, 323)
(Missing_Iterator_Update_2_T_Loop28_TestCase4, yes, 374)
(Missing_Iterator_Update_2_T_Loop28_TestCase5, unknown, 398)
(Missing_Iterator_Update_2_T_Loop28_TestCase7, unknown, 395)
(Missing_Iterator_Update_2_T_Loop28_TestCase6, unknown, 405)
(Missing_Iterator_Update_2_T_Loop28_TestCase2, unknown, 393)
(Missing_Iterator_Update_2_T_Loop28_TestCase3, unknown, 400)
(Missing_Iterator_Update_2_T_Loop28_TestCase1, yes, 408)
(Missing_Iterator_Update_2_T_Loop28_TestCase8, unknown, 376)
(Missing_Iterator_Update_2_T_Loop28_TestCase9, unknown, 410)</t>
  </si>
  <si>
    <t>(Missing_Iterator_Update_2_T_Loop0_TestCase10, unknown, 452)
(Missing_Iterator_Update_2_T_Loop0_TestCase9, unknown, 452)
(Missing_Iterator_Update_2_T_Loop0_TestCase8, unknown, 439)
(Missing_Iterator_Update_2_T_Loop0_TestCase6, unknown, 382)
(Missing_Iterator_Update_2_T_Loop0_TestCase7, unknown, 439)
(Missing_Iterator_Update_2_T_Loop0_TestCase5, unknown, 445)
(Missing_Iterator_Update_2_T_Loop0_TestCase4, yes, 399)
(Missing_Iterator_Update_2_T_Loop0_TestCase1, yes, 393)
(Missing_Iterator_Update_2_T_Loop0_TestCase3, unknown, 451)
(Missing_Iterator_Update_2_T_Loop0_TestCase2, unknown, 429)</t>
  </si>
  <si>
    <t>(Missing_Iterator_Update_2_T_Loop28_TestCase0, unknown, 347)</t>
  </si>
  <si>
    <t>(Missing_Iterator_Update_2_T_Loop0_TestCase0, unknown, 355)</t>
  </si>
  <si>
    <t>(Missing_Iterator_Update_2_NT_Loop28_TestCase7, unknown, 402)
(Missing_Iterator_Update_2_NT_Loop28_TestCase6, unknown, 292)
(Missing_Iterator_Update_2_NT_Loop28_TestCase4, yes, 385)
(Missing_Iterator_Update_2_NT_Loop28_TestCase5, unknown, 384)
(Missing_Iterator_Update_2_NT_Loop28_TestCase1, yes, 395)
(Missing_Iterator_Update_2_NT_Loop28_TestCase2, unknown, 385)
(Missing_Iterator_Update_2_NT_Loop28_TestCase3, unknown, 379)
(Missing_Iterator_Update_2_NT_Loop28_TestCase10, unknown, 357)
(Missing_Iterator_Update_2_NT_Loop28_TestCase8, unknown, 393)
(Missing_Iterator_Update_2_NT_Loop28_TestCase9, unknown, 389)</t>
  </si>
  <si>
    <t>(Missing_Iterator_Update_2_NT_Loop0_TestCase8, unknown, 437)
(Missing_Iterator_Update_2_NT_Loop0_TestCase9, unknown, 432)
(Missing_Iterator_Update_2_NT_Loop0_TestCase10, unknown, 420)
(Missing_Iterator_Update_2_NT_Loop0_TestCase2, unknown, 401)
(Missing_Iterator_Update_2_NT_Loop0_TestCase3, unknown, 412)
(Missing_Iterator_Update_2_NT_Loop0_TestCase1, yes, 416)
(Missing_Iterator_Update_2_NT_Loop0_TestCase4, yes, 408)
(Missing_Iterator_Update_2_NT_Loop0_TestCase5, unknown, 447)
(Missing_Iterator_Update_2_NT_Loop0_TestCase7, unknown, 404)
(Missing_Iterator_Update_2_NT_Loop0_TestCase6, unknown, 439)</t>
  </si>
  <si>
    <t>(Missing_Iterator_Update_2_NT_Loop28_TestCase0, unknown, 358)</t>
  </si>
  <si>
    <t>(Missing_Iterator_Update_2_NT_Loop0_TestCase0, unknown, 338)</t>
  </si>
  <si>
    <t>(Missing_Iterator_Update_1_T_Loop35_TestCase5, unknown, 412)
(Missing_Iterator_Update_1_T_Loop35_TestCase4, unknown, 407)
(Missing_Iterator_Update_1_T_Loop35_TestCase6, unknown, 450)
(Missing_Iterator_Update_1_T_Loop35_TestCase7, unknown, 441)
(Missing_Iterator_Update_1_T_Loop35_TestCase3, unknown, 425)
(Missing_Iterator_Update_1_T_Loop35_TestCase2, unknown, 383)
(Missing_Iterator_Update_1_T_Loop35_TestCase1, unknown, 391)
(Missing_Iterator_Update_1_T_Loop17_TestCase8, yes, 379)
(Missing_Iterator_Update_1_T_Loop17_TestCase9, yes, 385)
(Missing_Iterator_Update_1_T_Loop35_TestCase10, unknown, 434)
(Missing_Iterator_Update_1_T_Loop17_TestCase2, yes, 377)
(Missing_Iterator_Update_1_T_Loop17_TestCase3, yes, 396)
(Missing_Iterator_Update_1_T_Loop17_TestCase1, yes, 321)
(Missing_Iterator_Update_1_T_Loop17_TestCase4, yes, 374)
(Missing_Iterator_Update_1_T_Loop17_TestCase5, yes, 376)
(Missing_Iterator_Update_1_T_Loop17_TestCase7, yes, 393)
(Missing_Iterator_Update_1_T_Loop17_TestCase6, yes, 370)
(Missing_Iterator_Update_1_T_Loop17_TestCase10, yes, 396)
(Missing_Iterator_Update_1_T_Loop35_TestCase9, unknown, 446)
(Missing_Iterator_Update_1_T_Loop35_TestCase8, unknown, 467)</t>
  </si>
  <si>
    <t>(Missing_Iterator_Update_1_T_Loop0_TestCase10, unknown, 456)
(Missing_Iterator_Update_1_T_Loop0_TestCase2, unknown, 333)
(Missing_Iterator_Update_1_T_Loop0_TestCase3, unknown, 422)
(Missing_Iterator_Update_1_T_Loop0_TestCase1, unknown, 392)
(Missing_Iterator_Update_1_T_Loop0_TestCase4, unknown, 403)
(Missing_Iterator_Update_1_T_Loop0_TestCase5, unknown, 403)
(Missing_Iterator_Update_1_T_Loop0_TestCase7, unknown, 459)
(Missing_Iterator_Update_1_T_Loop0_TestCase6, unknown, 469)
(Missing_Iterator_Update_1_T_Loop0_TestCase8, unknown, 468)
(Missing_Iterator_Update_1_T_Loop0_TestCase9, unknown, 445)</t>
  </si>
  <si>
    <t>(Missing_Iterator_Update_1_T_Loop35_TestCase0, unknown, 466)
(Missing_Iterator_Update_1_T_Loop17_TestCase0, unknown, 369)</t>
  </si>
  <si>
    <t>(Missing_Iterator_Update_1_T_Loop0_TestCase0, unknown, 390)</t>
  </si>
  <si>
    <t>(Missing_Iterator_Update_1_NT_Loop18_TestCase3, yes, 418)
(Missing_Iterator_Update_1_NT_Loop18_TestCase2, yes, 417)
(Missing_Iterator_Update_1_NT_Loop18_TestCase1, yes, 406)
(Missing_Iterator_Update_1_NT_Loop18_TestCase5, yes, 406)
(Missing_Iterator_Update_1_NT_Loop18_TestCase4, unknown, 417)
(Missing_Iterator_Update_1_NT_Loop18_TestCase6, unknown, 386)
(Missing_Iterator_Update_1_NT_Loop18_TestCase7, unknown, 423)
(Missing_Iterator_Update_1_NT_Loop18_TestCase10, unknown, 351)
(Missing_Iterator_Update_1_NT_Loop18_TestCase9, unknown, 415)
(Missing_Iterator_Update_1_NT_Loop18_TestCase8, unknown, 423)</t>
  </si>
  <si>
    <t>(Missing_Iterator_Update_1_NT_Loop0_TestCase10, unknown, 448)
(Missing_Iterator_Update_1_NT_Loop0_TestCase8, unknown, 446)
(Missing_Iterator_Update_1_NT_Loop0_TestCase9, unknown, 428)
(Missing_Iterator_Update_1_NT_Loop0_TestCase7, unknown, 398)
(Missing_Iterator_Update_1_NT_Loop0_TestCase6, unknown, 449)
(Missing_Iterator_Update_1_NT_Loop0_TestCase4, unknown, 435)
(Missing_Iterator_Update_1_NT_Loop0_TestCase5, unknown, 418)
(Missing_Iterator_Update_1_NT_Loop0_TestCase1, unknown, 384)
(Missing_Iterator_Update_1_NT_Loop0_TestCase2, unknown, 420)
(Missing_Iterator_Update_1_NT_Loop0_TestCase3, unknown, 411)</t>
  </si>
  <si>
    <t>(Missing_Iterator_Update_1_NT_Loop18_TestCase0, unknown, 324)</t>
  </si>
  <si>
    <t>(Missing_Iterator_Update_1_NT_Loop0_TestCase0, unknown, 405)</t>
  </si>
  <si>
    <t>8/20</t>
  </si>
  <si>
    <t>(Missing_Initialization_1_T_Loop14_TestCase10, unknown, 584)
(Missing_Initialization_1_T_Loop14_TestCase9, unknown, 543)
(Missing_Initialization_1_T_Loop14_TestCase8, unknown, 590)
(Missing_Initialization_1_T_Loop17_TestCase10, unknown, 555)
(Missing_Initialization_1_T_Loop17_TestCase9, unknown, 589)
(Missing_Initialization_1_T_Loop17_TestCase8, unknown, 620)
(Missing_Initialization_1_T_Loop17_TestCase5, unknown, 850)
(Missing_Initialization_1_T_Loop14_TestCase1, yes, 378)
(Missing_Initialization_1_T_Loop17_TestCase4, yes, 356)
(Missing_Initialization_1_T_Loop17_TestCase6, unknown, 623)
(Missing_Initialization_1_T_Loop14_TestCase3, yes, 402)
(Missing_Initialization_1_T_Loop14_TestCase2, yes, 370)
(Missing_Initialization_1_T_Loop17_TestCase7, unknown, 589)
(Missing_Initialization_1_T_Loop17_TestCase3, yes, 388)
(Missing_Initialization_1_T_Loop14_TestCase6, unknown, 613)
(Missing_Initialization_1_T_Loop14_TestCase7, unknown, 569)
(Missing_Initialization_1_T_Loop17_TestCase2, yes, 415)
(Missing_Initialization_1_T_Loop14_TestCase5, unknown, 849)
(Missing_Initialization_1_T_Loop14_TestCase4, yes, 367)
(Missing_Initialization_1_T_Loop17_TestCase1, yes, 394)</t>
  </si>
  <si>
    <t>(Missing_Initialization_1_T_Loop0_TestCase9, unknown, 515)
(Missing_Initialization_1_T_Loop0_TestCase8, unknown, 503)
(Missing_Initialization_1_T_Loop0_TestCase10, unknown, 542)
(Missing_Initialization_1_T_Loop0_TestCase1, yes, 384)
(Missing_Initialization_1_T_Loop0_TestCase3, yes, 392)
(Missing_Initialization_1_T_Loop0_TestCase2, yes, 376)
(Missing_Initialization_1_T_Loop0_TestCase6, unknown, 629)
(Missing_Initialization_1_T_Loop0_TestCase7, unknown, 1397)
(Missing_Initialization_1_T_Loop0_TestCase5, unknown, 899)
(Missing_Initialization_1_T_Loop0_TestCase4, yes, 406)</t>
  </si>
  <si>
    <t>(Missing_Initialization_1_T_Loop14_TestCase0, unknown, 403)
(Missing_Initialization_1_T_Loop17_TestCase0, unknown, 456)</t>
  </si>
  <si>
    <t>(Missing_Initialization_1_T_Loop0_TestCase0, unknown, 433)</t>
  </si>
  <si>
    <t>(Missing_Initialization_1_NT_Loop14_TestCase7, unknown, 501)
(Missing_Initialization_1_NT_Loop14_TestCase6, unknown, 539)
(Missing_Initialization_1_NT_Loop14_TestCase4, yes, 299)
(Missing_Initialization_1_NT_Loop14_TestCase5, unknown, 495)
(Missing_Initialization_1_NT_Loop14_TestCase1, yes, 396)
(Missing_Initialization_1_NT_Loop16_TestCase9, no, 425)
(Missing_Initialization_1_NT_Loop14_TestCase2, yes, 384)
(Missing_Initialization_1_NT_Loop14_TestCase3, yes, 374)
(Missing_Initialization_1_NT_Loop16_TestCase10, unknown, 525)
(Missing_Initialization_1_NT_Loop16_TestCase8, no, 390)
(Missing_Initialization_1_NT_Loop14_TestCase10, unknown, 519)
(Missing_Initialization_1_NT_Loop16_TestCase5, unknown, 500)
(Missing_Initialization_1_NT_Loop16_TestCase4, yes, 374)
(Missing_Initialization_1_NT_Loop16_TestCase6, unknown, 542)
(Missing_Initialization_1_NT_Loop16_TestCase7, unknown, 495)
(Missing_Initialization_1_NT_Loop16_TestCase3, yes, 386)
(Missing_Initialization_1_NT_Loop14_TestCase8, no, 407)
(Missing_Initialization_1_NT_Loop14_TestCase9, no, 441)
(Missing_Initialization_1_NT_Loop16_TestCase2, yes, 372)
(Missing_Initialization_1_NT_Loop16_TestCase1, yes, 374)</t>
  </si>
  <si>
    <t>(Missing_Initialization_1_NT_Loop0_TestCase9, no, 361)
(Missing_Initialization_1_NT_Loop0_TestCase8, no, 436)
(Missing_Initialization_1_NT_Loop0_TestCase10, unknown, 475)
(Missing_Initialization_1_NT_Loop0_TestCase1, yes, 387)
(Missing_Initialization_1_NT_Loop0_TestCase3, yes, 390)
(Missing_Initialization_1_NT_Loop0_TestCase2, yes, 397)
(Missing_Initialization_1_NT_Loop0_TestCase6, unknown, 519)
(Missing_Initialization_1_NT_Loop0_TestCase7, unknown, 510)
(Missing_Initialization_1_NT_Loop0_TestCase5, unknown, 523)
(Missing_Initialization_1_NT_Loop0_TestCase4, yes, 383)</t>
  </si>
  <si>
    <t>(Missing_Initialization_1_NT_Loop14_TestCase0, unknown, 468)
(Missing_Initialization_1_NT_Loop16_TestCase0, unknown, 541)</t>
  </si>
  <si>
    <t>(Missing_Initialization_1_NT_Loop0_TestCase0, unknown, 692)</t>
  </si>
  <si>
    <t>15/30</t>
  </si>
  <si>
    <t>(Missing_Corner-case_Handling_4_T_Loop36_TestCase3, yes, 360)
(Missing_Corner-case_Handling_4_T_Loop23_TestCase8, unknown, 3126)
(Missing_Corner-case_Handling_4_T_Loop23_TestCase9, unknown, 3086)
(Missing_Corner-case_Handling_4_T_Loop36_TestCase2, yes, 348)
(Missing_Corner-case_Handling_4_T_Loop36_TestCase1, yes, 363)
(Missing_Corner-case_Handling_4_T_Loop36_TestCase5, yes, 364)
(Missing_Corner-case_Handling_4_T_Loop50_TestCase8, unknown, 12852)
(Missing_Corner-case_Handling_4_T_Loop50_TestCase10, unknown, 12765)
(Missing_Corner-case_Handling_4_T_Loop50_TestCase9, unknown, 12716)
(Missing_Corner-case_Handling_4_T_Loop36_TestCase4, yes, 361)
(Missing_Corner-case_Handling_4_T_Loop36_TestCase6, unknown, 874)
(Missing_Corner-case_Handling_4_T_Loop36_TestCase7, unknown, 851)
(Missing_Corner-case_Handling_4_T_Loop23_TestCase10, unknown, 3104)
(Missing_Corner-case_Handling_4_T_Loop36_TestCase10, unknown, 845)
(Missing_Corner-case_Handling_4_T_Loop50_TestCase7, unknown, 12821)
(Missing_Corner-case_Handling_4_T_Loop23_TestCase1, yes, 363)
(Missing_Corner-case_Handling_4_T_Loop50_TestCase6, unknown, 12810)
(Missing_Corner-case_Handling_4_T_Loop36_TestCase9, unknown, 854)
(Missing_Corner-case_Handling_4_T_Loop50_TestCase4, yes, 373)
(Missing_Corner-case_Handling_4_T_Loop23_TestCase2, yes, 372)
(Missing_Corner-case_Handling_4_T_Loop23_TestCase3, yes, 357)
(Missing_Corner-case_Handling_4_T_Loop50_TestCase5, yes, 359)
(Missing_Corner-case_Handling_4_T_Loop36_TestCase8, unknown, 787)
(Missing_Corner-case_Handling_4_T_Loop23_TestCase7, unknown, 3127)
(Missing_Corner-case_Handling_4_T_Loop50_TestCase1, yes, 357)
(Missing_Corner-case_Handling_4_T_Loop23_TestCase6, unknown, 3065)
(Missing_Corner-case_Handling_4_T_Loop23_TestCase4, yes, 365)
(Missing_Corner-case_Handling_4_T_Loop50_TestCase2, yes, 378)
(Missing_Corner-case_Handling_4_T_Loop50_TestCase3, yes, 357)
(Missing_Corner-case_Handling_4_T_Loop23_TestCase5, yes, 362)</t>
  </si>
  <si>
    <t>(Missing_Corner-case_Handling_4_T_Loop0_TestCase10, unknown, 4513)
(Missing_Corner-case_Handling_4_T_Loop0_TestCase1, yes, 382)
(Missing_Corner-case_Handling_4_T_Loop0_TestCase2, yes, 365)
(Missing_Corner-case_Handling_4_T_Loop0_TestCase3, yes, 371)
(Missing_Corner-case_Handling_4_T_Loop0_TestCase7, unknown, 4576)
(Missing_Corner-case_Handling_4_T_Loop0_TestCase6, unknown, 4586)
(Missing_Corner-case_Handling_4_T_Loop0_TestCase4, yes, 365)
(Missing_Corner-case_Handling_4_T_Loop0_TestCase5, yes, 381)
(Missing_Corner-case_Handling_4_T_Loop0_TestCase8, unknown, 4612)
(Missing_Corner-case_Handling_4_T_Loop0_TestCase9, unknown, 4565)</t>
  </si>
  <si>
    <t>(Missing_Corner-case_Handling_4_T_Loop36_TestCase0, unknown, 803)
(Missing_Corner-case_Handling_4_T_Loop23_TestCase0, unknown, 3151)
(Missing_Corner-case_Handling_4_T_Loop50_TestCase0, unknown, 12944)</t>
  </si>
  <si>
    <t>(Missing_Corner-case_Handling_4_T_Loop0_TestCase0, unknown, 4523)</t>
  </si>
  <si>
    <t>15/25</t>
  </si>
  <si>
    <t>(Missing_Corner-case_Handling_4_NT_Loop51_TestCase5, yes, 348)
(Missing_Corner-case_Handling_4_NT_Loop37_TestCase8, unknown, 838)
(Missing_Corner-case_Handling_4_NT_Loop24_TestCase9, unknown, 3086)
(Missing_Corner-case_Handling_4_NT_Loop24_TestCase8, unknown, 3127)
(Missing_Corner-case_Handling_4_NT_Loop37_TestCase9, unknown, 861)
(Missing_Corner-case_Handling_4_NT_Loop51_TestCase4, yes, 361)
(Missing_Corner-case_Handling_4_NT_Loop51_TestCase6, unknown, 12723)
(Missing_Corner-case_Handling_4_NT_Loop51_TestCase7, unknown, 12775)
(Missing_Corner-case_Handling_4_NT_Loop51_TestCase3, yes, 388)
(Missing_Corner-case_Handling_4_NT_Loop51_TestCase2, yes, 367)
(Missing_Corner-case_Handling_4_NT_Loop51_TestCase1, yes, 350)
(Missing_Corner-case_Handling_4_NT_Loop37_TestCase1, yes, 380)
(Missing_Corner-case_Handling_4_NT_Loop51_TestCase10, unknown, 12882)
(Missing_Corner-case_Handling_4_NT_Loop24_TestCase1, yes, 356)
(Missing_Corner-case_Handling_4_NT_Loop37_TestCase2, yes, 359)
(Missing_Corner-case_Handling_4_NT_Loop24_TestCase3, yes, 348)
(Missing_Corner-case_Handling_4_NT_Loop24_TestCase2, yes, 332)
(Missing_Corner-case_Handling_4_NT_Loop37_TestCase3, yes, 364)
(Missing_Corner-case_Handling_4_NT_Loop37_TestCase7, unknown, 843)
(Missing_Corner-case_Handling_4_NT_Loop24_TestCase6, unknown, 3103)
(Missing_Corner-case_Handling_4_NT_Loop24_TestCase7, unknown, 3073)
(Missing_Corner-case_Handling_4_NT_Loop37_TestCase6, unknown, 842)
(Missing_Corner-case_Handling_4_NT_Loop51_TestCase9, unknown, 12835)
(Missing_Corner-case_Handling_4_NT_Loop37_TestCase4, yes, 361)
(Missing_Corner-case_Handling_4_NT_Loop24_TestCase5, yes, 358)
(Missing_Corner-case_Handling_4_NT_Loop24_TestCase4, yes, 330)
(Missing_Corner-case_Handling_4_NT_Loop37_TestCase5, yes, 354)
(Missing_Corner-case_Handling_4_NT_Loop51_TestCase8, unknown, 12821)
(Missing_Corner-case_Handling_4_NT_Loop24_TestCase10, unknown, 3106)
(Missing_Corner-case_Handling_4_NT_Loop37_TestCase10, unknown, 851)</t>
  </si>
  <si>
    <t>(Missing_Corner-case_Handling_4_NT_Loop0_TestCase10, unknown, 4640)
(Missing_Corner-case_Handling_4_NT_Loop0_TestCase8, unknown, 4595)
(Missing_Corner-case_Handling_4_NT_Loop0_TestCase9, unknown, 4609)
(Missing_Corner-case_Handling_4_NT_Loop0_TestCase4, yes, 382)
(Missing_Corner-case_Handling_4_NT_Loop0_TestCase5, yes, 373)
(Missing_Corner-case_Handling_4_NT_Loop0_TestCase7, unknown, 4588)
(Missing_Corner-case_Handling_4_NT_Loop0_TestCase6, unknown, 4536)
(Missing_Corner-case_Handling_4_NT_Loop0_TestCase2, yes, 369)
(Missing_Corner-case_Handling_4_NT_Loop0_TestCase3, yes, 369)
(Missing_Corner-case_Handling_4_NT_Loop0_TestCase1, yes, 367)</t>
  </si>
  <si>
    <t>(Missing_Corner-case_Handling_4_NT_Loop51_TestCase0, unknown, 12947)
(Missing_Corner-case_Handling_4_NT_Loop24_TestCase0, unknown, 3134)
(Missing_Corner-case_Handling_4_NT_Loop37_TestCase0, unknown, 778)</t>
  </si>
  <si>
    <t>(Missing_Corner-case_Handling_4_NT_Loop0_TestCase0, unknown, 4539)</t>
  </si>
  <si>
    <t>(Missing_Corner-case_Handling_3_T_Loop31_TestCase4, yes, 1034)
(Missing_Corner-case_Handling_3_T_Loop31_TestCase5, yes, 1039)
(Missing_Corner-case_Handling_3_T_Loop21_TestCase1, yes, 948)
(Missing_Corner-case_Handling_3_T_Loop31_TestCase10, yes, 1052)
(Missing_Corner-case_Handling_3_T_Loop21_TestCase3, yes, 1038)
(Missing_Corner-case_Handling_3_T_Loop31_TestCase7, yes, 1031)
(Missing_Corner-case_Handling_3_T_Loop31_TestCase6, yes, 1041)
(Missing_Corner-case_Handling_3_T_Loop21_TestCase2, yes, 1027)
(Missing_Corner-case_Handling_3_T_Loop21_TestCase6, yes, 1398)
(Missing_Corner-case_Handling_3_T_Loop33_TestCase9, yes, 1025)
(Missing_Corner-case_Handling_3_T_Loop19_TestCase8, yes, 1022)
(Missing_Corner-case_Handling_3_T_Loop31_TestCase2, yes, 1048)
(Missing_Corner-case_Handling_3_T_Loop31_TestCase3, yes, 1067)
(Missing_Corner-case_Handling_3_T_Loop19_TestCase9, yes, 1029)
(Missing_Corner-case_Handling_3_T_Loop33_TestCase8, yes, 1042)
(Missing_Corner-case_Handling_3_T_Loop21_TestCase7, yes, 1031)
(Missing_Corner-case_Handling_3_T_Loop21_TestCase5, yes, 1050)
(Missing_Corner-case_Handling_3_T_Loop31_TestCase1, yes, 952)
(Missing_Corner-case_Handling_3_T_Loop21_TestCase4, yes, 1061)
(Missing_Corner-case_Handling_3_T_Loop33_TestCase10, yes, 1075)
(Missing_Corner-case_Handling_3_T_Loop21_TestCase10, yes, 1081)
(Missing_Corner-case_Handling_3_T_Loop21_TestCase9, yes, 1048)
(Missing_Corner-case_Handling_3_T_Loop33_TestCase6, yes, 1042)
(Missing_Corner-case_Handling_3_T_Loop19_TestCase7, yes, 1036)
(Missing_Corner-case_Handling_3_T_Loop19_TestCase6, yes, 983)
(Missing_Corner-case_Handling_3_T_Loop33_TestCase7, yes, 1050)
(Missing_Corner-case_Handling_3_T_Loop21_TestCase8, yes, 1031)
(Missing_Corner-case_Handling_3_T_Loop33_TestCase5, yes, 1036)
(Missing_Corner-case_Handling_3_T_Loop19_TestCase4, yes, 1071)
(Missing_Corner-case_Handling_3_T_Loop19_TestCase10, yes, 1063)
(Missing_Corner-case_Handling_3_T_Loop19_TestCase5, yes, 1069)
(Missing_Corner-case_Handling_3_T_Loop33_TestCase4, yes, 1053)
(Missing_Corner-case_Handling_3_T_Loop19_TestCase1, yes, 942)
(Missing_Corner-case_Handling_3_T_Loop33_TestCase1, yes, 959)
(Missing_Corner-case_Handling_3_T_Loop33_TestCase3, yes, 1058)
(Missing_Corner-case_Handling_3_T_Loop19_TestCase2, yes, 1017)
(Missing_Corner-case_Handling_3_T_Loop31_TestCase8, yes, 1048)
(Missing_Corner-case_Handling_3_T_Loop31_TestCase9, yes, 1035)
(Missing_Corner-case_Handling_3_T_Loop19_TestCase3, yes, 1031)
(Missing_Corner-case_Handling_3_T_Loop33_TestCase2, yes, 998)</t>
  </si>
  <si>
    <t>(Missing_Corner-case_Handling_3_T_Loop0_TestCase10, yes, 1063)
(Missing_Corner-case_Handling_3_T_Loop0_TestCase9, yes, 1043)
(Missing_Corner-case_Handling_3_T_Loop0_TestCase8, yes, 1024)
(Missing_Corner-case_Handling_3_T_Loop0_TestCase6, yes, 1045)
(Missing_Corner-case_Handling_3_T_Loop0_TestCase7, yes, 1058)
(Missing_Corner-case_Handling_3_T_Loop0_TestCase5, yes, 1029)
(Missing_Corner-case_Handling_3_T_Loop0_TestCase4, yes, 1080)
(Missing_Corner-case_Handling_3_T_Loop0_TestCase1, yes, 971)
(Missing_Corner-case_Handling_3_T_Loop0_TestCase3, yes, 1068)
(Missing_Corner-case_Handling_3_T_Loop0_TestCase2, yes, 995)</t>
  </si>
  <si>
    <t>(Missing_Corner-case_Handling_3_T_Loop21_TestCase0, yes, 1289)
(Missing_Corner-case_Handling_3_T_Loop31_TestCase0, yes, 1226)
(Missing_Corner-case_Handling_3_T_Loop33_TestCase0, yes, 1184)
(Missing_Corner-case_Handling_3_T_Loop19_TestCase0, yes, 1259)</t>
  </si>
  <si>
    <t>(Missing_Corner-case_Handling_3_T_Loop0_TestCase0, yes, 1205)</t>
  </si>
  <si>
    <t>(Missing_Corner-case_Handling_3_NT_Loop21_TestCase10, unknown, 1213)
(Missing_Corner-case_Handling_3_NT_Loop21_TestCase4, unknown, 1197)
(Missing_Corner-case_Handling_3_NT_Loop21_TestCase5, unknown, 1269)
(Missing_Corner-case_Handling_3_NT_Loop31_TestCase1, unknown, 1225)
(Missing_Corner-case_Handling_3_NT_Loop33_TestCase10, unknown, 1186)
(Missing_Corner-case_Handling_3_NT_Loop33_TestCase8, unknown, 1253)
(Missing_Corner-case_Handling_3_NT_Loop31_TestCase3, unknown, 1156)
(Missing_Corner-case_Handling_3_NT_Loop19_TestCase9, unknown, 1275)
(Missing_Corner-case_Handling_3_NT_Loop21_TestCase7, unknown, 1276)
(Missing_Corner-case_Handling_3_NT_Loop21_TestCase6, unknown, 1228)
(Missing_Corner-case_Handling_3_NT_Loop19_TestCase8, unknown, 1237)
(Missing_Corner-case_Handling_3_NT_Loop31_TestCase2, unknown, 1274)
(Missing_Corner-case_Handling_3_NT_Loop33_TestCase9, unknown, 1262)
(Missing_Corner-case_Handling_3_NT_Loop31_TestCase6, unknown, 1246)
(Missing_Corner-case_Handling_3_NT_Loop21_TestCase2, unknown, 1286)
(Missing_Corner-case_Handling_3_NT_Loop21_TestCase3, unknown, 1186)
(Missing_Corner-case_Handling_3_NT_Loop31_TestCase7, unknown, 1258)
(Missing_Corner-case_Handling_3_NT_Loop31_TestCase5, unknown, 1273)
(Missing_Corner-case_Handling_3_NT_Loop21_TestCase1, unknown, 1240)
(Missing_Corner-case_Handling_3_NT_Loop31_TestCase4, unknown, 1185)
(Missing_Corner-case_Handling_3_NT_Loop31_TestCase10, unknown, 1179)
(Missing_Corner-case_Handling_3_NT_Loop19_TestCase10, unknown, 1174)
(Missing_Corner-case_Handling_3_NT_Loop33_TestCase2, unknown, 1278)
(Missing_Corner-case_Handling_3_NT_Loop31_TestCase9, unknown, 1254)
(Missing_Corner-case_Handling_3_NT_Loop19_TestCase3, unknown, 1191)
(Missing_Corner-case_Handling_3_NT_Loop19_TestCase2, unknown, 1278)
(Missing_Corner-case_Handling_3_NT_Loop31_TestCase8, unknown, 1264)
(Missing_Corner-case_Handling_3_NT_Loop33_TestCase3, unknown, 1162)
(Missing_Corner-case_Handling_3_NT_Loop33_TestCase1, unknown, 1234)
(Missing_Corner-case_Handling_3_NT_Loop19_TestCase1, unknown, 1213)
(Missing_Corner-case_Handling_3_NT_Loop33_TestCase4, unknown, 1200)
(Missing_Corner-case_Handling_3_NT_Loop19_TestCase5, unknown, 1252)
(Missing_Corner-case_Handling_3_NT_Loop19_TestCase4, unknown, 1221)
(Missing_Corner-case_Handling_3_NT_Loop33_TestCase5, unknown, 1284)
(Missing_Corner-case_Handling_3_NT_Loop33_TestCase7, unknown, 1290)
(Missing_Corner-case_Handling_3_NT_Loop19_TestCase6, unknown, 1215)
(Missing_Corner-case_Handling_3_NT_Loop21_TestCase8, unknown, 1187)
(Missing_Corner-case_Handling_3_NT_Loop21_TestCase9, unknown, 1253)
(Missing_Corner-case_Handling_3_NT_Loop19_TestCase7, unknown, 1271)
(Missing_Corner-case_Handling_3_NT_Loop33_TestCase6, unknown, 1249)</t>
  </si>
  <si>
    <t>(Missing_Corner-case_Handling_3_NT_Loop0_TestCase10, unknown, 1201)
(Missing_Corner-case_Handling_3_NT_Loop0_TestCase8, unknown, 1228)
(Missing_Corner-case_Handling_3_NT_Loop0_TestCase9, unknown, 1247)
(Missing_Corner-case_Handling_3_NT_Loop0_TestCase7, unknown, 1272)
(Missing_Corner-case_Handling_3_NT_Loop0_TestCase6, unknown, 1234)
(Missing_Corner-case_Handling_3_NT_Loop0_TestCase4, unknown, 1197)
(Missing_Corner-case_Handling_3_NT_Loop0_TestCase5, unknown, 1274)
(Missing_Corner-case_Handling_3_NT_Loop0_TestCase1, unknown, 1192)
(Missing_Corner-case_Handling_3_NT_Loop0_TestCase2, unknown, 1256)
(Missing_Corner-case_Handling_3_NT_Loop0_TestCase3, unknown, 1172)</t>
  </si>
  <si>
    <t>(Missing_Corner-case_Handling_3_NT_Loop31_TestCase0, unknown, 1392)
(Missing_Corner-case_Handling_3_NT_Loop21_TestCase0, unknown, 1402)
(Missing_Corner-case_Handling_3_NT_Loop19_TestCase0, unknown, 1378)
(Missing_Corner-case_Handling_3_NT_Loop33_TestCase0, unknown, 1342)</t>
  </si>
  <si>
    <t>(Missing_Corner-case_Handling_3_NT_Loop0_TestCase0, unknown, 1346)</t>
  </si>
  <si>
    <t>(Missing_Corner-case_Handling_2_T_Loop16_TestCase1, yes, 370)
(Missing_Corner-case_Handling_2_T_Loop16_TestCase2, yes, 311)
(Missing_Corner-case_Handling_2_T_Loop16_TestCase3, yes, 354)
(Missing_Corner-case_Handling_2_T_Loop16_TestCase7, yes, 359)
(Missing_Corner-case_Handling_2_T_Loop16_TestCase6, yes, 266)
(Missing_Corner-case_Handling_2_T_Loop16_TestCase4, yes, 361)
(Missing_Corner-case_Handling_2_T_Loop16_TestCase5, yes, 373)
(Missing_Corner-case_Handling_2_T_Loop16_TestCase10, yes, 332)
(Missing_Corner-case_Handling_2_T_Loop16_TestCase8, yes, 352)
(Missing_Corner-case_Handling_2_T_Loop16_TestCase9, yes, 337)</t>
  </si>
  <si>
    <t>(Missing_Corner-case_Handling_2_T_Loop0_TestCase5, yes, 400)
(Missing_Corner-case_Handling_2_T_Loop0_TestCase4, yes, 431)
(Missing_Corner-case_Handling_2_T_Loop0_TestCase6, yes, 348)
(Missing_Corner-case_Handling_2_T_Loop0_TestCase7, yes, 350)
(Missing_Corner-case_Handling_2_T_Loop0_TestCase3, yes, 429)
(Missing_Corner-case_Handling_2_T_Loop0_TestCase2, yes, 384)
(Missing_Corner-case_Handling_2_T_Loop0_TestCase1, yes, 349)
(Missing_Corner-case_Handling_2_T_Loop0_TestCase10, yes, 332)
(Missing_Corner-case_Handling_2_T_Loop0_TestCase9, yes, 356)
(Missing_Corner-case_Handling_2_T_Loop0_TestCase8, yes, 361)</t>
  </si>
  <si>
    <t>(Missing_Corner-case_Handling_2_T_Loop16_TestCase0, yes, 282)</t>
  </si>
  <si>
    <t>(Missing_Corner-case_Handling_2_T_Loop0_TestCase0, yes, 393)</t>
  </si>
  <si>
    <t>(Missing_Corner-case_Handling_2_NT_Loop17_TestCase2, yes, 378)
(Missing_Corner-case_Handling_2_NT_Loop17_TestCase3, yes, 367)
(Missing_Corner-case_Handling_2_NT_Loop17_TestCase1, yes, 330)
(Missing_Corner-case_Handling_2_NT_Loop17_TestCase4, yes, 392)
(Missing_Corner-case_Handling_2_NT_Loop17_TestCase5, yes, 379)
(Missing_Corner-case_Handling_2_NT_Loop17_TestCase7, no, 352)
(Missing_Corner-case_Handling_2_NT_Loop17_TestCase6, no, 283)
(Missing_Corner-case_Handling_2_NT_Loop17_TestCase8, no, 375)
(Missing_Corner-case_Handling_2_NT_Loop17_TestCase9, no, 353)
(Missing_Corner-case_Handling_2_NT_Loop17_TestCase10, no, 370)</t>
  </si>
  <si>
    <t>(Missing_Corner-case_Handling_2_NT_Loop0_TestCase9, no, 396)
(Missing_Corner-case_Handling_2_NT_Loop0_TestCase8, no, 388)
(Missing_Corner-case_Handling_2_NT_Loop0_TestCase10, no, 397)
(Missing_Corner-case_Handling_2_NT_Loop0_TestCase3, yes, 415)
(Missing_Corner-case_Handling_2_NT_Loop0_TestCase2, yes, 450)
(Missing_Corner-case_Handling_2_NT_Loop0_TestCase1, yes, 347)
(Missing_Corner-case_Handling_2_NT_Loop0_TestCase5, yes, 389)
(Missing_Corner-case_Handling_2_NT_Loop0_TestCase4, yes, 458)
(Missing_Corner-case_Handling_2_NT_Loop0_TestCase6, no, 360)
(Missing_Corner-case_Handling_2_NT_Loop0_TestCase7, no, 379)</t>
  </si>
  <si>
    <t>(Missing_Corner-case_Handling_2_NT_Loop17_TestCase0, unknown, 336)</t>
  </si>
  <si>
    <t>(Missing_Corner-case_Handling_2_NT_Loop0_TestCase0, unknown, 465)</t>
  </si>
  <si>
    <t>(Missing_Corner-case_Handling_1_T_Loop40_TestCase8, unknown, 447)
(Missing_Corner-case_Handling_1_T_Loop40_TestCase9, unknown, 388)
(Missing_Corner-case_Handling_1_T_Loop40_TestCase1, unknown, 312)
(Missing_Corner-case_Handling_1_T_Loop40_TestCase2, unknown, 411)
(Missing_Corner-case_Handling_1_T_Loop40_TestCase3, unknown, 399)
(Missing_Corner-case_Handling_1_T_Loop40_TestCase7, unknown, 430)
(Missing_Corner-case_Handling_1_T_Loop40_TestCase6, unknown, 437)
(Missing_Corner-case_Handling_1_T_Loop40_TestCase4, unknown, 392)
(Missing_Corner-case_Handling_1_T_Loop40_TestCase5, unknown, 392)
(Missing_Corner-case_Handling_1_T_Loop40_TestCase10, unknown, 417)</t>
  </si>
  <si>
    <t>(Missing_Corner-case_Handling_1_T_Loop0_TestCase8, unknown, 471)
(Missing_Corner-case_Handling_1_T_Loop0_TestCase9, unknown, 386)
(Missing_Corner-case_Handling_1_T_Loop0_TestCase10, unknown, 388)
(Missing_Corner-case_Handling_1_T_Loop0_TestCase1, unknown, 418)
(Missing_Corner-case_Handling_1_T_Loop0_TestCase2, unknown, 403)
(Missing_Corner-case_Handling_1_T_Loop0_TestCase3, unknown, 418)
(Missing_Corner-case_Handling_1_T_Loop0_TestCase7, unknown, 443)
(Missing_Corner-case_Handling_1_T_Loop0_TestCase6, unknown, 379)
(Missing_Corner-case_Handling_1_T_Loop0_TestCase4, unknown, 407)
(Missing_Corner-case_Handling_1_T_Loop0_TestCase5, unknown, 384)</t>
  </si>
  <si>
    <t>(Missing_Corner-case_Handling_1_T_Loop40_TestCase0, unknown, 414)</t>
  </si>
  <si>
    <t>(Missing_Corner-case_Handling_1_T_Loop0_TestCase0, unknown, 440)</t>
  </si>
  <si>
    <t>(Missing_Corner-case_Handling_1_NT_Loop40_TestCase5, unknown, 399)
(Missing_Corner-case_Handling_1_NT_Loop40_TestCase4, unknown, 322)
(Missing_Corner-case_Handling_1_NT_Loop40_TestCase6, no, 430)
(Missing_Corner-case_Handling_1_NT_Loop40_TestCase7, no, 436)
(Missing_Corner-case_Handling_1_NT_Loop40_TestCase3, unknown, 400)
(Missing_Corner-case_Handling_1_NT_Loop40_TestCase2, unknown, 382)
(Missing_Corner-case_Handling_1_NT_Loop40_TestCase1, unknown, 396)
(Missing_Corner-case_Handling_1_NT_Loop40_TestCase10, no, 378)
(Missing_Corner-case_Handling_1_NT_Loop40_TestCase9, no, 409)
(Missing_Corner-case_Handling_1_NT_Loop40_TestCase8, no, 443)</t>
  </si>
  <si>
    <t>(Missing_Corner-case_Handling_1_NT_Loop0_TestCase9, no, 354)
(Missing_Corner-case_Handling_1_NT_Loop0_TestCase8, no, 446)
(Missing_Corner-case_Handling_1_NT_Loop0_TestCase6, no, 408)
(Missing_Corner-case_Handling_1_NT_Loop0_TestCase7, no, 409)
(Missing_Corner-case_Handling_1_NT_Loop0_TestCase5, unknown, 388)
(Missing_Corner-case_Handling_1_NT_Loop0_TestCase4, unknown, 393)
(Missing_Corner-case_Handling_1_NT_Loop0_TestCase1, unknown, 407)
(Missing_Corner-case_Handling_1_NT_Loop0_TestCase10, no, 359)
(Missing_Corner-case_Handling_1_NT_Loop0_TestCase3, unknown, 408)
(Missing_Corner-case_Handling_1_NT_Loop0_TestCase2, unknown, 417)</t>
  </si>
  <si>
    <t>(Missing_Corner-case_Handling_1_NT_Loop40_TestCase0, unknown, 397)</t>
  </si>
  <si>
    <t>(Missing_Corner-case_Handling_1_NT_Loop0_TestCase0, unknown, 425)</t>
  </si>
  <si>
    <t>(Incorrect_Update_for_Loop_Iterator_3_NT_Loop18_TestCase4, unknown, 355)
(Incorrect_Update_for_Loop_Iterator_3_NT_Loop18_TestCase5, unknown, 425)
(Incorrect_Update_for_Loop_Iterator_3_NT_Loop18_TestCase7, no, 350)
(Incorrect_Update_for_Loop_Iterator_3_NT_Loop18_TestCase6, no, 367)
(Incorrect_Update_for_Loop_Iterator_3_NT_Loop18_TestCase2, unknown, 263)
(Incorrect_Update_for_Loop_Iterator_3_NT_Loop18_TestCase3, unknown, 343)
(Incorrect_Update_for_Loop_Iterator_3_NT_Loop18_TestCase1, unknown, 378)
(Incorrect_Update_for_Loop_Iterator_3_NT_Loop18_TestCase8, no, 339)
(Incorrect_Update_for_Loop_Iterator_3_NT_Loop18_TestCase10, no, 361)
(Incorrect_Update_for_Loop_Iterator_3_NT_Loop18_TestCase9, no, 362)</t>
  </si>
  <si>
    <t>(Incorrect_Update_for_Loop_Iterator_3_NT_Loop0_TestCase8, no, 372)
(Incorrect_Update_for_Loop_Iterator_3_NT_Loop0_TestCase9, no, 367)
(Incorrect_Update_for_Loop_Iterator_3_NT_Loop0_TestCase10, no, 368)
(Incorrect_Update_for_Loop_Iterator_3_NT_Loop0_TestCase2, unknown, 319)
(Incorrect_Update_for_Loop_Iterator_3_NT_Loop0_TestCase3, unknown, 368)
(Incorrect_Update_for_Loop_Iterator_3_NT_Loop0_TestCase1, unknown, 369)
(Incorrect_Update_for_Loop_Iterator_3_NT_Loop0_TestCase4, unknown, 392)
(Incorrect_Update_for_Loop_Iterator_3_NT_Loop0_TestCase5, unknown, 349)
(Incorrect_Update_for_Loop_Iterator_3_NT_Loop0_TestCase7, no, 333)
(Incorrect_Update_for_Loop_Iterator_3_NT_Loop0_TestCase6, no, 348)</t>
  </si>
  <si>
    <t>(Incorrect_Update_for_Loop_Iterator_3_NT_Loop18_TestCase0, unknown, 297)</t>
  </si>
  <si>
    <t>(Incorrect_Update_for_Loop_Iterator_3_NT_Loop0_TestCase0, unknown, 352)</t>
  </si>
  <si>
    <t>(Incorrect_Update_for_Loop_Iterator_2_T_Loop14_TestCase9, yes, 347)
(Incorrect_Update_for_Loop_Iterator_2_T_Loop14_TestCase8, yes, 350)
(Incorrect_Update_for_Loop_Iterator_2_T_Loop14_TestCase10, yes, 348)
(Incorrect_Update_for_Loop_Iterator_2_T_Loop14_TestCase6, yes, 343)
(Incorrect_Update_for_Loop_Iterator_2_T_Loop14_TestCase7, yes, 348)
(Incorrect_Update_for_Loop_Iterator_2_T_Loop14_TestCase5, yes, 379)
(Incorrect_Update_for_Loop_Iterator_2_T_Loop14_TestCase4, yes, 265)
(Incorrect_Update_for_Loop_Iterator_2_T_Loop14_TestCase1, yes, 328)
(Incorrect_Update_for_Loop_Iterator_2_T_Loop14_TestCase3, yes, 346)
(Incorrect_Update_for_Loop_Iterator_2_T_Loop14_TestCase2, yes, 342)</t>
  </si>
  <si>
    <t>(Incorrect_Update_for_Loop_Iterator_2_T_Loop0_TestCase8, yes, 347)
(Incorrect_Update_for_Loop_Iterator_2_T_Loop0_TestCase9, yes, 352)
(Incorrect_Update_for_Loop_Iterator_2_T_Loop0_TestCase10, yes, 361)
(Incorrect_Update_for_Loop_Iterator_2_T_Loop0_TestCase1, yes, 347)
(Incorrect_Update_for_Loop_Iterator_2_T_Loop0_TestCase2, yes, 326)
(Incorrect_Update_for_Loop_Iterator_2_T_Loop0_TestCase3, yes, 337)
(Incorrect_Update_for_Loop_Iterator_2_T_Loop0_TestCase7, yes, 362)
(Incorrect_Update_for_Loop_Iterator_2_T_Loop0_TestCase6, yes, 365)
(Incorrect_Update_for_Loop_Iterator_2_T_Loop0_TestCase4, yes, 366)
(Incorrect_Update_for_Loop_Iterator_2_T_Loop0_TestCase5, yes, 344)</t>
  </si>
  <si>
    <t>(Incorrect_Update_for_Loop_Iterator_2_T_Loop14_TestCase0, yes, 272)</t>
  </si>
  <si>
    <t>(Incorrect_Update_for_Loop_Iterator_2_T_Loop0_TestCase0, yes, 317)</t>
  </si>
  <si>
    <t>(Incorrect_Update_for_Loop_Iterator_2_NT_Loop15_TestCase9, unknown, 377)
(Incorrect_Update_for_Loop_Iterator_2_NT_Loop15_TestCase8, unknown, 376)
(Incorrect_Update_for_Loop_Iterator_2_NT_Loop15_TestCase1, yes, 348)
(Incorrect_Update_for_Loop_Iterator_2_NT_Loop15_TestCase3, unknown, 358)
(Incorrect_Update_for_Loop_Iterator_2_NT_Loop15_TestCase2, unknown, 311)
(Incorrect_Update_for_Loop_Iterator_2_NT_Loop15_TestCase6, unknown, 385)
(Incorrect_Update_for_Loop_Iterator_2_NT_Loop15_TestCase7, unknown, 383)
(Incorrect_Update_for_Loop_Iterator_2_NT_Loop15_TestCase5, unknown, 402)
(Incorrect_Update_for_Loop_Iterator_2_NT_Loop15_TestCase4, unknown, 400)
(Incorrect_Update_for_Loop_Iterator_2_NT_Loop15_TestCase10, unknown, 365)</t>
  </si>
  <si>
    <t>(Incorrect_Update_for_Loop_Iterator_2_NT_Loop0_TestCase9, unknown, 450)
(Incorrect_Update_for_Loop_Iterator_2_NT_Loop0_TestCase8, unknown, 440)
(Incorrect_Update_for_Loop_Iterator_2_NT_Loop0_TestCase6, unknown, 408)
(Incorrect_Update_for_Loop_Iterator_2_NT_Loop0_TestCase10, unknown, 435)
(Incorrect_Update_for_Loop_Iterator_2_NT_Loop0_TestCase7, unknown, 440)
(Incorrect_Update_for_Loop_Iterator_2_NT_Loop0_TestCase5, unknown, 1678)
(Incorrect_Update_for_Loop_Iterator_2_NT_Loop0_TestCase4, unknown, 422)
(Incorrect_Update_for_Loop_Iterator_2_NT_Loop0_TestCase1, yes, 362)
(Incorrect_Update_for_Loop_Iterator_2_NT_Loop0_TestCase3, unknown, 405)
(Incorrect_Update_for_Loop_Iterator_2_NT_Loop0_TestCase2, unknown, 418)</t>
  </si>
  <si>
    <t>(Incorrect_Update_for_Loop_Iterator_2_NT_Loop15_TestCase0, unknown, 298)</t>
  </si>
  <si>
    <t>(Incorrect_Update_for_Loop_Iterator_2_NT_Loop0_TestCase0, unknown, 408)</t>
  </si>
  <si>
    <t>(Incorrect_Update_for_Loop_Iterator_1_T_Loop19_TestCase9, yes, 456)
(Incorrect_Update_for_Loop_Iterator_1_T_Loop19_TestCase10, yes, 425)
(Incorrect_Update_for_Loop_Iterator_1_T_Loop19_TestCase8, yes, 454)
(Incorrect_Update_for_Loop_Iterator_1_T_Loop19_TestCase3, yes, 455)
(Incorrect_Update_for_Loop_Iterator_1_T_Loop19_TestCase2, yes, 407)
(Incorrect_Update_for_Loop_Iterator_1_T_Loop19_TestCase1, unknown, 510)
(Incorrect_Update_for_Loop_Iterator_1_T_Loop19_TestCase5, yes, 453)
(Incorrect_Update_for_Loop_Iterator_1_T_Loop19_TestCase4, yes, 456)
(Incorrect_Update_for_Loop_Iterator_1_T_Loop19_TestCase6, yes, 431)
(Incorrect_Update_for_Loop_Iterator_1_T_Loop19_TestCase7, yes, 334)</t>
  </si>
  <si>
    <t>(Incorrect_Update_for_Loop_Iterator_1_T_Loop0_TestCase5, yes, 470)
(Incorrect_Update_for_Loop_Iterator_1_T_Loop0_TestCase4, yes, 419)
(Incorrect_Update_for_Loop_Iterator_1_T_Loop0_TestCase6, yes, 456)
(Incorrect_Update_for_Loop_Iterator_1_T_Loop0_TestCase7, yes, 446)
(Incorrect_Update_for_Loop_Iterator_1_T_Loop0_TestCase3, yes, 473)
(Incorrect_Update_for_Loop_Iterator_1_T_Loop0_TestCase2, yes, 435)
(Incorrect_Update_for_Loop_Iterator_1_T_Loop0_TestCase10, yes, 434)
(Incorrect_Update_for_Loop_Iterator_1_T_Loop0_TestCase1, unknown, 822)
(Incorrect_Update_for_Loop_Iterator_1_T_Loop0_TestCase9, yes, 450)
(Incorrect_Update_for_Loop_Iterator_1_T_Loop0_TestCase8, yes, 448)</t>
  </si>
  <si>
    <t>(Incorrect_Update_for_Loop_Iterator_1_T_Loop19_TestCase0, unknown, 714)</t>
  </si>
  <si>
    <t>(Incorrect_Update_for_Loop_Iterator_1_T_Loop0_TestCase0, unknown, 437)</t>
  </si>
  <si>
    <t>(Incorrect_Update_for_Loop_Iterator_1_NT_Loop19_TestCase2, yes, 472)
(Incorrect_Update_for_Loop_Iterator_1_NT_Loop19_TestCase3, yes, 498)
(Incorrect_Update_for_Loop_Iterator_1_NT_Loop19_TestCase1, unknown, 643)
(Incorrect_Update_for_Loop_Iterator_1_NT_Loop19_TestCase10, no, 434)
(Incorrect_Update_for_Loop_Iterator_1_NT_Loop19_TestCase4, yes, 416)
(Incorrect_Update_for_Loop_Iterator_1_NT_Loop19_TestCase5, yes, 488)
(Incorrect_Update_for_Loop_Iterator_1_NT_Loop19_TestCase7, unknown, 458)
(Incorrect_Update_for_Loop_Iterator_1_NT_Loop19_TestCase6, no, 426)
(Incorrect_Update_for_Loop_Iterator_1_NT_Loop19_TestCase8, no, 412)
(Incorrect_Update_for_Loop_Iterator_1_NT_Loop19_TestCase9, no, 431)</t>
  </si>
  <si>
    <t>(Incorrect_Update_for_Loop_Iterator_1_NT_Loop0_TestCase9, no, 426)
(Incorrect_Update_for_Loop_Iterator_1_NT_Loop0_TestCase8, no, 443)
(Incorrect_Update_for_Loop_Iterator_1_NT_Loop0_TestCase10, no, 376)
(Incorrect_Update_for_Loop_Iterator_1_NT_Loop0_TestCase3, yes, 486)
(Incorrect_Update_for_Loop_Iterator_1_NT_Loop0_TestCase2, yes, 476)
(Incorrect_Update_for_Loop_Iterator_1_NT_Loop0_TestCase1, unknown, 871)
(Incorrect_Update_for_Loop_Iterator_1_NT_Loop0_TestCase5, yes, 485)
(Incorrect_Update_for_Loop_Iterator_1_NT_Loop0_TestCase4, yes, 496)
(Incorrect_Update_for_Loop_Iterator_1_NT_Loop0_TestCase6, no, 412)
(Incorrect_Update_for_Loop_Iterator_1_NT_Loop0_TestCase7, unknown, 458)</t>
  </si>
  <si>
    <t>(Incorrect_Update_for_Loop_Iterator_1_NT_Loop19_TestCase0, unknown, 429)</t>
  </si>
  <si>
    <t>(Incorrect_Update_for_Loop_Iterator_1_NT_Loop0_TestCase0, unknown, 434)</t>
  </si>
  <si>
    <t>(Incorrect_Initialization_4_T_Loop20_TestCase7, yes, 400)
(Incorrect_Initialization_4_T_Loop20_TestCase6, yes, 374)
(Incorrect_Initialization_4_T_Loop20_TestCase4, yes, 290)
(Incorrect_Initialization_4_T_Loop20_TestCase5, yes, 337)
(Incorrect_Initialization_4_T_Loop20_TestCase1, yes, 335)
(Incorrect_Initialization_4_T_Loop20_TestCase2, yes, 350)
(Incorrect_Initialization_4_T_Loop20_TestCase3, yes, 367)
(Incorrect_Initialization_4_T_Loop20_TestCase10, yes, 402)
(Incorrect_Initialization_4_T_Loop20_TestCase8, yes, 408)
(Incorrect_Initialization_4_T_Loop20_TestCase9, yes, 394)</t>
  </si>
  <si>
    <t>(Incorrect_Initialization_4_T_Loop0_TestCase8, yes, 418)
(Incorrect_Initialization_4_T_Loop0_TestCase9, yes, 404)
(Incorrect_Initialization_4_T_Loop0_TestCase10, yes, 386)
(Incorrect_Initialization_4_T_Loop0_TestCase7, yes, 391)
(Incorrect_Initialization_4_T_Loop0_TestCase6, yes, 420)
(Incorrect_Initialization_4_T_Loop0_TestCase4, yes, 322)
(Incorrect_Initialization_4_T_Loop0_TestCase5, yes, 356)
(Incorrect_Initialization_4_T_Loop0_TestCase1, yes, 290)
(Incorrect_Initialization_4_T_Loop0_TestCase2, yes, 359)
(Incorrect_Initialization_4_T_Loop0_TestCase3, yes, 337)</t>
  </si>
  <si>
    <t>(Incorrect_Initialization_4_T_Loop20_TestCase0, yes, 498)</t>
  </si>
  <si>
    <t>(Incorrect_Initialization_4_T_Loop0_TestCase0, yes, 529)</t>
  </si>
  <si>
    <t>(Incorrect_Initialization_4_NT_Loop19_TestCase2, yes, 361)
(Incorrect_Initialization_4_NT_Loop19_TestCase3, yes, 365)
(Incorrect_Initialization_4_NT_Loop19_TestCase1, yes, 276)
(Incorrect_Initialization_4_NT_Loop19_TestCase4, yes, 361)
(Incorrect_Initialization_4_NT_Loop19_TestCase5, yes, 372)
(Incorrect_Initialization_4_NT_Loop19_TestCase7, unknown, 419)
(Incorrect_Initialization_4_NT_Loop19_TestCase6, unknown, 415)
(Incorrect_Initialization_4_NT_Loop19_TestCase10, unknown, 442)
(Incorrect_Initialization_4_NT_Loop19_TestCase8, unknown, 495)
(Incorrect_Initialization_4_NT_Loop19_TestCase9, unknown, 462)</t>
  </si>
  <si>
    <t>(Incorrect_Initialization_4_NT_Loop0_TestCase7, unknown, 432)
(Incorrect_Initialization_4_NT_Loop0_TestCase6, unknown, 429)
(Incorrect_Initialization_4_NT_Loop0_TestCase4, yes, 360)
(Incorrect_Initialization_4_NT_Loop0_TestCase5, yes, 348)
(Incorrect_Initialization_4_NT_Loop0_TestCase1, yes, 384)
(Incorrect_Initialization_4_NT_Loop0_TestCase2, yes, 329)
(Incorrect_Initialization_4_NT_Loop0_TestCase3, yes, 329)
(Incorrect_Initialization_4_NT_Loop0_TestCase8, unknown, 468)
(Incorrect_Initialization_4_NT_Loop0_TestCase9, unknown, 485)
(Incorrect_Initialization_4_NT_Loop0_TestCase10, unknown, 451)</t>
  </si>
  <si>
    <t>(Incorrect_Initialization_4_NT_Loop19_TestCase0, unknown, 475)</t>
  </si>
  <si>
    <t>(Incorrect_Initialization_4_NT_Loop0_TestCase0, unknown, 480)</t>
  </si>
  <si>
    <t>(Incorrect_Initialization_3_T_Loop10_TestCase0, unknown, 404)
(Incorrect_Initialization_3_T_Loop21_TestCase0, yes, 301)
(Incorrect_Initialization_3_T_Loop25_TestCase0, yes, 390)</t>
  </si>
  <si>
    <t>(Incorrect_Initialization_3_T_Loop0_TestCase0, unknown, 391)</t>
  </si>
  <si>
    <t>(Incorrect_Initialization_3_T_Loop10_TestCase0, unknown, 410)
(Incorrect_Initialization_3_T_Loop21_TestCase0, yes, 287)
(Incorrect_Initialization_3_T_Loop25_TestCase0, yes, 398)</t>
  </si>
  <si>
    <t>(Incorrect_Initialization_3_T_Loop0_TestCase0, unknown, 371)</t>
  </si>
  <si>
    <t>(Incorrect_Initialization_3_NT_Loop10_TestCase0, no, 318)
(Incorrect_Initialization_3_NT_Loop25_TestCase0, yes, 406)
(Incorrect_Initialization_3_NT_Loop21_TestCase0, yes, 366)</t>
  </si>
  <si>
    <t>(Incorrect_Initialization_3_NT_Loop0_TestCase0, unknown, 359)</t>
  </si>
  <si>
    <t>(Incorrect_Initialization_3_NT_Loop10_TestCase0, no, 310)
(Incorrect_Initialization_3_NT_Loop25_TestCase0, yes, 396)
(Incorrect_Initialization_3_NT_Loop21_TestCase0, yes, 370)</t>
  </si>
  <si>
    <t>(Incorrect_Initialization_3_NT_Loop0_TestCase0, unknown, 358)</t>
  </si>
  <si>
    <t>(Incorrect_Initialization_2_T_Loop26_TestCase9, unknown, 576)
(Incorrect_Initialization_2_T_Loop26_TestCase8, unknown, 605)
(Incorrect_Initialization_2_T_Loop29_TestCase1, unknown, 536)
(Incorrect_Initialization_2_T_Loop26_TestCase10, unknown, 656)
(Incorrect_Initialization_2_T_Loop29_TestCase10, unknown, 646)
(Incorrect_Initialization_2_T_Loop29_TestCase2, unknown, 517)
(Incorrect_Initialization_2_T_Loop29_TestCase3, unknown, 770)
(Incorrect_Initialization_2_T_Loop29_TestCase7, unknown, 625)
(Incorrect_Initialization_2_T_Loop29_TestCase6, unknown, 736)
(Incorrect_Initialization_2_T_Loop29_TestCase4, unknown, 511)
(Incorrect_Initialization_2_T_Loop29_TestCase5, unknown, 542)
(Incorrect_Initialization_2_T_Loop29_TestCase8, unknown, 608)
(Incorrect_Initialization_2_T_Loop29_TestCase9, unknown, 599)
(Incorrect_Initialization_2_T_Loop26_TestCase3, unknown, 716)
(Incorrect_Initialization_2_T_Loop26_TestCase2, unknown, 512)
(Incorrect_Initialization_2_T_Loop26_TestCase1, unknown, 546)
(Incorrect_Initialization_2_T_Loop26_TestCase5, unknown, 543)
(Incorrect_Initialization_2_T_Loop26_TestCase4, unknown, 508)
(Incorrect_Initialization_2_T_Loop26_TestCase6, unknown, 652)
(Incorrect_Initialization_2_T_Loop26_TestCase7, unknown, 601)</t>
  </si>
  <si>
    <t>(Incorrect_Initialization_2_T_Loop0_TestCase9, unknown, 627)
(Incorrect_Initialization_2_T_Loop0_TestCase8, unknown, 789)
(Incorrect_Initialization_2_T_Loop0_TestCase3, unknown, 986)
(Incorrect_Initialization_2_T_Loop0_TestCase2, unknown, 754)
(Incorrect_Initialization_2_T_Loop0_TestCase1, unknown, 781)
(Incorrect_Initialization_2_T_Loop0_TestCase5, unknown, 800)
(Incorrect_Initialization_2_T_Loop0_TestCase4, unknown, 746)
(Incorrect_Initialization_2_T_Loop0_TestCase10, unknown, 747)
(Incorrect_Initialization_2_T_Loop0_TestCase6, unknown, 743)
(Incorrect_Initialization_2_T_Loop0_TestCase7, unknown, 730)</t>
  </si>
  <si>
    <t>(Incorrect_Initialization_2_T_Loop29_TestCase0, unknown, 484)
(Incorrect_Initialization_2_T_Loop26_TestCase0, unknown, 467)</t>
  </si>
  <si>
    <t>(Incorrect_Initialization_2_T_Loop0_TestCase0, unknown, 733)</t>
  </si>
  <si>
    <t>(Incorrect_Initialization_2_NT_Loop31_TestCase7, unknown, 517)
(Incorrect_Initialization_2_NT_Loop31_TestCase6, unknown, 583)
(Incorrect_Initialization_2_NT_Loop31_TestCase4, unknown, 520)
(Incorrect_Initialization_2_NT_Loop31_TestCase5, unknown, 446)
(Incorrect_Initialization_2_NT_Loop31_TestCase1, unknown, 479)
(Incorrect_Initialization_2_NT_Loop31_TestCase2, unknown, 520)
(Incorrect_Initialization_2_NT_Loop31_TestCase3, unknown, 504)
(Incorrect_Initialization_2_NT_Loop29_TestCase9, unknown, 621)
(Incorrect_Initialization_2_NT_Loop29_TestCase8, unknown, 559)
(Incorrect_Initialization_2_NT_Loop29_TestCase5, unknown, 534)
(Incorrect_Initialization_2_NT_Loop29_TestCase4, unknown, 530)
(Incorrect_Initialization_2_NT_Loop29_TestCase6, unknown, 561)
(Incorrect_Initialization_2_NT_Loop31_TestCase10, unknown, 626)
(Incorrect_Initialization_2_NT_Loop29_TestCase7, unknown, 541)
(Incorrect_Initialization_2_NT_Loop29_TestCase3, unknown, 520)
(Incorrect_Initialization_2_NT_Loop29_TestCase2, unknown, 545)
(Incorrect_Initialization_2_NT_Loop29_TestCase1, unknown, 473)
(Incorrect_Initialization_2_NT_Loop31_TestCase8, unknown, 564)
(Incorrect_Initialization_2_NT_Loop31_TestCase9, unknown, 619)
(Incorrect_Initialization_2_NT_Loop29_TestCase10, unknown, 619)</t>
  </si>
  <si>
    <t>(Incorrect_Initialization_2_NT_Loop0_TestCase10, unknown, 706)
(Incorrect_Initialization_2_NT_Loop0_TestCase1, unknown, 669)
(Incorrect_Initialization_2_NT_Loop0_TestCase3, unknown, 609)
(Incorrect_Initialization_2_NT_Loop0_TestCase2, unknown, 678)
(Incorrect_Initialization_2_NT_Loop0_TestCase6, unknown, 800)
(Incorrect_Initialization_2_NT_Loop0_TestCase7, unknown, 731)
(Incorrect_Initialization_2_NT_Loop0_TestCase5, unknown, 673)
(Incorrect_Initialization_2_NT_Loop0_TestCase4, unknown, 705)
(Incorrect_Initialization_2_NT_Loop0_TestCase9, unknown, 792)
(Incorrect_Initialization_2_NT_Loop0_TestCase8, unknown, 690)</t>
  </si>
  <si>
    <t>(Incorrect_Initialization_2_NT_Loop31_TestCase0, unknown, 499)
(Incorrect_Initialization_2_NT_Loop29_TestCase0, unknown, 444)</t>
  </si>
  <si>
    <t>(Incorrect_Initialization_2_NT_Loop0_TestCase0, unknown, 694)</t>
  </si>
  <si>
    <t>(Incorrect_Initialization_1_T_Loop18_TestCase8, unknown, 431)
(Incorrect_Initialization_1_T_Loop35_TestCase10, unknown, 437)
(Incorrect_Initialization_1_T_Loop18_TestCase9, unknown, 444)
(Incorrect_Initialization_1_T_Loop35_TestCase8, unknown, 393)
(Incorrect_Initialization_1_T_Loop31_TestCase9, yes, 353)
(Incorrect_Initialization_1_T_Loop31_TestCase8, yes, 382)
(Incorrect_Initialization_1_T_Loop35_TestCase9, unknown, 419)
(Incorrect_Initialization_1_T_Loop31_TestCase10, yes, 360)
(Incorrect_Initialization_1_T_Loop15_TestCase8, unknown, 413)
(Incorrect_Initialization_1_T_Loop15_TestCase9, unknown, 425)
(Incorrect_Initialization_1_T_Loop15_TestCase2, unknown, 442)
(Incorrect_Initialization_1_T_Loop15_TestCase3, unknown, 415)
(Incorrect_Initialization_1_T_Loop15_TestCase1, unknown, 414)
(Incorrect_Initialization_1_T_Loop15_TestCase4, unknown, 402)
(Incorrect_Initialization_1_T_Loop15_TestCase5, unknown, 375)
(Incorrect_Initialization_1_T_Loop18_TestCase10, unknown, 405)
(Incorrect_Initialization_1_T_Loop15_TestCase7, unknown, 412)
(Incorrect_Initialization_1_T_Loop15_TestCase6, unknown, 448)
(Incorrect_Initialization_1_T_Loop35_TestCase7, unknown, 413)
(Incorrect_Initialization_1_T_Loop31_TestCase6, yes, 368)
(Incorrect_Initialization_1_T_Loop18_TestCase2, unknown, 420)
(Incorrect_Initialization_1_T_Loop18_TestCase3, unknown, 432)
(Incorrect_Initialization_1_T_Loop31_TestCase7, yes, 388)
(Incorrect_Initialization_1_T_Loop35_TestCase6, unknown, 406)
(Incorrect_Initialization_1_T_Loop35_TestCase4, unknown, 395)
(Incorrect_Initialization_1_T_Loop18_TestCase1, unknown, 408)
(Incorrect_Initialization_1_T_Loop31_TestCase5, yes, 369)
(Incorrect_Initialization_1_T_Loop31_TestCase4, yes, 384)
(Incorrect_Initialization_1_T_Loop35_TestCase5, unknown, 388)
(Incorrect_Initialization_1_T_Loop15_TestCase10, unknown, 421)
(Incorrect_Initialization_1_T_Loop35_TestCase1, unknown, 440)
(Incorrect_Initialization_1_T_Loop18_TestCase4, unknown, 443)
(Incorrect_Initialization_1_T_Loop31_TestCase1, yes, 357)
(Incorrect_Initialization_1_T_Loop18_TestCase5, unknown, 413)
(Incorrect_Initialization_1_T_Loop35_TestCase2, unknown, 427)
(Incorrect_Initialization_1_T_Loop31_TestCase3, yes, 397)
(Incorrect_Initialization_1_T_Loop18_TestCase7, unknown, 399)
(Incorrect_Initialization_1_T_Loop18_TestCase6, unknown, 444)
(Incorrect_Initialization_1_T_Loop31_TestCase2, yes, 370)
(Incorrect_Initialization_1_T_Loop35_TestCase3, unknown, 420)</t>
  </si>
  <si>
    <t>(Incorrect_Initialization_1_T_Loop0_TestCase7, unknown, 444)
(Incorrect_Initialization_1_T_Loop0_TestCase6, unknown, 423)
(Incorrect_Initialization_1_T_Loop0_TestCase4, unknown, 418)
(Incorrect_Initialization_1_T_Loop0_TestCase5, unknown, 429)
(Incorrect_Initialization_1_T_Loop0_TestCase1, unknown, 352)
(Incorrect_Initialization_1_T_Loop0_TestCase2, unknown, 408)
(Incorrect_Initialization_1_T_Loop0_TestCase3, unknown, 409)
(Incorrect_Initialization_1_T_Loop0_TestCase8, unknown, 362)
(Incorrect_Initialization_1_T_Loop0_TestCase9, unknown, 422)
(Incorrect_Initialization_1_T_Loop0_TestCase10, unknown, 404)</t>
  </si>
  <si>
    <t>(Incorrect_Initialization_1_T_Loop15_TestCase0, unknown, 426)
(Incorrect_Initialization_1_T_Loop18_TestCase0, unknown, 452)
(Incorrect_Initialization_1_T_Loop31_TestCase0, yes, 375)
(Incorrect_Initialization_1_T_Loop35_TestCase0, unknown, 349)</t>
  </si>
  <si>
    <t>(Incorrect_Initialization_1_T_Loop0_TestCase0, unknown, 381)</t>
  </si>
  <si>
    <t>(Incorrect_Initialization_1_NT_Loop16_TestCase3, unknown, 436)
(Incorrect_Initialization_1_NT_Loop16_TestCase2, unknown, 380)
(Incorrect_Initialization_1_NT_Loop16_TestCase1, unknown, 399)
(Incorrect_Initialization_1_NT_Loop16_TestCase5, unknown, 411)
(Incorrect_Initialization_1_NT_Loop16_TestCase4, unknown, 410)
(Incorrect_Initialization_1_NT_Loop16_TestCase6, unknown, 396)
(Incorrect_Initialization_1_NT_Loop36_TestCase10, unknown, 401)
(Incorrect_Initialization_1_NT_Loop16_TestCase7, unknown, 425)
(Incorrect_Initialization_1_NT_Loop36_TestCase6, unknown, 448)
(Incorrect_Initialization_1_NT_Loop19_TestCase8, unknown, 414)
(Incorrect_Initialization_1_NT_Loop32_TestCase7, yes, 378)
(Incorrect_Initialization_1_NT_Loop32_TestCase6, yes, 373)
(Incorrect_Initialization_1_NT_Loop19_TestCase9, unknown, 423)
(Incorrect_Initialization_1_NT_Loop36_TestCase7, unknown, 446)
(Incorrect_Initialization_1_NT_Loop36_TestCase5, unknown, 394)
(Incorrect_Initialization_1_NT_Loop32_TestCase4, yes, 320)
(Incorrect_Initialization_1_NT_Loop32_TestCase5, yes, 377)
(Incorrect_Initialization_1_NT_Loop36_TestCase4, unknown, 405)
(Incorrect_Initialization_1_NT_Loop32_TestCase1, yes, 379)
(Incorrect_Initialization_1_NT_Loop32_TestCase10, yes, 370)
(Incorrect_Initialization_1_NT_Loop36_TestCase1, unknown, 476)
(Incorrect_Initialization_1_NT_Loop36_TestCase3, unknown, 414)
(Incorrect_Initialization_1_NT_Loop32_TestCase2, yes, 368)
(Incorrect_Initialization_1_NT_Loop32_TestCase3, yes, 379)
(Incorrect_Initialization_1_NT_Loop36_TestCase2, unknown, 395)
(Incorrect_Initialization_1_NT_Loop19_TestCase1, unknown, 412)
(Incorrect_Initialization_1_NT_Loop19_TestCase2, unknown, 418)
(Incorrect_Initialization_1_NT_Loop19_TestCase3, unknown, 414)
(Incorrect_Initialization_1_NT_Loop36_TestCase9, unknown, 418)
(Incorrect_Initialization_1_NT_Loop19_TestCase7, unknown, 391)
(Incorrect_Initialization_1_NT_Loop32_TestCase8, yes, 368)
(Incorrect_Initialization_1_NT_Loop32_TestCase9, yes, 367)
(Incorrect_Initialization_1_NT_Loop19_TestCase6, unknown, 447)
(Incorrect_Initialization_1_NT_Loop36_TestCase8, unknown, 422)
(Incorrect_Initialization_1_NT_Loop19_TestCase4, unknown, 444)
(Incorrect_Initialization_1_NT_Loop19_TestCase5, unknown, 402)
(Incorrect_Initialization_1_NT_Loop16_TestCase9, unknown, 403)
(Incorrect_Initialization_1_NT_Loop16_TestCase8, unknown, 402)
(Incorrect_Initialization_1_NT_Loop19_TestCase10, unknown, 411)
(Incorrect_Initialization_1_NT_Loop16_TestCase10, unknown, 406)</t>
  </si>
  <si>
    <t>(Incorrect_Initialization_1_NT_Loop0_TestCase5, unknown, 408)
(Incorrect_Initialization_1_NT_Loop0_TestCase4, unknown, 398)
(Incorrect_Initialization_1_NT_Loop0_TestCase6, unknown, 422)
(Incorrect_Initialization_1_NT_Loop0_TestCase7, unknown, 404)
(Incorrect_Initialization_1_NT_Loop0_TestCase10, unknown, 411)
(Incorrect_Initialization_1_NT_Loop0_TestCase3, unknown, 395)
(Incorrect_Initialization_1_NT_Loop0_TestCase2, unknown, 357)
(Incorrect_Initialization_1_NT_Loop0_TestCase1, unknown, 427)
(Incorrect_Initialization_1_NT_Loop0_TestCase9, unknown, 408)
(Incorrect_Initialization_1_NT_Loop0_TestCase8, unknown, 416)</t>
  </si>
  <si>
    <t>(Incorrect_Initialization_1_NT_Loop16_TestCase0, unknown, 409)
(Incorrect_Initialization_1_NT_Loop36_TestCase0, unknown, 416)
(Incorrect_Initialization_1_NT_Loop32_TestCase0, yes, 311)
(Incorrect_Initialization_1_NT_Loop19_TestCase0, unknown, 396)</t>
  </si>
  <si>
    <t>(Incorrect_Initialization_1_NT_Loop0_TestCase0, unknown, 357)</t>
  </si>
  <si>
    <t>(Incorrect_Control_Statement_2_T_Loop17_TestCase9, yes, 371)
(Incorrect_Control_Statement_2_T_Loop17_TestCase8, yes, 369)
(Incorrect_Control_Statement_2_T_Loop17_TestCase10, yes, 405)
(Incorrect_Control_Statement_2_T_Loop23_TestCase9, yes, 428)
(Incorrect_Control_Statement_2_T_Loop23_TestCase8, yes, 723)
(Incorrect_Control_Statement_2_T_Loop23_TestCase3, yes, 410)
(Incorrect_Control_Statement_2_T_Loop23_TestCase2, yes, 389)
(Incorrect_Control_Statement_2_T_Loop23_TestCase1, yes, 406)
(Incorrect_Control_Statement_2_T_Loop23_TestCase5, yes, 442)
(Incorrect_Control_Statement_2_T_Loop23_TestCase4, yes, 434)
(Incorrect_Control_Statement_2_T_Loop23_TestCase6, yes, 415)
(Incorrect_Control_Statement_2_T_Loop23_TestCase10, yes, 454)
(Incorrect_Control_Statement_2_T_Loop23_TestCase7, yes, 409)
(Incorrect_Control_Statement_2_T_Loop17_TestCase3, yes, 382)
(Incorrect_Control_Statement_2_T_Loop17_TestCase2, yes, 350)
(Incorrect_Control_Statement_2_T_Loop17_TestCase1, yes, 426)
(Incorrect_Control_Statement_2_T_Loop17_TestCase5, yes, 394)
(Incorrect_Control_Statement_2_T_Loop17_TestCase4, yes, 374)
(Incorrect_Control_Statement_2_T_Loop17_TestCase6, yes, 426)
(Incorrect_Control_Statement_2_T_Loop17_TestCase7, yes, 387)</t>
  </si>
  <si>
    <t>(Incorrect_Control_Statement_2_T_Loop0_TestCase2, yes, 412)
(Incorrect_Control_Statement_2_T_Loop0_TestCase3, yes, 431)
(Incorrect_Control_Statement_2_T_Loop0_TestCase1, yes, 418)
(Incorrect_Control_Statement_2_T_Loop0_TestCase4, yes, 427)
(Incorrect_Control_Statement_2_T_Loop0_TestCase5, yes, 445)
(Incorrect_Control_Statement_2_T_Loop0_TestCase7, yes, 422)
(Incorrect_Control_Statement_2_T_Loop0_TestCase6, yes, 364)
(Incorrect_Control_Statement_2_T_Loop0_TestCase10, yes, 431)
(Incorrect_Control_Statement_2_T_Loop0_TestCase8, yes, 399)
(Incorrect_Control_Statement_2_T_Loop0_TestCase9, yes, 409)</t>
  </si>
  <si>
    <t>(Incorrect_Control_Statement_2_T_Loop23_TestCase0, yes, 359)
(Incorrect_Control_Statement_2_T_Loop17_TestCase0, yes, 344)</t>
  </si>
  <si>
    <t>(Incorrect_Control_Statement_2_T_Loop0_TestCase0, yes, 414)</t>
  </si>
  <si>
    <t>(Incorrect_Control_Statement_2_NT_Loop17_TestCase3, yes, 357)
(Incorrect_Control_Statement_2_NT_Loop17_TestCase2, yes, 355)
(Incorrect_Control_Statement_2_NT_Loop17_TestCase1, yes, 343)
(Incorrect_Control_Statement_2_NT_Loop17_TestCase10, yes, 350)
(Incorrect_Control_Statement_2_NT_Loop17_TestCase5, yes, 359)
(Incorrect_Control_Statement_2_NT_Loop17_TestCase4, yes, 384)
(Incorrect_Control_Statement_2_NT_Loop17_TestCase6, yes, 354)
(Incorrect_Control_Statement_2_NT_Loop17_TestCase7, yes, 357)
(Incorrect_Control_Statement_2_NT_Loop23_TestCase3, yes, 398)
(Incorrect_Control_Statement_2_NT_Loop23_TestCase2, yes, 408)
(Incorrect_Control_Statement_2_NT_Loop23_TestCase1, yes, 430)
(Incorrect_Control_Statement_2_NT_Loop23_TestCase5, yes, 384)
(Incorrect_Control_Statement_2_NT_Loop23_TestCase4, yes, 411)
(Incorrect_Control_Statement_2_NT_Loop23_TestCase6, no, 416)
(Incorrect_Control_Statement_2_NT_Loop23_TestCase7, no, 406)
(Incorrect_Control_Statement_2_NT_Loop23_TestCase9, unknown, 433)
(Incorrect_Control_Statement_2_NT_Loop23_TestCase8, unknown, 447)
(Incorrect_Control_Statement_2_NT_Loop17_TestCase9, yes, 358)
(Incorrect_Control_Statement_2_NT_Loop23_TestCase10, no, 424)
(Incorrect_Control_Statement_2_NT_Loop17_TestCase8, yes, 370)</t>
  </si>
  <si>
    <t>(Incorrect_Control_Statement_2_NT_Loop0_TestCase9, unknown, 444)
(Incorrect_Control_Statement_2_NT_Loop0_TestCase8, unknown, 431)
(Incorrect_Control_Statement_2_NT_Loop0_TestCase10, no, 391)
(Incorrect_Control_Statement_2_NT_Loop0_TestCase6, no, 392)
(Incorrect_Control_Statement_2_NT_Loop0_TestCase7, no, 353)
(Incorrect_Control_Statement_2_NT_Loop0_TestCase5, yes, 450)
(Incorrect_Control_Statement_2_NT_Loop0_TestCase4, yes, 438)
(Incorrect_Control_Statement_2_NT_Loop0_TestCase1, yes, 440)
(Incorrect_Control_Statement_2_NT_Loop0_TestCase3, yes, 444)
(Incorrect_Control_Statement_2_NT_Loop0_TestCase2, yes, 454)</t>
  </si>
  <si>
    <t>(Incorrect_Control_Statement_2_NT_Loop17_TestCase0, yes, 306)
(Incorrect_Control_Statement_2_NT_Loop23_TestCase0, unknown, 439)</t>
  </si>
  <si>
    <t>(Incorrect_Control_Statement_2_NT_Loop0_TestCase0, unknown, 404)</t>
  </si>
  <si>
    <t>(Incorrect_Control_Statement_1_T_Loop14_TestCase9, yes, 375)
(Incorrect_Control_Statement_1_T_Loop14_TestCase8, yes, 368)
(Incorrect_Control_Statement_1_T_Loop18_TestCase10, unknown, 452)
(Incorrect_Control_Statement_1_T_Loop18_TestCase4, unknown, 410)
(Incorrect_Control_Statement_1_T_Loop18_TestCase5, unknown, 405)
(Incorrect_Control_Statement_1_T_Loop18_TestCase7, unknown, 416)
(Incorrect_Control_Statement_1_T_Loop18_TestCase6, unknown, 394)
(Incorrect_Control_Statement_1_T_Loop18_TestCase2, unknown, 422)
(Incorrect_Control_Statement_1_T_Loop18_TestCase3, unknown, 414)
(Incorrect_Control_Statement_1_T_Loop18_TestCase1, unknown, 418)
(Incorrect_Control_Statement_1_T_Loop14_TestCase10, yes, 395)
(Incorrect_Control_Statement_1_T_Loop18_TestCase8, unknown, 411)
(Incorrect_Control_Statement_1_T_Loop18_TestCase9, unknown, 353)
(Incorrect_Control_Statement_1_T_Loop14_TestCase3, yes, 363)
(Incorrect_Control_Statement_1_T_Loop14_TestCase2, yes, 386)
(Incorrect_Control_Statement_1_T_Loop14_TestCase1, yes, 338)
(Incorrect_Control_Statement_1_T_Loop14_TestCase5, yes, 364)
(Incorrect_Control_Statement_1_T_Loop14_TestCase4, yes, 359)
(Incorrect_Control_Statement_1_T_Loop14_TestCase6, yes, 378)
(Incorrect_Control_Statement_1_T_Loop14_TestCase7, yes, 374)</t>
  </si>
  <si>
    <t>(Incorrect_Control_Statement_1_T_Loop0_TestCase9, unknown, 457)
(Incorrect_Control_Statement_1_T_Loop0_TestCase8, unknown, 486)
(Incorrect_Control_Statement_1_T_Loop0_TestCase10, unknown, 438)
(Incorrect_Control_Statement_1_T_Loop0_TestCase6, unknown, 419)
(Incorrect_Control_Statement_1_T_Loop0_TestCase7, unknown, 432)
(Incorrect_Control_Statement_1_T_Loop0_TestCase5, unknown, 459)
(Incorrect_Control_Statement_1_T_Loop0_TestCase4, unknown, 437)
(Incorrect_Control_Statement_1_T_Loop0_TestCase1, unknown, 398)
(Incorrect_Control_Statement_1_T_Loop0_TestCase3, unknown, 454)
(Incorrect_Control_Statement_1_T_Loop0_TestCase2, unknown, 386)</t>
  </si>
  <si>
    <t>(Incorrect_Control_Statement_1_T_Loop18_TestCase0, unknown, 375)
(Incorrect_Control_Statement_1_T_Loop14_TestCase0, yes, 382)</t>
  </si>
  <si>
    <t>(Incorrect_Control_Statement_1_T_Loop0_TestCase0, unknown, 372)</t>
  </si>
  <si>
    <t>(Incorrect_Control_Statement_1_NT_Loop20_TestCase3, unknown, 416)
(Incorrect_Control_Statement_1_NT_Loop20_TestCase2, unknown, 434)
(Incorrect_Control_Statement_1_NT_Loop20_TestCase1, unknown, 415)
(Incorrect_Control_Statement_1_NT_Loop20_TestCase5, unknown, 423)
(Incorrect_Control_Statement_1_NT_Loop20_TestCase10, unknown, 411)
(Incorrect_Control_Statement_1_NT_Loop20_TestCase4, unknown, 355)
(Incorrect_Control_Statement_1_NT_Loop20_TestCase6, unknown, 402)
(Incorrect_Control_Statement_1_NT_Loop20_TestCase7, unknown, 408)
(Incorrect_Control_Statement_1_NT_Loop16_TestCase8, yes, 376)
(Incorrect_Control_Statement_1_NT_Loop16_TestCase9, yes, 381)
(Incorrect_Control_Statement_1_NT_Loop16_TestCase1, yes, 370)
(Incorrect_Control_Statement_1_NT_Loop16_TestCase2, yes, 367)
(Incorrect_Control_Statement_1_NT_Loop16_TestCase3, yes, 379)
(Incorrect_Control_Statement_1_NT_Loop16_TestCase7, yes, 365)
(Incorrect_Control_Statement_1_NT_Loop16_TestCase6, yes, 378)
(Incorrect_Control_Statement_1_NT_Loop16_TestCase10, yes, 353)
(Incorrect_Control_Statement_1_NT_Loop16_TestCase4, yes, 367)
(Incorrect_Control_Statement_1_NT_Loop16_TestCase5, yes, 377)
(Incorrect_Control_Statement_1_NT_Loop20_TestCase9, unknown, 421)
(Incorrect_Control_Statement_1_NT_Loop20_TestCase8, unknown, 387)</t>
  </si>
  <si>
    <t>(Incorrect_Control_Statement_1_NT_Loop0_TestCase9, unknown, 428)
(Incorrect_Control_Statement_1_NT_Loop0_TestCase8, unknown, 436)
(Incorrect_Control_Statement_1_NT_Loop0_TestCase3, unknown, 431)
(Incorrect_Control_Statement_1_NT_Loop0_TestCase2, unknown, 374)
(Incorrect_Control_Statement_1_NT_Loop0_TestCase1, unknown, 411)
(Incorrect_Control_Statement_1_NT_Loop0_TestCase5, unknown, 442)
(Incorrect_Control_Statement_1_NT_Loop0_TestCase4, unknown, 419)
(Incorrect_Control_Statement_1_NT_Loop0_TestCase6, unknown, 458)
(Incorrect_Control_Statement_1_NT_Loop0_TestCase10, unknown, 411)
(Incorrect_Control_Statement_1_NT_Loop0_TestCase7, unknown, 446)</t>
  </si>
  <si>
    <t>(Incorrect_Control_Statement_1_NT_Loop20_TestCase0, unknown, 344)
(Incorrect_Control_Statement_1_NT_Loop16_TestCase0, yes, 366)</t>
  </si>
  <si>
    <t>(Incorrect_Control_Statement_1_NT_Loop0_TestCase0, unknown, 399)</t>
  </si>
  <si>
    <t>(Incorrect_Bit_Calculation_3_T_Loop15_TestCase3, yes, 343)
(Incorrect_Bit_Calculation_3_T_Loop15_TestCase2, yes, 353)
(Incorrect_Bit_Calculation_3_T_Loop15_TestCase10, unknown, 470)
(Incorrect_Bit_Calculation_3_T_Loop15_TestCase1, yes, 366)
(Incorrect_Bit_Calculation_3_T_Loop15_TestCase5, yes, 288)
(Incorrect_Bit_Calculation_3_T_Loop15_TestCase4, yes, 365)
(Incorrect_Bit_Calculation_3_T_Loop15_TestCase6, unknown, 401)
(Incorrect_Bit_Calculation_3_T_Loop15_TestCase7, unknown, 423)
(Incorrect_Bit_Calculation_3_T_Loop15_TestCase9, unknown, 389)
(Incorrect_Bit_Calculation_3_T_Loop15_TestCase8, unknown, 434)</t>
  </si>
  <si>
    <t>(Incorrect_Bit_Calculation_3_T_Loop0_TestCase2, yes, 367)
(Incorrect_Bit_Calculation_3_T_Loop0_TestCase3, yes, 323)
(Incorrect_Bit_Calculation_3_T_Loop0_TestCase1, yes, 361)
(Incorrect_Bit_Calculation_3_T_Loop0_TestCase10, unknown, 444)
(Incorrect_Bit_Calculation_3_T_Loop0_TestCase4, yes, 367)
(Incorrect_Bit_Calculation_3_T_Loop0_TestCase5, yes, 372)
(Incorrect_Bit_Calculation_3_T_Loop0_TestCase7, unknown, 473)
(Incorrect_Bit_Calculation_3_T_Loop0_TestCase6, unknown, 433)
(Incorrect_Bit_Calculation_3_T_Loop0_TestCase8, unknown, 414)
(Incorrect_Bit_Calculation_3_T_Loop0_TestCase9, unknown, 427)</t>
  </si>
  <si>
    <t>(Incorrect_Bit_Calculation_3_T_Loop15_TestCase0, unknown, 389)</t>
  </si>
  <si>
    <t>(Incorrect_Bit_Calculation_3_T_Loop0_TestCase0, unknown, 397)</t>
  </si>
  <si>
    <t>(Incorrect_Bit_Calculation_3_NT_Loop18_TestCase8, no, 362)
(Incorrect_Bit_Calculation_3_NT_Loop18_TestCase9, no, 371)
(Incorrect_Bit_Calculation_3_NT_Loop18_TestCase10, no, 295)
(Incorrect_Bit_Calculation_3_NT_Loop18_TestCase7, no, 366)
(Incorrect_Bit_Calculation_3_NT_Loop18_TestCase6, no, 341)
(Incorrect_Bit_Calculation_3_NT_Loop18_TestCase4, yes, 368)
(Incorrect_Bit_Calculation_3_NT_Loop18_TestCase5, yes, 366)
(Incorrect_Bit_Calculation_3_NT_Loop18_TestCase1, yes, 353)
(Incorrect_Bit_Calculation_3_NT_Loop18_TestCase2, yes, 379)
(Incorrect_Bit_Calculation_3_NT_Loop18_TestCase3, yes, 351)</t>
  </si>
  <si>
    <t>(Incorrect_Bit_Calculation_3_NT_Loop0_TestCase8, no, 356)
(Incorrect_Bit_Calculation_3_NT_Loop0_TestCase9, no, 343)
(Incorrect_Bit_Calculation_3_NT_Loop0_TestCase4, yes, 389)
(Incorrect_Bit_Calculation_3_NT_Loop0_TestCase5, yes, 379)
(Incorrect_Bit_Calculation_3_NT_Loop0_TestCase7, no, 373)
(Incorrect_Bit_Calculation_3_NT_Loop0_TestCase6, no, 350)
(Incorrect_Bit_Calculation_3_NT_Loop0_TestCase2, yes, 326)
(Incorrect_Bit_Calculation_3_NT_Loop0_TestCase3, yes, 402)
(Incorrect_Bit_Calculation_3_NT_Loop0_TestCase1, yes, 365)
(Incorrect_Bit_Calculation_3_NT_Loop0_TestCase10, no, 359)</t>
  </si>
  <si>
    <t>(Incorrect_Bit_Calculation_3_NT_Loop18_TestCase0, unknown, 318)</t>
  </si>
  <si>
    <t>(Incorrect_Bit_Calculation_3_NT_Loop0_TestCase0, unknown, 337)</t>
  </si>
  <si>
    <t>(Incorrect_Bit_Calculation_2_T_Loop16_TestCase2, unknown, 414)
(Incorrect_Bit_Calculation_2_T_Loop16_TestCase3, unknown, 399)
(Incorrect_Bit_Calculation_2_T_Loop16_TestCase1, yes, 387)
(Incorrect_Bit_Calculation_2_T_Loop16_TestCase4, unknown, 408)
(Incorrect_Bit_Calculation_2_T_Loop16_TestCase5, unknown, 332)
(Incorrect_Bit_Calculation_2_T_Loop16_TestCase7, yes, 348)
(Incorrect_Bit_Calculation_2_T_Loop16_TestCase6, yes, 325)
(Incorrect_Bit_Calculation_2_T_Loop16_TestCase10, yes, 345)
(Incorrect_Bit_Calculation_2_T_Loop16_TestCase8, yes, 322)
(Incorrect_Bit_Calculation_2_T_Loop16_TestCase9, yes, 344)</t>
  </si>
  <si>
    <t>(Incorrect_Bit_Calculation_2_T_Loop0_TestCase8, yes, 363)
(Incorrect_Bit_Calculation_2_T_Loop0_TestCase9, yes, 343)
(Incorrect_Bit_Calculation_2_T_Loop0_TestCase10, yes, 358)
(Incorrect_Bit_Calculation_2_T_Loop0_TestCase1, yes, 372)
(Incorrect_Bit_Calculation_2_T_Loop0_TestCase2, unknown, 393)
(Incorrect_Bit_Calculation_2_T_Loop0_TestCase3, unknown, 365)
(Incorrect_Bit_Calculation_2_T_Loop0_TestCase7, yes, 359)
(Incorrect_Bit_Calculation_2_T_Loop0_TestCase6, yes, 350)
(Incorrect_Bit_Calculation_2_T_Loop0_TestCase4, unknown, 394)
(Incorrect_Bit_Calculation_2_T_Loop0_TestCase5, unknown, 403)</t>
  </si>
  <si>
    <t>(Incorrect_Bit_Calculation_2_T_Loop16_TestCase0, unknown, 399)</t>
  </si>
  <si>
    <t>(Incorrect_Bit_Calculation_2_T_Loop0_TestCase0, unknown, 486)</t>
  </si>
  <si>
    <t>(Incorrect_Bit_Calculation_2_NT_Loop20_TestCase10, no, 377)
(Incorrect_Bit_Calculation_2_NT_Loop20_TestCase8, no, 340)
(Incorrect_Bit_Calculation_2_NT_Loop20_TestCase9, no, 374)
(Incorrect_Bit_Calculation_2_NT_Loop20_TestCase4, unknown, 317)
(Incorrect_Bit_Calculation_2_NT_Loop20_TestCase5, unknown, 382)
(Incorrect_Bit_Calculation_2_NT_Loop20_TestCase7, no, 368)
(Incorrect_Bit_Calculation_2_NT_Loop20_TestCase6, no, 381)
(Incorrect_Bit_Calculation_2_NT_Loop20_TestCase2, unknown, 405)
(Incorrect_Bit_Calculation_2_NT_Loop20_TestCase3, unknown, 429)
(Incorrect_Bit_Calculation_2_NT_Loop20_TestCase1, yes, 353)</t>
  </si>
  <si>
    <t>(Incorrect_Bit_Calculation_2_NT_Loop0_TestCase9, no, 372)
(Incorrect_Bit_Calculation_2_NT_Loop0_TestCase8, no, 386)
(Incorrect_Bit_Calculation_2_NT_Loop0_TestCase10, no, 360)
(Incorrect_Bit_Calculation_2_NT_Loop0_TestCase1, yes, 362)
(Incorrect_Bit_Calculation_2_NT_Loop0_TestCase3, unknown, 412)
(Incorrect_Bit_Calculation_2_NT_Loop0_TestCase2, unknown, 375)
(Incorrect_Bit_Calculation_2_NT_Loop0_TestCase6, no, 352)
(Incorrect_Bit_Calculation_2_NT_Loop0_TestCase7, no, 365)
(Incorrect_Bit_Calculation_2_NT_Loop0_TestCase5, unknown, 348)
(Incorrect_Bit_Calculation_2_NT_Loop0_TestCase4, unknown, 420)</t>
  </si>
  <si>
    <t>(Incorrect_Bit_Calculation_2_NT_Loop20_TestCase0, unknown, 359)</t>
  </si>
  <si>
    <t>(Incorrect_Bit_Calculation_2_NT_Loop0_TestCase0, unknown, 534)</t>
  </si>
  <si>
    <t>(Incorrect_Bit_Calculation_1_T_Loop14_TestCase9, yes, 370)
(Incorrect_Bit_Calculation_1_T_Loop14_TestCase8, yes, 332)
(Incorrect_Bit_Calculation_1_T_Loop14_TestCase10, yes, 355)
(Incorrect_Bit_Calculation_1_T_Loop14_TestCase5, yes, 349)
(Incorrect_Bit_Calculation_1_T_Loop14_TestCase4, yes, 365)
(Incorrect_Bit_Calculation_1_T_Loop14_TestCase6, yes, 366)
(Incorrect_Bit_Calculation_1_T_Loop14_TestCase7, yes, 361)
(Incorrect_Bit_Calculation_1_T_Loop14_TestCase3, yes, 359)
(Incorrect_Bit_Calculation_1_T_Loop14_TestCase2, yes, 374)
(Incorrect_Bit_Calculation_1_T_Loop14_TestCase1, yes, 261)</t>
  </si>
  <si>
    <t>(Incorrect_Bit_Calculation_1_T_Loop0_TestCase5, yes, 368)
(Incorrect_Bit_Calculation_1_T_Loop0_TestCase4, yes, 355)
(Incorrect_Bit_Calculation_1_T_Loop0_TestCase6, yes, 351)
(Incorrect_Bit_Calculation_1_T_Loop0_TestCase7, yes, 304)
(Incorrect_Bit_Calculation_1_T_Loop0_TestCase3, yes, 368)
(Incorrect_Bit_Calculation_1_T_Loop0_TestCase2, yes, 359)
(Incorrect_Bit_Calculation_1_T_Loop0_TestCase1, yes, 352)
(Incorrect_Bit_Calculation_1_T_Loop0_TestCase10, yes, 367)
(Incorrect_Bit_Calculation_1_T_Loop0_TestCase9, yes, 385)
(Incorrect_Bit_Calculation_1_T_Loop0_TestCase8, yes, 360)</t>
  </si>
  <si>
    <t>(Incorrect_Bit_Calculation_1_T_Loop14_TestCase0, yes, 289)</t>
  </si>
  <si>
    <t>(Incorrect_Bit_Calculation_1_T_Loop0_TestCase0, yes, 320)</t>
  </si>
  <si>
    <t>(Incorrect_Bit_Calculation_1_NT_Loop15_TestCase10, no, 348)
(Incorrect_Bit_Calculation_1_NT_Loop15_TestCase6, no, 350)
(Incorrect_Bit_Calculation_1_NT_Loop15_TestCase7, no, 275)
(Incorrect_Bit_Calculation_1_NT_Loop15_TestCase5, yes, 352)
(Incorrect_Bit_Calculation_1_NT_Loop15_TestCase4, yes, 381)
(Incorrect_Bit_Calculation_1_NT_Loop15_TestCase1, yes, 364)
(Incorrect_Bit_Calculation_1_NT_Loop15_TestCase3, yes, 368)
(Incorrect_Bit_Calculation_1_NT_Loop15_TestCase2, yes, 329)
(Incorrect_Bit_Calculation_1_NT_Loop15_TestCase9, no, 371)
(Incorrect_Bit_Calculation_1_NT_Loop15_TestCase8, no, 355)</t>
  </si>
  <si>
    <t>(Incorrect_Bit_Calculation_1_NT_Loop0_TestCase10, no, 362)
(Incorrect_Bit_Calculation_1_NT_Loop0_TestCase9, no, 391)
(Incorrect_Bit_Calculation_1_NT_Loop0_TestCase8, no, 360)
(Incorrect_Bit_Calculation_1_NT_Loop0_TestCase5, yes, 388)
(Incorrect_Bit_Calculation_1_NT_Loop0_TestCase4, yes, 325)
(Incorrect_Bit_Calculation_1_NT_Loop0_TestCase6, no, 376)
(Incorrect_Bit_Calculation_1_NT_Loop0_TestCase7, no, 363)
(Incorrect_Bit_Calculation_1_NT_Loop0_TestCase3, yes, 374)
(Incorrect_Bit_Calculation_1_NT_Loop0_TestCase2, yes, 391)
(Incorrect_Bit_Calculation_1_NT_Loop0_TestCase1, yes, 368)</t>
  </si>
  <si>
    <t>(Incorrect_Bit_Calculation_1_NT_Loop15_TestCase0, unknown, 336)</t>
  </si>
  <si>
    <t>(Incorrect_Bit_Calculation_1_NT_Loop0_TestCase0, unknown, 315)</t>
  </si>
  <si>
    <t>(Adding_Subtracting_Zero_5_T_Loop21_TestCase8, unknown, 683)
(Adding_Subtracting_Zero_5_T_Loop21_TestCase9, unknown, 685)
(Adding_Subtracting_Zero_5_T_Loop38_TestCase10, unknown, 689)
(Adding_Subtracting_Zero_5_T_Loop21_TestCase10, unknown, 679)
(Adding_Subtracting_Zero_5_T_Loop38_TestCase8, unknown, 688)
(Adding_Subtracting_Zero_5_T_Loop38_TestCase9, unknown, 736)
(Adding_Subtracting_Zero_5_T_Loop38_TestCase4, unknown, 358)
(Adding_Subtracting_Zero_5_T_Loop38_TestCase5, unknown, 364)
(Adding_Subtracting_Zero_5_T_Loop38_TestCase7, unknown, 717)
(Adding_Subtracting_Zero_5_T_Loop38_TestCase6, unknown, 708)
(Adding_Subtracting_Zero_5_T_Loop38_TestCase2, unknown, 366)
(Adding_Subtracting_Zero_5_T_Loop38_TestCase3, unknown, 353)
(Adding_Subtracting_Zero_5_T_Loop38_TestCase1, unknown, 266)
(Adding_Subtracting_Zero_5_T_Loop21_TestCase1, yes, 341)
(Adding_Subtracting_Zero_5_T_Loop21_TestCase2, yes, 350)
(Adding_Subtracting_Zero_5_T_Loop21_TestCase3, yes, 368)
(Adding_Subtracting_Zero_5_T_Loop21_TestCase7, unknown, 694)
(Adding_Subtracting_Zero_5_T_Loop21_TestCase6, unknown, 697)
(Adding_Subtracting_Zero_5_T_Loop21_TestCase4, yes, 359)
(Adding_Subtracting_Zero_5_T_Loop21_TestCase5, yes, 376)</t>
  </si>
  <si>
    <t>(Adding_Subtracting_Zero_5_T_Loop0_TestCase3, unknown, 361)
(Adding_Subtracting_Zero_5_T_Loop0_TestCase2, unknown, 347)
(Adding_Subtracting_Zero_5_T_Loop0_TestCase1, unknown, 348)
(Adding_Subtracting_Zero_5_T_Loop0_TestCase5, unknown, 351)
(Adding_Subtracting_Zero_5_T_Loop0_TestCase4, unknown, 392)
(Adding_Subtracting_Zero_5_T_Loop0_TestCase6, unknown, 541)
(Adding_Subtracting_Zero_5_T_Loop0_TestCase7, unknown, 582)
(Adding_Subtracting_Zero_5_T_Loop0_TestCase10, unknown, 580)
(Adding_Subtracting_Zero_5_T_Loop0_TestCase9, unknown, 593)
(Adding_Subtracting_Zero_5_T_Loop0_TestCase8, unknown, 565)</t>
  </si>
  <si>
    <t>(Adding_Subtracting_Zero_5_T_Loop38_TestCase0, unknown, 632)
(Adding_Subtracting_Zero_5_T_Loop21_TestCase0, unknown, 693)</t>
  </si>
  <si>
    <t>(Adding_Subtracting_Zero_5_T_Loop0_TestCase0, unknown, 524)</t>
  </si>
  <si>
    <t>5/15</t>
  </si>
  <si>
    <t>(Adding_Subtracting_Zero_5_NT_Loop21_TestCase7, unknown, 708)
(Adding_Subtracting_Zero_5_NT_Loop21_TestCase6, unknown, 681)
(Adding_Subtracting_Zero_5_NT_Loop21_TestCase4, yes, 337)
(Adding_Subtracting_Zero_5_NT_Loop21_TestCase5, yes, 364)
(Adding_Subtracting_Zero_5_NT_Loop21_TestCase1, yes, 326)
(Adding_Subtracting_Zero_5_NT_Loop21_TestCase2, yes, 338)
(Adding_Subtracting_Zero_5_NT_Loop21_TestCase3, yes, 356)
(Adding_Subtracting_Zero_5_NT_Loop38_TestCase2, unknown, 366)
(Adding_Subtracting_Zero_5_NT_Loop38_TestCase3, unknown, 371)
(Adding_Subtracting_Zero_5_NT_Loop38_TestCase1, unknown, 369)
(Adding_Subtracting_Zero_5_NT_Loop38_TestCase4, unknown, 367)
(Adding_Subtracting_Zero_5_NT_Loop38_TestCase5, unknown, 351)
(Adding_Subtracting_Zero_5_NT_Loop38_TestCase7, unknown, 675)
(Adding_Subtracting_Zero_5_NT_Loop38_TestCase6, unknown, 708)
(Adding_Subtracting_Zero_5_NT_Loop38_TestCase8, unknown, 712)
(Adding_Subtracting_Zero_5_NT_Loop38_TestCase9, unknown, 721)
(Adding_Subtracting_Zero_5_NT_Loop38_TestCase10, unknown, 628)
(Adding_Subtracting_Zero_5_NT_Loop21_TestCase8, unknown, 701)
(Adding_Subtracting_Zero_5_NT_Loop21_TestCase9, unknown, 700)
(Adding_Subtracting_Zero_5_NT_Loop21_TestCase10, unknown, 686)</t>
  </si>
  <si>
    <t>(Adding_Subtracting_Zero_5_NT_Loop0_TestCase10, unknown, 570)
(Adding_Subtracting_Zero_5_NT_Loop0_TestCase6, unknown, 605)
(Adding_Subtracting_Zero_5_NT_Loop0_TestCase7, unknown, 569)
(Adding_Subtracting_Zero_5_NT_Loop0_TestCase5, unknown, 370)
(Adding_Subtracting_Zero_5_NT_Loop0_TestCase4, unknown, 373)
(Adding_Subtracting_Zero_5_NT_Loop0_TestCase1, unknown, 317)
(Adding_Subtracting_Zero_5_NT_Loop0_TestCase3, unknown, 361)
(Adding_Subtracting_Zero_5_NT_Loop0_TestCase2, unknown, 374)
(Adding_Subtracting_Zero_5_NT_Loop0_TestCase9, unknown, 546)
(Adding_Subtracting_Zero_5_NT_Loop0_TestCase8, unknown, 574)</t>
  </si>
  <si>
    <t>(Adding_Subtracting_Zero_5_NT_Loop21_TestCase0, unknown, 695)
(Adding_Subtracting_Zero_5_NT_Loop38_TestCase0, unknown, 660)</t>
  </si>
  <si>
    <t>(Adding_Subtracting_Zero_5_NT_Loop0_TestCase0, unknown, 513)</t>
  </si>
  <si>
    <t>(Adding_Subtracting_Zero_4_T_Loop16_TestCase9, yes, 526)
(Adding_Subtracting_Zero_4_T_Loop16_TestCase8, yes, 563)
(Adding_Subtracting_Zero_4_T_Loop51_TestCase9, yes, 547)
(Adding_Subtracting_Zero_4_T_Loop16_TestCase10, yes, 487)
(Adding_Subtracting_Zero_4_T_Loop51_TestCase8, yes, 554)
(Adding_Subtracting_Zero_4_T_Loop51_TestCase6, yes, 543)
(Adding_Subtracting_Zero_4_T_Loop51_TestCase7, yes, 552)
(Adding_Subtracting_Zero_4_T_Loop51_TestCase5, yes, 697)
(Adding_Subtracting_Zero_4_T_Loop51_TestCase4, yes, 701)
(Adding_Subtracting_Zero_4_T_Loop51_TestCase1, yes, 314)
(Adding_Subtracting_Zero_4_T_Loop51_TestCase3, yes, 676)
(Adding_Subtracting_Zero_4_T_Loop51_TestCase2, yes, 482)
(Adding_Subtracting_Zero_4_T_Loop16_TestCase1, yes, 329)
(Adding_Subtracting_Zero_4_T_Loop16_TestCase3, yes, 626)
(Adding_Subtracting_Zero_4_T_Loop16_TestCase2, yes, 492)
(Adding_Subtracting_Zero_4_T_Loop51_TestCase10, yes, 530)
(Adding_Subtracting_Zero_4_T_Loop16_TestCase6, yes, 487)
(Adding_Subtracting_Zero_4_T_Loop16_TestCase7, yes, 524)
(Adding_Subtracting_Zero_4_T_Loop16_TestCase5, yes, 530)
(Adding_Subtracting_Zero_4_T_Loop16_TestCase4, yes, 480)</t>
  </si>
  <si>
    <t>(Adding_Subtracting_Zero_4_T_Loop0_TestCase9, yes, 628)
(Adding_Subtracting_Zero_4_T_Loop0_TestCase8, yes, 604)
(Adding_Subtracting_Zero_4_T_Loop0_TestCase1, yes, 363)
(Adding_Subtracting_Zero_4_T_Loop0_TestCase3, yes, 607)
(Adding_Subtracting_Zero_4_T_Loop0_TestCase2, yes, 561)
(Adding_Subtracting_Zero_4_T_Loop0_TestCase6, yes, 519)
(Adding_Subtracting_Zero_4_T_Loop0_TestCase7, yes, 564)
(Adding_Subtracting_Zero_4_T_Loop0_TestCase5, yes, 698)
(Adding_Subtracting_Zero_4_T_Loop0_TestCase10, yes, 672)
(Adding_Subtracting_Zero_4_T_Loop0_TestCase4, yes, 650)</t>
  </si>
  <si>
    <t>(Adding_Subtracting_Zero_4_T_Loop51_TestCase0, yes, 659)
(Adding_Subtracting_Zero_4_T_Loop16_TestCase0, yes, 527)</t>
  </si>
  <si>
    <t>(Adding_Subtracting_Zero_4_T_Loop0_TestCase0, yes, 648)</t>
  </si>
  <si>
    <t>(Adding_Subtracting_Zero_4_NT_Loop16_TestCase9, unknown, 590)
(Adding_Subtracting_Zero_4_NT_Loop16_TestCase10, unknown, 513)
(Adding_Subtracting_Zero_4_NT_Loop16_TestCase8, unknown, 555)
(Adding_Subtracting_Zero_4_NT_Loop50_TestCase7, unknown, 661)
(Adding_Subtracting_Zero_4_NT_Loop50_TestCase6, unknown, 667)
(Adding_Subtracting_Zero_4_NT_Loop50_TestCase4, unknown, 542)
(Adding_Subtracting_Zero_4_NT_Loop50_TestCase5, unknown, 633)
(Adding_Subtracting_Zero_4_NT_Loop50_TestCase1, yes, 335)
(Adding_Subtracting_Zero_4_NT_Loop50_TestCase2, unknown, 640)
(Adding_Subtracting_Zero_4_NT_Loop50_TestCase3, unknown, 591)
(Adding_Subtracting_Zero_4_NT_Loop50_TestCase10, unknown, 673)
(Adding_Subtracting_Zero_4_NT_Loop50_TestCase8, unknown, 582)
(Adding_Subtracting_Zero_4_NT_Loop50_TestCase9, unknown, 495)
(Adding_Subtracting_Zero_4_NT_Loop16_TestCase6, unknown, 553)
(Adding_Subtracting_Zero_4_NT_Loop16_TestCase7, unknown, 583)
(Adding_Subtracting_Zero_4_NT_Loop16_TestCase5, unknown, 601)
(Adding_Subtracting_Zero_4_NT_Loop16_TestCase4, unknown, 525)
(Adding_Subtracting_Zero_4_NT_Loop16_TestCase1, yes, 352)
(Adding_Subtracting_Zero_4_NT_Loop16_TestCase3, unknown, 631)
(Adding_Subtracting_Zero_4_NT_Loop16_TestCase2, unknown, 582)</t>
  </si>
  <si>
    <t>(Adding_Subtracting_Zero_4_NT_Loop0_TestCase2, unknown, 618)
(Adding_Subtracting_Zero_4_NT_Loop0_TestCase3, unknown, 700)
(Adding_Subtracting_Zero_4_NT_Loop0_TestCase1, yes, 357)
(Adding_Subtracting_Zero_4_NT_Loop0_TestCase4, unknown, 691)
(Adding_Subtracting_Zero_4_NT_Loop0_TestCase5, unknown, 731)
(Adding_Subtracting_Zero_4_NT_Loop0_TestCase7, unknown, 625)
(Adding_Subtracting_Zero_4_NT_Loop0_TestCase6, unknown, 558)
(Adding_Subtracting_Zero_4_NT_Loop0_TestCase10, unknown, 580)
(Adding_Subtracting_Zero_4_NT_Loop0_TestCase8, unknown, 661)
(Adding_Subtracting_Zero_4_NT_Loop0_TestCase9, unknown, 546)</t>
  </si>
  <si>
    <t>(Adding_Subtracting_Zero_4_NT_Loop50_TestCase0, unknown, 610)
(Adding_Subtracting_Zero_4_NT_Loop16_TestCase0, unknown, 822)</t>
  </si>
  <si>
    <t>(Adding_Subtracting_Zero_4_NT_Loop0_TestCase0, unknown, 528)</t>
  </si>
  <si>
    <t>(Adding_Subtracting_Zero_3_T_Loop72_TestCase9, yes, 483)
(Adding_Subtracting_Zero_3_T_Loop72_TestCase10, yes, 482)
(Adding_Subtracting_Zero_3_T_Loop72_TestCase8, yes, 485)
(Adding_Subtracting_Zero_3_T_Loop37_TestCase1, yes, 357)
(Adding_Subtracting_Zero_3_T_Loop37_TestCase2, yes, 336)
(Adding_Subtracting_Zero_3_T_Loop37_TestCase3, unknown, 584)
(Adding_Subtracting_Zero_3_T_Loop37_TestCase7, yes, 472)
(Adding_Subtracting_Zero_3_T_Loop37_TestCase6, yes, 460)
(Adding_Subtracting_Zero_3_T_Loop37_TestCase4, unknown, 636)
(Adding_Subtracting_Zero_3_T_Loop37_TestCase5, unknown, 606)
(Adding_Subtracting_Zero_3_T_Loop37_TestCase8, yes, 470)
(Adding_Subtracting_Zero_3_T_Loop37_TestCase9, yes, 470)
(Adding_Subtracting_Zero_3_T_Loop72_TestCase5, unknown, 686)
(Adding_Subtracting_Zero_3_T_Loop72_TestCase4, unknown, 667)
(Adding_Subtracting_Zero_3_T_Loop37_TestCase10, yes, 484)
(Adding_Subtracting_Zero_3_T_Loop72_TestCase6, yes, 406)
(Adding_Subtracting_Zero_3_T_Loop72_TestCase7, yes, 475)
(Adding_Subtracting_Zero_3_T_Loop72_TestCase3, unknown, 609)
(Adding_Subtracting_Zero_3_T_Loop72_TestCase2, yes, 358)
(Adding_Subtracting_Zero_3_T_Loop72_TestCase1, yes, 371)</t>
  </si>
  <si>
    <t>(Adding_Subtracting_Zero_3_T_Loop0_TestCase7, yes, 507)
(Adding_Subtracting_Zero_3_T_Loop0_TestCase6, yes, 472)
(Adding_Subtracting_Zero_3_T_Loop0_TestCase4, unknown, 687)
(Adding_Subtracting_Zero_3_T_Loop0_TestCase5, unknown, 714)
(Adding_Subtracting_Zero_3_T_Loop0_TestCase1, yes, 377)
(Adding_Subtracting_Zero_3_T_Loop0_TestCase2, yes, 310)
(Adding_Subtracting_Zero_3_T_Loop0_TestCase3, unknown, 613)
(Adding_Subtracting_Zero_3_T_Loop0_TestCase8, yes, 479)
(Adding_Subtracting_Zero_3_T_Loop0_TestCase10, yes, 483)
(Adding_Subtracting_Zero_3_T_Loop0_TestCase9, yes, 499)</t>
  </si>
  <si>
    <t>(Adding_Subtracting_Zero_3_T_Loop37_TestCase0, unknown, 564)
(Adding_Subtracting_Zero_3_T_Loop72_TestCase0, unknown, 662)</t>
  </si>
  <si>
    <t>(Adding_Subtracting_Zero_3_T_Loop0_TestCase0, unknown, 593)</t>
  </si>
  <si>
    <t>(Adding_Subtracting_Zero_3_NT_Loop40_TestCase1, yes, 364)
(Adding_Subtracting_Zero_3_NT_Loop40_TestCase2, yes, 357)
(Adding_Subtracting_Zero_3_NT_Loop40_TestCase3, unknown, 448)
(Adding_Subtracting_Zero_3_NT_Loop40_TestCase7, unknown, 516)
(Adding_Subtracting_Zero_3_NT_Loop40_TestCase6, unknown, 506)
(Adding_Subtracting_Zero_3_NT_Loop40_TestCase4, unknown, 594)
(Adding_Subtracting_Zero_3_NT_Loop40_TestCase5, unknown, 433)
(Adding_Subtracting_Zero_3_NT_Loop40_TestCase10, unknown, 469)
(Adding_Subtracting_Zero_3_NT_Loop75_TestCase9, unknown, 484)
(Adding_Subtracting_Zero_3_NT_Loop75_TestCase8, unknown, 483)
(Adding_Subtracting_Zero_3_NT_Loop75_TestCase6, unknown, 489)
(Adding_Subtracting_Zero_3_NT_Loop75_TestCase10, unknown, 504)
(Adding_Subtracting_Zero_3_NT_Loop75_TestCase7, unknown, 509)
(Adding_Subtracting_Zero_3_NT_Loop75_TestCase5, unknown, 574)
(Adding_Subtracting_Zero_3_NT_Loop75_TestCase4, unknown, 633)
(Adding_Subtracting_Zero_3_NT_Loop75_TestCase1, yes, 370)
(Adding_Subtracting_Zero_3_NT_Loop75_TestCase3, unknown, 587)
(Adding_Subtracting_Zero_3_NT_Loop75_TestCase2, yes, 407)
(Adding_Subtracting_Zero_3_NT_Loop40_TestCase8, unknown, 505)
(Adding_Subtracting_Zero_3_NT_Loop40_TestCase9, unknown, 489)</t>
  </si>
  <si>
    <t>(Adding_Subtracting_Zero_3_NT_Loop0_TestCase1, yes, 382)
(Adding_Subtracting_Zero_3_NT_Loop0_TestCase2, yes, 381)
(Adding_Subtracting_Zero_3_NT_Loop0_TestCase3, unknown, 523)
(Adding_Subtracting_Zero_3_NT_Loop0_TestCase7, unknown, 505)
(Adding_Subtracting_Zero_3_NT_Loop0_TestCase6, unknown, 482)
(Adding_Subtracting_Zero_3_NT_Loop0_TestCase4, unknown, 567)
(Adding_Subtracting_Zero_3_NT_Loop0_TestCase5, unknown, 683)
(Adding_Subtracting_Zero_3_NT_Loop0_TestCase8, unknown, 489)
(Adding_Subtracting_Zero_3_NT_Loop0_TestCase9, unknown, 443)
(Adding_Subtracting_Zero_3_NT_Loop0_TestCase10, unknown, 500)</t>
  </si>
  <si>
    <t>(Adding_Subtracting_Zero_3_NT_Loop40_TestCase0, unknown, 644)
(Adding_Subtracting_Zero_3_NT_Loop75_TestCase0, unknown, 588)</t>
  </si>
  <si>
    <t>(Adding_Subtracting_Zero_3_NT_Loop0_TestCase0, unknown, 468)</t>
  </si>
  <si>
    <t>(Adding_Subtracting_Zero_2_T_Loop35_TestCase10, yes, 365)
(Adding_Subtracting_Zero_2_T_Loop35_TestCase8, yes, 395)
(Adding_Subtracting_Zero_2_T_Loop35_TestCase9, yes, 382)
(Adding_Subtracting_Zero_2_T_Loop35_TestCase7, yes, 391)
(Adding_Subtracting_Zero_2_T_Loop35_TestCase6, yes, 383)
(Adding_Subtracting_Zero_2_T_Loop35_TestCase4, yes, 459)
(Adding_Subtracting_Zero_2_T_Loop35_TestCase5, yes, 365)
(Adding_Subtracting_Zero_2_T_Loop35_TestCase1, yes, 342)
(Adding_Subtracting_Zero_2_T_Loop35_TestCase2, yes, 429)
(Adding_Subtracting_Zero_2_T_Loop35_TestCase3, yes, 366)</t>
  </si>
  <si>
    <t>(Adding_Subtracting_Zero_2_T_Loop0_TestCase8, yes, 422)
(Adding_Subtracting_Zero_2_T_Loop0_TestCase9, yes, 429)
(Adding_Subtracting_Zero_2_T_Loop0_TestCase4, yes, 472)
(Adding_Subtracting_Zero_2_T_Loop0_TestCase5, yes, 467)
(Adding_Subtracting_Zero_2_T_Loop0_TestCase7, yes, 403)
(Adding_Subtracting_Zero_2_T_Loop0_TestCase10, yes, 329)
(Adding_Subtracting_Zero_2_T_Loop0_TestCase6, yes, 390)
(Adding_Subtracting_Zero_2_T_Loop0_TestCase2, yes, 446)
(Adding_Subtracting_Zero_2_T_Loop0_TestCase3, yes, 398)
(Adding_Subtracting_Zero_2_T_Loop0_TestCase1, yes, 345)</t>
  </si>
  <si>
    <t>(Adding_Subtracting_Zero_2_T_Loop35_TestCase0, unknown, 514)</t>
  </si>
  <si>
    <t>(Adding_Subtracting_Zero_2_T_Loop0_TestCase0, unknown, 528)</t>
  </si>
  <si>
    <t>(Adding_Subtracting_Zero_2_NT_Loop34_TestCase10, no, 386)
(Adding_Subtracting_Zero_2_NT_Loop34_TestCase8, no, 378)
(Adding_Subtracting_Zero_2_NT_Loop34_TestCase9, no, 378)
(Adding_Subtracting_Zero_2_NT_Loop34_TestCase7, no, 389)
(Adding_Subtracting_Zero_2_NT_Loop34_TestCase6, no, 368)
(Adding_Subtracting_Zero_2_NT_Loop34_TestCase4, unknown, 460)
(Adding_Subtracting_Zero_2_NT_Loop34_TestCase5, unknown, 457)
(Adding_Subtracting_Zero_2_NT_Loop34_TestCase1, yes, 286)
(Adding_Subtracting_Zero_2_NT_Loop34_TestCase2, yes, 446)
(Adding_Subtracting_Zero_2_NT_Loop34_TestCase3, yes, 375)</t>
  </si>
  <si>
    <t>(Adding_Subtracting_Zero_2_NT_Loop0_TestCase5, unknown, 467)
(Adding_Subtracting_Zero_2_NT_Loop0_TestCase4, unknown, 464)
(Adding_Subtracting_Zero_2_NT_Loop0_TestCase6, no, 397)
(Adding_Subtracting_Zero_2_NT_Loop0_TestCase7, no, 390)
(Adding_Subtracting_Zero_2_NT_Loop0_TestCase3, yes, 398)
(Adding_Subtracting_Zero_2_NT_Loop0_TestCase2, yes, 428)
(Adding_Subtracting_Zero_2_NT_Loop0_TestCase10, no, 386)
(Adding_Subtracting_Zero_2_NT_Loop0_TestCase1, yes, 340)
(Adding_Subtracting_Zero_2_NT_Loop0_TestCase9, no, 336)
(Adding_Subtracting_Zero_2_NT_Loop0_TestCase8, no, 397)</t>
  </si>
  <si>
    <t>(Adding_Subtracting_Zero_2_NT_Loop34_TestCase0, unknown, 463)</t>
  </si>
  <si>
    <t>(Adding_Subtracting_Zero_2_NT_Loop0_TestCase0, unknown, 550)</t>
  </si>
  <si>
    <t>(Adding_Subtracting_Zero_1_T_Loop17_TestCase5, yes, 386)
(Adding_Subtracting_Zero_1_T_Loop17_TestCase4, yes, 377)
(Adding_Subtracting_Zero_1_T_Loop17_TestCase6, yes, 366)
(Adding_Subtracting_Zero_1_T_Loop17_TestCase7, yes, 374)
(Adding_Subtracting_Zero_1_T_Loop17_TestCase3, yes, 418)
(Adding_Subtracting_Zero_1_T_Loop17_TestCase2, yes, 372)
(Adding_Subtracting_Zero_1_T_Loop17_TestCase1, yes, 343)
(Adding_Subtracting_Zero_1_T_Loop17_TestCase9, yes, 379)
(Adding_Subtracting_Zero_1_T_Loop17_TestCase8, yes, 377)
(Adding_Subtracting_Zero_1_T_Loop17_TestCase10, yes, 379)</t>
  </si>
  <si>
    <t>(Adding_Subtracting_Zero_1_T_Loop0_TestCase1, yes, 362)
(Adding_Subtracting_Zero_1_T_Loop0_TestCase3, yes, 437)
(Adding_Subtracting_Zero_1_T_Loop0_TestCase2, yes, 389)
(Adding_Subtracting_Zero_1_T_Loop0_TestCase6, yes, 341)
(Adding_Subtracting_Zero_1_T_Loop0_TestCase7, yes, 412)
(Adding_Subtracting_Zero_1_T_Loop0_TestCase5, yes, 492)
(Adding_Subtracting_Zero_1_T_Loop0_TestCase4, yes, 501)
(Adding_Subtracting_Zero_1_T_Loop0_TestCase9, yes, 389)
(Adding_Subtracting_Zero_1_T_Loop0_TestCase8, yes, 395)
(Adding_Subtracting_Zero_1_T_Loop0_TestCase10, yes, 373)</t>
  </si>
  <si>
    <t>(Adding_Subtracting_Zero_1_T_Loop17_TestCase0, yes, 292)</t>
  </si>
  <si>
    <t>(Adding_Subtracting_Zero_1_T_Loop0_TestCase0, yes, 342)</t>
  </si>
  <si>
    <t>(Adding_Subtracting_Zero_1_NT_Loop17_TestCase8, no, 390)
(Adding_Subtracting_Zero_1_NT_Loop17_TestCase9, no, 374)
(Adding_Subtracting_Zero_1_NT_Loop17_TestCase10, no, 418)
(Adding_Subtracting_Zero_1_NT_Loop17_TestCase2, yes, 387)
(Adding_Subtracting_Zero_1_NT_Loop17_TestCase3, yes, 404)
(Adding_Subtracting_Zero_1_NT_Loop17_TestCase1, yes, 276)
(Adding_Subtracting_Zero_1_NT_Loop17_TestCase4, yes, 449)
(Adding_Subtracting_Zero_1_NT_Loop17_TestCase5, yes, 382)
(Adding_Subtracting_Zero_1_NT_Loop17_TestCase7, no, 370)
(Adding_Subtracting_Zero_1_NT_Loop17_TestCase6, no, 370)</t>
  </si>
  <si>
    <t>(Adding_Subtracting_Zero_1_NT_Loop0_TestCase10, no, 394)
(Adding_Subtracting_Zero_1_NT_Loop0_TestCase1, yes, 341)
(Adding_Subtracting_Zero_1_NT_Loop0_TestCase3, yes, 427)
(Adding_Subtracting_Zero_1_NT_Loop0_TestCase2, yes, 409)
(Adding_Subtracting_Zero_1_NT_Loop0_TestCase6, no, 344)
(Adding_Subtracting_Zero_1_NT_Loop0_TestCase7, no, 400)
(Adding_Subtracting_Zero_1_NT_Loop0_TestCase5, yes, 391)
(Adding_Subtracting_Zero_1_NT_Loop0_TestCase4, yes, 478)
(Adding_Subtracting_Zero_1_NT_Loop0_TestCase9, no, 361)
(Adding_Subtracting_Zero_1_NT_Loop0_TestCase8, no, 410)</t>
  </si>
  <si>
    <t>(Adding_Subtracting_Zero_1_NT_Loop17_TestCase0, unknown, 307)</t>
  </si>
  <si>
    <t>(Adding_Subtracting_Zero_1_NT_Loop0_TestCase0, unknown, 404)</t>
  </si>
  <si>
    <t>Signed_Overflow_Error_1_T.c</t>
  </si>
  <si>
    <t>Signed_Overflow_Error_2_NT.c</t>
  </si>
  <si>
    <t>Signed_Overflow_Error_2_T.c</t>
  </si>
  <si>
    <t>Signed_Overflow_Error_3_NT.c</t>
  </si>
  <si>
    <t>Signed_Overflow_Error_3_T.c</t>
  </si>
  <si>
    <r>
      <t>Signed_Overflow_Error_1_</t>
    </r>
    <r>
      <rPr>
        <b/>
        <sz val="15"/>
        <color rgb="FFC00000"/>
        <rFont val="Calibri (Body)"/>
      </rPr>
      <t>T</t>
    </r>
    <r>
      <rPr>
        <b/>
        <sz val="15"/>
        <rFont val="Calibri"/>
        <family val="2"/>
        <scheme val="minor"/>
      </rPr>
      <t>.c</t>
    </r>
  </si>
  <si>
    <t>S</t>
  </si>
  <si>
    <t>W: wrong</t>
  </si>
  <si>
    <t>correct, ≥0%, &gt;0%</t>
  </si>
  <si>
    <t>correct, ≥0%, ≥50%</t>
  </si>
  <si>
    <t>correct, ≥0%, =100%</t>
  </si>
  <si>
    <t>S: solved (correct, ≥0%, &gt;0%)</t>
  </si>
  <si>
    <t>U: unknown (correct, ≥0%, =0%)</t>
  </si>
  <si>
    <t>S: solved (correct, =100%)</t>
  </si>
  <si>
    <t>U: unknown (correct, &lt;100%)</t>
  </si>
  <si>
    <t>SR: Solved Ratio</t>
  </si>
  <si>
    <t>TVT: Total Veriant Time per Program</t>
  </si>
  <si>
    <t>AVT: Average Veriant Time per Program</t>
  </si>
  <si>
    <t>MVT: Median Veriant Time per Program</t>
  </si>
  <si>
    <t>Non-Termination</t>
  </si>
  <si>
    <t>Termination</t>
  </si>
  <si>
    <t>Nontermination</t>
  </si>
  <si>
    <t>Nontermination | Termination</t>
  </si>
  <si>
    <t>Avg. SR</t>
  </si>
  <si>
    <t>Avg. TVT (s)</t>
  </si>
  <si>
    <t>Avg. AVT (s)</t>
  </si>
  <si>
    <t>Med. MVT (s)</t>
  </si>
  <si>
    <t>-</t>
  </si>
  <si>
    <t>correct, &gt;0%</t>
  </si>
  <si>
    <t>correct, ≥50%</t>
  </si>
  <si>
    <t>correct, =100%</t>
  </si>
  <si>
    <t>7/20</t>
  </si>
  <si>
    <t>(Incorrect_Return_1_T_Loop0_TestCase8, Error, 3081)
(Incorrect_Return_1_T_Loop0_TestCase9, Error, 3123)
(Incorrect_Return_1_T_Loop0_TestCase10, Error, 3468)
(Incorrect_Return_1_T_Loop0_TestCase1, Error, 4187)
(Incorrect_Return_1_T_Loop0_TestCase2, Error, 3050)
(Incorrect_Return_1_T_Loop0_TestCase3, Error, 3109)
(Incorrect_Return_1_T_Loop0_TestCase7, Error, 3123)
(Incorrect_Return_1_T_Loop0_TestCase6, Error, 3258)
(Incorrect_Return_1_T_Loop0_TestCase4, Error, 3054)
(Incorrect_Return_1_T_Loop0_TestCase5, Error, 4169)</t>
  </si>
  <si>
    <t>(Incorrect_Return_1_T_Loop0_TestCase0, Error, 2941)</t>
  </si>
  <si>
    <t>(Incorrect_Return_1_NT_Loop0_TestCase8, Error, 3074)
(Incorrect_Return_1_NT_Loop0_TestCase9, Error, 3072)
(Incorrect_Return_1_NT_Loop0_TestCase10, Error, 3526)
(Incorrect_Return_1_NT_Loop0_TestCase1, Error, 3002)
(Incorrect_Return_1_NT_Loop0_TestCase2, Error, 3014)
(Incorrect_Return_1_NT_Loop0_TestCase3, Error, 3005)
(Incorrect_Return_1_NT_Loop0_TestCase7, Error, 2977)
(Incorrect_Return_1_NT_Loop0_TestCase6, Error, 3041)
(Incorrect_Return_1_NT_Loop0_TestCase4, Error, 3016)
(Incorrect_Return_1_NT_Loop0_TestCase5, Error, 3494)</t>
  </si>
  <si>
    <t>(Incorrect_Return_1_NT_Loop0_TestCase0, Error, 2941)</t>
  </si>
  <si>
    <t>(Using_Erroneous_Condition_1_T_Loop0_TestCase0, Error, 15462)</t>
  </si>
  <si>
    <t>(Missing_Corner-case_Handling_1_NT_Loop40_TestCase5, TRUE, 2558)
(Missing_Corner-case_Handling_1_NT_Loop40_TestCase4, TRUE, 2492)
(Missing_Corner-case_Handling_1_NT_Loop40_TestCase6, Error, 255141)
(Missing_Corner-case_Handling_1_NT_Loop40_TestCase7, Error, 260574)
(Missing_Corner-case_Handling_1_NT_Loop40_TestCase3, TRUE, 2570)
(Missing_Corner-case_Handling_1_NT_Loop40_TestCase2, TRUE, 2629)
(Missing_Corner-case_Handling_1_NT_Loop40_TestCase1, TRUE, 2521)
(Missing_Corner-case_Handling_1_NT_Loop40_TestCase10, Error, 148272)
(Missing_Corner-case_Handling_1_NT_Loop40_TestCase9, Error, 4713)
(Missing_Corner-case_Handling_1_NT_Loop40_TestCase8, Error, 261218)</t>
  </si>
  <si>
    <t>(Missing_Corner-case_Handling_1_NT_Loop0_TestCase9, Error, 6855)
(Missing_Corner-case_Handling_1_NT_Loop0_TestCase8, Error, 229919)
(Missing_Corner-case_Handling_1_NT_Loop0_TestCase6, Error, 224290)
(Missing_Corner-case_Handling_1_NT_Loop0_TestCase7, Error, 229199)
(Missing_Corner-case_Handling_1_NT_Loop0_TestCase5, TRUE, 3569)
(Missing_Corner-case_Handling_1_NT_Loop0_TestCase4, TRUE, 3545)
(Missing_Corner-case_Handling_1_NT_Loop0_TestCase1, TRUE, 3583)
(Missing_Corner-case_Handling_1_NT_Loop0_TestCase10, Error, 139615)
(Missing_Corner-case_Handling_1_NT_Loop0_TestCase3, TRUE, 3529)
(Missing_Corner-case_Handling_1_NT_Loop0_TestCase2, TRUE, 3578)</t>
  </si>
  <si>
    <t>(Missing_Corner-case_Handling_1_NT_Loop40_TestCase0, Error, 5305)</t>
  </si>
  <si>
    <t>(Missing_Corner-case_Handling_1_NT_Loop0_TestCase0, Error, 6501)</t>
  </si>
  <si>
    <t>(Incorrect_Initialization_4_T_Loop20_TestCase7, Error, 10028)
(Incorrect_Initialization_4_T_Loop20_TestCase6, Error, 10130)
(Incorrect_Initialization_4_T_Loop20_TestCase4, TRUE, 2809)
(Incorrect_Initialization_4_T_Loop20_TestCase5, TRUE, 2867)
(Incorrect_Initialization_4_T_Loop20_TestCase1, TRUE, 2876)
(Incorrect_Initialization_4_T_Loop20_TestCase2, TRUE, 2860)
(Incorrect_Initialization_4_T_Loop20_TestCase3, TRUE, 2837)
(Incorrect_Initialization_4_T_Loop20_TestCase10, Error, 9988)
(Incorrect_Initialization_4_T_Loop20_TestCase8, Error, 9973)
(Incorrect_Initialization_4_T_Loop20_TestCase9, Error, 10600)</t>
  </si>
  <si>
    <t>(Incorrect_Initialization_4_T_Loop0_TestCase8, Error, 9958)
(Incorrect_Initialization_4_T_Loop0_TestCase9, Error, 10408)
(Incorrect_Initialization_4_T_Loop0_TestCase10, Error, 10145)
(Incorrect_Initialization_4_T_Loop0_TestCase7, Error, 10264)
(Incorrect_Initialization_4_T_Loop0_TestCase6, Error, 10066)
(Incorrect_Initialization_4_T_Loop0_TestCase4, TRUE, 2870)
(Incorrect_Initialization_4_T_Loop0_TestCase5, TRUE, 2851)
(Incorrect_Initialization_4_T_Loop0_TestCase1, TRUE, 2854)
(Incorrect_Initialization_4_T_Loop0_TestCase2, TRUE, 2894)
(Incorrect_Initialization_4_T_Loop0_TestCase3, TRUE, 2915)</t>
  </si>
  <si>
    <t>(Incorrect_Initialization_4_T_Loop20_TestCase0, Error, 10216)</t>
  </si>
  <si>
    <t>(Incorrect_Initialization_4_T_Loop0_TestCase0, Error, 10284)</t>
  </si>
  <si>
    <t>(Incorrect_Initialization_1_NT_Loop16_TestCase3, UNKNOWN, 113667)
(Incorrect_Initialization_1_NT_Loop16_TestCase2, Error, 300349)
(Incorrect_Initialization_1_NT_Loop16_TestCase1, TRUE, 16095)
(Incorrect_Initialization_1_NT_Loop16_TestCase5, FALSE, 20497)
(Incorrect_Initialization_1_NT_Loop16_TestCase4, TRUE, 16759)
(Incorrect_Initialization_1_NT_Loop16_TestCase6, TRUE, 16541)
(Incorrect_Initialization_1_NT_Loop36_TestCase10, Error, 300360)
(Incorrect_Initialization_1_NT_Loop16_TestCase7, TRUE, 16721)
(Incorrect_Initialization_1_NT_Loop36_TestCase6, TRUE, 16647)
(Incorrect_Initialization_1_NT_Loop19_TestCase8, Error, 168521)
(Incorrect_Initialization_1_NT_Loop32_TestCase7, TRUE, 2468)
(Incorrect_Initialization_1_NT_Loop32_TestCase6, TRUE, 2697)
(Incorrect_Initialization_1_NT_Loop19_TestCase9, TRUE, 16742)
(Incorrect_Initialization_1_NT_Loop36_TestCase7, TRUE, 16693)
(Incorrect_Initialization_1_NT_Loop36_TestCase5, FALSE, 20360)
(Incorrect_Initialization_1_NT_Loop32_TestCase4, TRUE, 2385)
(Incorrect_Initialization_1_NT_Loop32_TestCase5, TRUE, 2713)
(Incorrect_Initialization_1_NT_Loop36_TestCase4, TRUE, 16738)
(Incorrect_Initialization_1_NT_Loop32_TestCase1, TRUE, 2483)
(Incorrect_Initialization_1_NT_Loop32_TestCase10, TRUE, 2756)
(Incorrect_Initialization_1_NT_Loop36_TestCase1, TRUE, 16079)
(Incorrect_Initialization_1_NT_Loop36_TestCase3, UNKNOWN, 113320)
(Incorrect_Initialization_1_NT_Loop32_TestCase2, TRUE, 2723)
(Incorrect_Initialization_1_NT_Loop32_TestCase3, TRUE, 2493)
(Incorrect_Initialization_1_NT_Loop36_TestCase2, Error, 300377)
(Incorrect_Initialization_1_NT_Loop19_TestCase1, TRUE, 16173)
(Incorrect_Initialization_1_NT_Loop19_TestCase2, Error, 300345)
(Incorrect_Initialization_1_NT_Loop19_TestCase3, UNKNOWN, 113246)
(Incorrect_Initialization_1_NT_Loop36_TestCase9, TRUE, 16665)
(Incorrect_Initialization_1_NT_Loop19_TestCase7, TRUE, 17371)
(Incorrect_Initialization_1_NT_Loop32_TestCase8, TRUE, 2694)
(Incorrect_Initialization_1_NT_Loop32_TestCase9, TRUE, 2449)
(Incorrect_Initialization_1_NT_Loop19_TestCase6, TRUE, 16688)
(Incorrect_Initialization_1_NT_Loop36_TestCase8, Error, 168809)
(Incorrect_Initialization_1_NT_Loop19_TestCase4, TRUE, 16732)
(Incorrect_Initialization_1_NT_Loop19_TestCase5, FALSE, 20232)
(Incorrect_Initialization_1_NT_Loop16_TestCase9, TRUE, 16746)
(Incorrect_Initialization_1_NT_Loop16_TestCase8, Error, 168903)
(Incorrect_Initialization_1_NT_Loop19_TestCase10, Error, 300351)
(Incorrect_Initialization_1_NT_Loop16_TestCase10, Error, 300360)</t>
  </si>
  <si>
    <t>(Incorrect_Initialization_1_NT_Loop0_TestCase5, FALSE, 21049)
(Incorrect_Initialization_1_NT_Loop0_TestCase4, TRUE, 17710)
(Incorrect_Initialization_1_NT_Loop0_TestCase6, TRUE, 17869)
(Incorrect_Initialization_1_NT_Loop0_TestCase7, TRUE, 17875)
(Incorrect_Initialization_1_NT_Loop0_TestCase10, Error, 300365)
(Incorrect_Initialization_1_NT_Loop0_TestCase3, UNKNOWN, 118593)
(Incorrect_Initialization_1_NT_Loop0_TestCase2, Error, 300290)
(Incorrect_Initialization_1_NT_Loop0_TestCase1, TRUE, 17350)
(Incorrect_Initialization_1_NT_Loop0_TestCase9, TRUE, 17733)
(Incorrect_Initialization_1_NT_Loop0_TestCase8, Error, 151858)</t>
  </si>
  <si>
    <t>(Adding_Subtracting_Zero_4_NT_Loop16_TestCase9, Error, 47868)
(Adding_Subtracting_Zero_4_NT_Loop16_TestCase10, Error, 300330)
(Adding_Subtracting_Zero_4_NT_Loop16_TestCase8, Error, 35001)
(Adding_Subtracting_Zero_4_NT_Loop50_TestCase7, Error, 12434)
(Adding_Subtracting_Zero_4_NT_Loop50_TestCase6, Error, 11862)
(Adding_Subtracting_Zero_4_NT_Loop50_TestCase4, TRUE, 4931)
(Adding_Subtracting_Zero_4_NT_Loop50_TestCase5, TRUE, 6923)
(Adding_Subtracting_Zero_4_NT_Loop50_TestCase1, TRUE, 2450)
(Adding_Subtracting_Zero_4_NT_Loop50_TestCase2, TRUE, 3843)
(Adding_Subtracting_Zero_4_NT_Loop50_TestCase3, TRUE, 4499)
(Adding_Subtracting_Zero_4_NT_Loop50_TestCase10, Error, 21851)
(Adding_Subtracting_Zero_4_NT_Loop50_TestCase8, Error, 13762)
(Adding_Subtracting_Zero_4_NT_Loop50_TestCase9, Error, 14036)
(Adding_Subtracting_Zero_4_NT_Loop16_TestCase6, Error, 17742)
(Adding_Subtracting_Zero_4_NT_Loop16_TestCase7, Error, 18991)
(Adding_Subtracting_Zero_4_NT_Loop16_TestCase5, TRUE, 6714)
(Adding_Subtracting_Zero_4_NT_Loop16_TestCase4, TRUE, 4937)
(Adding_Subtracting_Zero_4_NT_Loop16_TestCase1, TRUE, 2432)
(Adding_Subtracting_Zero_4_NT_Loop16_TestCase3, TRUE, 4375)
(Adding_Subtracting_Zero_4_NT_Loop16_TestCase2, TRUE, 3412)</t>
  </si>
  <si>
    <t>(Adding_Subtracting_Zero_4_NT_Loop0_TestCase2, TRUE, 3183)
(Adding_Subtracting_Zero_4_NT_Loop0_TestCase3, TRUE, 4232)
(Adding_Subtracting_Zero_4_NT_Loop0_TestCase1, TRUE, 2398)
(Adding_Subtracting_Zero_4_NT_Loop0_TestCase4, TRUE, 4853)
(Adding_Subtracting_Zero_4_NT_Loop0_TestCase5, TRUE, 6429)
(Adding_Subtracting_Zero_4_NT_Loop0_TestCase7, Error, 11363)
(Adding_Subtracting_Zero_4_NT_Loop0_TestCase6, Error, 10885)
(Adding_Subtracting_Zero_4_NT_Loop0_TestCase10, Error, 39572)
(Adding_Subtracting_Zero_4_NT_Loop0_TestCase8, Error, 12769)
(Adding_Subtracting_Zero_4_NT_Loop0_TestCase9, Error, 12525)</t>
  </si>
  <si>
    <t>(Adding_Subtracting_Zero_4_NT_Loop50_TestCase0, Error, 13772)
(Adding_Subtracting_Zero_4_NT_Loop16_TestCase0, Error, 12956)</t>
  </si>
  <si>
    <t>(Adding_Subtracting_Zero_4_NT_Loop0_TestCase0, Error, 11219)</t>
  </si>
  <si>
    <t>(Adding_Subtracting_Zero_3_NT_Loop40_TestCase0, Error, 16008)
(Adding_Subtracting_Zero_3_NT_Loop75_TestCase0, Error, 14699)</t>
  </si>
  <si>
    <t>(Adding_Subtracting_Zero_3_NT_Loop0_TestCase0, Error, 20842)</t>
  </si>
  <si>
    <t>(Adding_Subtracting_Zero_2_NT_Loop34_TestCase10, Error, 4478)
(Adding_Subtracting_Zero_2_NT_Loop34_TestCase8, Error, 4616)
(Adding_Subtracting_Zero_2_NT_Loop34_TestCase9, Error, 4571)
(Adding_Subtracting_Zero_2_NT_Loop34_TestCase7, Error, 4922)
(Adding_Subtracting_Zero_2_NT_Loop34_TestCase6, Error, 4517)
(Adding_Subtracting_Zero_2_NT_Loop34_TestCase4, TRUE, 11077)
(Adding_Subtracting_Zero_2_NT_Loop34_TestCase5, Error, 300371)
(Adding_Subtracting_Zero_2_NT_Loop34_TestCase1, TRUE, 2344)
(Adding_Subtracting_Zero_2_NT_Loop34_TestCase2, TRUE, 2350)
(Adding_Subtracting_Zero_2_NT_Loop34_TestCase3, TRUE, 14429)</t>
  </si>
  <si>
    <t>(Adding_Subtracting_Zero_2_NT_Loop0_TestCase5, TRUE, 6758)
(Adding_Subtracting_Zero_2_NT_Loop0_TestCase4, TRUE, 4469)
(Adding_Subtracting_Zero_2_NT_Loop0_TestCase6, Error, 4419)
(Adding_Subtracting_Zero_2_NT_Loop0_TestCase7, Error, 4473)
(Adding_Subtracting_Zero_2_NT_Loop0_TestCase3, TRUE, 4579)
(Adding_Subtracting_Zero_2_NT_Loop0_TestCase2, TRUE, 2333)
(Adding_Subtracting_Zero_2_NT_Loop0_TestCase10, Error, 4445)
(Adding_Subtracting_Zero_2_NT_Loop0_TestCase1, TRUE, 2326)
(Adding_Subtracting_Zero_2_NT_Loop0_TestCase9, Error, 4387)
(Adding_Subtracting_Zero_2_NT_Loop0_TestCase8, Error, 4427)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</si>
</sst>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name val="Calibri"/>
      <family val="2"/>
      <scheme val="minor"/>
    </font>
    <font>
      <b/>
      <sz val="15"/>
      <color rgb="FFC00000"/>
      <name val="Calibri"/>
      <family val="2"/>
      <scheme val="minor"/>
    </font>
    <font>
      <b/>
      <sz val="15"/>
      <color rgb="FFC00000"/>
      <name val="Calibri (Body)"/>
    </font>
    <font>
      <sz val="15"/>
      <color rgb="FFC0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vertical="center"/>
    </xf>
    <xf numFmtId="10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10" fontId="2" fillId="2" borderId="0" xfId="0" applyNumberFormat="1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7" xfId="0" applyFont="1" applyBorder="1"/>
    <xf numFmtId="0" fontId="1" fillId="0" borderId="25" xfId="0" applyFont="1" applyBorder="1"/>
    <xf numFmtId="0" fontId="1" fillId="0" borderId="8" xfId="0" applyFont="1" applyBorder="1"/>
    <xf numFmtId="1" fontId="1" fillId="0" borderId="18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2" borderId="0" xfId="0" applyFont="1" applyFill="1"/>
    <xf numFmtId="0" fontId="1" fillId="0" borderId="11" xfId="0" applyFont="1" applyBorder="1"/>
    <xf numFmtId="0" fontId="1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/>
    <xf numFmtId="0" fontId="1" fillId="0" borderId="18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/>
    </xf>
    <xf numFmtId="2" fontId="1" fillId="0" borderId="22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28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3" fillId="3" borderId="7" xfId="0" applyFont="1" applyFill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2" fillId="0" borderId="0" xfId="0" applyNumberFormat="1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25" xfId="0" applyFont="1" applyBorder="1"/>
    <xf numFmtId="10" fontId="1" fillId="0" borderId="18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1" fillId="0" borderId="22" xfId="0" applyNumberFormat="1" applyFont="1" applyBorder="1" applyAlignment="1">
      <alignment horizontal="center" vertical="center"/>
    </xf>
    <xf numFmtId="10" fontId="1" fillId="0" borderId="21" xfId="0" applyNumberFormat="1" applyFont="1" applyBorder="1" applyAlignment="1">
      <alignment horizontal="center" vertical="center"/>
    </xf>
    <xf numFmtId="10" fontId="5" fillId="0" borderId="18" xfId="0" applyNumberFormat="1" applyFont="1" applyBorder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22" xfId="0" applyNumberFormat="1" applyFont="1" applyBorder="1" applyAlignment="1">
      <alignment horizontal="center" vertical="center"/>
    </xf>
    <xf numFmtId="10" fontId="5" fillId="0" borderId="21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2" fontId="5" fillId="0" borderId="21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28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0" fillId="0" borderId="28" xfId="0" applyNumberForma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10" fontId="1" fillId="0" borderId="28" xfId="0" applyNumberFormat="1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10" fontId="1" fillId="0" borderId="1" xfId="0" applyNumberFormat="1" applyFont="1" applyBorder="1" applyAlignment="1">
      <alignment horizontal="left" vertical="center"/>
    </xf>
    <xf numFmtId="10" fontId="1" fillId="0" borderId="29" xfId="0" applyNumberFormat="1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Alignment="1">
      <alignment horizontal="center" vertical="top" textRotation="90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textRotation="90"/>
    </xf>
    <xf numFmtId="0" fontId="2" fillId="0" borderId="4" xfId="0" applyFont="1" applyBorder="1" applyAlignment="1">
      <alignment horizontal="center" vertical="top" textRotation="90"/>
    </xf>
    <xf numFmtId="0" fontId="2" fillId="0" borderId="5" xfId="0" applyFont="1" applyBorder="1" applyAlignment="1">
      <alignment horizontal="center" vertical="top" textRotation="90"/>
    </xf>
    <xf numFmtId="0" fontId="3" fillId="0" borderId="11" xfId="0" applyFont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left" vertical="center"/>
    </xf>
    <xf numFmtId="49" fontId="1" fillId="0" borderId="20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1" fontId="1" fillId="0" borderId="2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1" fontId="1" fillId="0" borderId="19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0" fontId="2" fillId="0" borderId="12" xfId="0" applyNumberFormat="1" applyFont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'RQ1'!$B$5:$C$28</c:f>
              <c:multiLvlStrCache>
                <c:ptCount val="24"/>
                <c:lvl>
                  <c:pt idx="0">
                    <c:v>correct, ≥0%, &gt;0%</c:v>
                  </c:pt>
                  <c:pt idx="1">
                    <c:v>correct, ≥0%, ≥50%</c:v>
                  </c:pt>
                  <c:pt idx="2">
                    <c:v>correct, ≥0%, =100%</c:v>
                  </c:pt>
                  <c:pt idx="3">
                    <c:v>wrong</c:v>
                  </c:pt>
                  <c:pt idx="4">
                    <c:v>correct, ≥0%, &gt;0%</c:v>
                  </c:pt>
                  <c:pt idx="5">
                    <c:v>correct, ≥0%, ≥50%</c:v>
                  </c:pt>
                  <c:pt idx="6">
                    <c:v>correct, ≥0%, =100%</c:v>
                  </c:pt>
                  <c:pt idx="7">
                    <c:v>wrong</c:v>
                  </c:pt>
                  <c:pt idx="8">
                    <c:v>correct, ≥0%, &gt;0%</c:v>
                  </c:pt>
                  <c:pt idx="9">
                    <c:v>correct, ≥0%, ≥50%</c:v>
                  </c:pt>
                  <c:pt idx="10">
                    <c:v>correct, ≥0%, =100%</c:v>
                  </c:pt>
                  <c:pt idx="11">
                    <c:v>wrong</c:v>
                  </c:pt>
                  <c:pt idx="12">
                    <c:v>correct, ≥0%, &gt;0%</c:v>
                  </c:pt>
                  <c:pt idx="13">
                    <c:v>correct, ≥0%, ≥50%</c:v>
                  </c:pt>
                  <c:pt idx="14">
                    <c:v>correct, ≥0%, =100%</c:v>
                  </c:pt>
                  <c:pt idx="15">
                    <c:v>wrong</c:v>
                  </c:pt>
                  <c:pt idx="16">
                    <c:v>correct, ≥0%, &gt;0%</c:v>
                  </c:pt>
                  <c:pt idx="17">
                    <c:v>correct, ≥0%, ≥50%</c:v>
                  </c:pt>
                  <c:pt idx="18">
                    <c:v>correct, ≥0%, =100%</c:v>
                  </c:pt>
                  <c:pt idx="19">
                    <c:v>wrong</c:v>
                  </c:pt>
                  <c:pt idx="20">
                    <c:v>correct, ≥0%, &gt;0%</c:v>
                  </c:pt>
                  <c:pt idx="21">
                    <c:v>correct, ≥0%, ≥50%</c:v>
                  </c:pt>
                  <c:pt idx="22">
                    <c:v>correct, ≥0%,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'RQ1'!$D$5:$D$28</c:f>
              <c:numCache>
                <c:formatCode>General</c:formatCode>
                <c:ptCount val="24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 formatCode="0">
                  <c:v>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 formatCode="0">
                  <c:v>5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 formatCode="0">
                  <c:v>2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 formatCode="0">
                  <c:v>4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 formatCode="0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 formatCode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E-0C4D-8F69-9333DC42D805}"/>
            </c:ext>
          </c:extLst>
        </c:ser>
        <c:ser>
          <c:idx val="1"/>
          <c:order val="1"/>
          <c:tx>
            <c:v>Slice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'RQ1'!$B$5:$C$28</c:f>
              <c:multiLvlStrCache>
                <c:ptCount val="24"/>
                <c:lvl>
                  <c:pt idx="0">
                    <c:v>correct, ≥0%, &gt;0%</c:v>
                  </c:pt>
                  <c:pt idx="1">
                    <c:v>correct, ≥0%, ≥50%</c:v>
                  </c:pt>
                  <c:pt idx="2">
                    <c:v>correct, ≥0%, =100%</c:v>
                  </c:pt>
                  <c:pt idx="3">
                    <c:v>wrong</c:v>
                  </c:pt>
                  <c:pt idx="4">
                    <c:v>correct, ≥0%, &gt;0%</c:v>
                  </c:pt>
                  <c:pt idx="5">
                    <c:v>correct, ≥0%, ≥50%</c:v>
                  </c:pt>
                  <c:pt idx="6">
                    <c:v>correct, ≥0%, =100%</c:v>
                  </c:pt>
                  <c:pt idx="7">
                    <c:v>wrong</c:v>
                  </c:pt>
                  <c:pt idx="8">
                    <c:v>correct, ≥0%, &gt;0%</c:v>
                  </c:pt>
                  <c:pt idx="9">
                    <c:v>correct, ≥0%, ≥50%</c:v>
                  </c:pt>
                  <c:pt idx="10">
                    <c:v>correct, ≥0%, =100%</c:v>
                  </c:pt>
                  <c:pt idx="11">
                    <c:v>wrong</c:v>
                  </c:pt>
                  <c:pt idx="12">
                    <c:v>correct, ≥0%, &gt;0%</c:v>
                  </c:pt>
                  <c:pt idx="13">
                    <c:v>correct, ≥0%, ≥50%</c:v>
                  </c:pt>
                  <c:pt idx="14">
                    <c:v>correct, ≥0%, =100%</c:v>
                  </c:pt>
                  <c:pt idx="15">
                    <c:v>wrong</c:v>
                  </c:pt>
                  <c:pt idx="16">
                    <c:v>correct, ≥0%, &gt;0%</c:v>
                  </c:pt>
                  <c:pt idx="17">
                    <c:v>correct, ≥0%, ≥50%</c:v>
                  </c:pt>
                  <c:pt idx="18">
                    <c:v>correct, ≥0%, =100%</c:v>
                  </c:pt>
                  <c:pt idx="19">
                    <c:v>wrong</c:v>
                  </c:pt>
                  <c:pt idx="20">
                    <c:v>correct, ≥0%, &gt;0%</c:v>
                  </c:pt>
                  <c:pt idx="21">
                    <c:v>correct, ≥0%, ≥50%</c:v>
                  </c:pt>
                  <c:pt idx="22">
                    <c:v>correct, ≥0%,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'RQ1'!$E$5:$E$28</c:f>
              <c:numCache>
                <c:formatCode>General</c:formatCode>
                <c:ptCount val="24"/>
                <c:pt idx="0">
                  <c:v>35</c:v>
                </c:pt>
                <c:pt idx="1">
                  <c:v>34</c:v>
                </c:pt>
                <c:pt idx="2" formatCode="0">
                  <c:v>32</c:v>
                </c:pt>
                <c:pt idx="3" formatCode="0">
                  <c:v>0</c:v>
                </c:pt>
                <c:pt idx="4">
                  <c:v>34</c:v>
                </c:pt>
                <c:pt idx="5">
                  <c:v>34</c:v>
                </c:pt>
                <c:pt idx="6" formatCode="0">
                  <c:v>33</c:v>
                </c:pt>
                <c:pt idx="7" formatCode="0">
                  <c:v>4</c:v>
                </c:pt>
                <c:pt idx="8">
                  <c:v>20</c:v>
                </c:pt>
                <c:pt idx="9" formatCode="0">
                  <c:v>20</c:v>
                </c:pt>
                <c:pt idx="10" formatCode="0">
                  <c:v>19</c:v>
                </c:pt>
                <c:pt idx="11" formatCode="0">
                  <c:v>2</c:v>
                </c:pt>
                <c:pt idx="12">
                  <c:v>14</c:v>
                </c:pt>
                <c:pt idx="13" formatCode="0">
                  <c:v>14</c:v>
                </c:pt>
                <c:pt idx="14" formatCode="0">
                  <c:v>12</c:v>
                </c:pt>
                <c:pt idx="15" formatCode="0">
                  <c:v>4</c:v>
                </c:pt>
                <c:pt idx="16">
                  <c:v>22</c:v>
                </c:pt>
                <c:pt idx="17" formatCode="0">
                  <c:v>22</c:v>
                </c:pt>
                <c:pt idx="18" formatCode="0">
                  <c:v>21</c:v>
                </c:pt>
                <c:pt idx="19" formatCode="0">
                  <c:v>0</c:v>
                </c:pt>
                <c:pt idx="20">
                  <c:v>1</c:v>
                </c:pt>
                <c:pt idx="21" formatCode="0">
                  <c:v>1</c:v>
                </c:pt>
                <c:pt idx="22" formatCode="0">
                  <c:v>1</c:v>
                </c:pt>
                <c:pt idx="23" formatCode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E-0C4D-8F69-9333DC42D805}"/>
            </c:ext>
          </c:extLst>
        </c:ser>
        <c:ser>
          <c:idx val="2"/>
          <c:order val="2"/>
          <c:tx>
            <c:v>Cncrt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'RQ1'!$B$5:$C$28</c:f>
              <c:multiLvlStrCache>
                <c:ptCount val="24"/>
                <c:lvl>
                  <c:pt idx="0">
                    <c:v>correct, ≥0%, &gt;0%</c:v>
                  </c:pt>
                  <c:pt idx="1">
                    <c:v>correct, ≥0%, ≥50%</c:v>
                  </c:pt>
                  <c:pt idx="2">
                    <c:v>correct, ≥0%, =100%</c:v>
                  </c:pt>
                  <c:pt idx="3">
                    <c:v>wrong</c:v>
                  </c:pt>
                  <c:pt idx="4">
                    <c:v>correct, ≥0%, &gt;0%</c:v>
                  </c:pt>
                  <c:pt idx="5">
                    <c:v>correct, ≥0%, ≥50%</c:v>
                  </c:pt>
                  <c:pt idx="6">
                    <c:v>correct, ≥0%, =100%</c:v>
                  </c:pt>
                  <c:pt idx="7">
                    <c:v>wrong</c:v>
                  </c:pt>
                  <c:pt idx="8">
                    <c:v>correct, ≥0%, &gt;0%</c:v>
                  </c:pt>
                  <c:pt idx="9">
                    <c:v>correct, ≥0%, ≥50%</c:v>
                  </c:pt>
                  <c:pt idx="10">
                    <c:v>correct, ≥0%, =100%</c:v>
                  </c:pt>
                  <c:pt idx="11">
                    <c:v>wrong</c:v>
                  </c:pt>
                  <c:pt idx="12">
                    <c:v>correct, ≥0%, &gt;0%</c:v>
                  </c:pt>
                  <c:pt idx="13">
                    <c:v>correct, ≥0%, ≥50%</c:v>
                  </c:pt>
                  <c:pt idx="14">
                    <c:v>correct, ≥0%, =100%</c:v>
                  </c:pt>
                  <c:pt idx="15">
                    <c:v>wrong</c:v>
                  </c:pt>
                  <c:pt idx="16">
                    <c:v>correct, ≥0%, &gt;0%</c:v>
                  </c:pt>
                  <c:pt idx="17">
                    <c:v>correct, ≥0%, ≥50%</c:v>
                  </c:pt>
                  <c:pt idx="18">
                    <c:v>correct, ≥0%, =100%</c:v>
                  </c:pt>
                  <c:pt idx="19">
                    <c:v>wrong</c:v>
                  </c:pt>
                  <c:pt idx="20">
                    <c:v>correct, ≥0%, &gt;0%</c:v>
                  </c:pt>
                  <c:pt idx="21">
                    <c:v>correct, ≥0%, ≥50%</c:v>
                  </c:pt>
                  <c:pt idx="22">
                    <c:v>correct, ≥0%,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'RQ1'!$F$5:$F$28</c:f>
              <c:numCache>
                <c:formatCode>General</c:formatCode>
                <c:ptCount val="24"/>
                <c:pt idx="0">
                  <c:v>37</c:v>
                </c:pt>
                <c:pt idx="1">
                  <c:v>33</c:v>
                </c:pt>
                <c:pt idx="2" formatCode="0">
                  <c:v>31</c:v>
                </c:pt>
                <c:pt idx="3" formatCode="0">
                  <c:v>0</c:v>
                </c:pt>
                <c:pt idx="4">
                  <c:v>29</c:v>
                </c:pt>
                <c:pt idx="5">
                  <c:v>28</c:v>
                </c:pt>
                <c:pt idx="6" formatCode="0">
                  <c:v>25</c:v>
                </c:pt>
                <c:pt idx="7" formatCode="0">
                  <c:v>9</c:v>
                </c:pt>
                <c:pt idx="8">
                  <c:v>22</c:v>
                </c:pt>
                <c:pt idx="9" formatCode="0">
                  <c:v>19</c:v>
                </c:pt>
                <c:pt idx="10" formatCode="0">
                  <c:v>15</c:v>
                </c:pt>
                <c:pt idx="11" formatCode="0">
                  <c:v>7</c:v>
                </c:pt>
                <c:pt idx="12">
                  <c:v>19</c:v>
                </c:pt>
                <c:pt idx="13" formatCode="0">
                  <c:v>15</c:v>
                </c:pt>
                <c:pt idx="14" formatCode="0">
                  <c:v>14</c:v>
                </c:pt>
                <c:pt idx="15" formatCode="0">
                  <c:v>8</c:v>
                </c:pt>
                <c:pt idx="16">
                  <c:v>19</c:v>
                </c:pt>
                <c:pt idx="17" formatCode="0">
                  <c:v>18</c:v>
                </c:pt>
                <c:pt idx="18" formatCode="0">
                  <c:v>17</c:v>
                </c:pt>
                <c:pt idx="19" formatCode="0">
                  <c:v>4</c:v>
                </c:pt>
                <c:pt idx="20">
                  <c:v>25</c:v>
                </c:pt>
                <c:pt idx="21" formatCode="0">
                  <c:v>21</c:v>
                </c:pt>
                <c:pt idx="22" formatCode="0">
                  <c:v>19</c:v>
                </c:pt>
                <c:pt idx="23" formatCode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DE-0C4D-8F69-9333DC42D805}"/>
            </c:ext>
          </c:extLst>
        </c:ser>
        <c:ser>
          <c:idx val="3"/>
          <c:order val="3"/>
          <c:tx>
            <c:v>Slice+Cncrt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'RQ1'!$B$5:$C$28</c:f>
              <c:multiLvlStrCache>
                <c:ptCount val="24"/>
                <c:lvl>
                  <c:pt idx="0">
                    <c:v>correct, ≥0%, &gt;0%</c:v>
                  </c:pt>
                  <c:pt idx="1">
                    <c:v>correct, ≥0%, ≥50%</c:v>
                  </c:pt>
                  <c:pt idx="2">
                    <c:v>correct, ≥0%, =100%</c:v>
                  </c:pt>
                  <c:pt idx="3">
                    <c:v>wrong</c:v>
                  </c:pt>
                  <c:pt idx="4">
                    <c:v>correct, ≥0%, &gt;0%</c:v>
                  </c:pt>
                  <c:pt idx="5">
                    <c:v>correct, ≥0%, ≥50%</c:v>
                  </c:pt>
                  <c:pt idx="6">
                    <c:v>correct, ≥0%, =100%</c:v>
                  </c:pt>
                  <c:pt idx="7">
                    <c:v>wrong</c:v>
                  </c:pt>
                  <c:pt idx="8">
                    <c:v>correct, ≥0%, &gt;0%</c:v>
                  </c:pt>
                  <c:pt idx="9">
                    <c:v>correct, ≥0%, ≥50%</c:v>
                  </c:pt>
                  <c:pt idx="10">
                    <c:v>correct, ≥0%, =100%</c:v>
                  </c:pt>
                  <c:pt idx="11">
                    <c:v>wrong</c:v>
                  </c:pt>
                  <c:pt idx="12">
                    <c:v>correct, ≥0%, &gt;0%</c:v>
                  </c:pt>
                  <c:pt idx="13">
                    <c:v>correct, ≥0%, ≥50%</c:v>
                  </c:pt>
                  <c:pt idx="14">
                    <c:v>correct, ≥0%, =100%</c:v>
                  </c:pt>
                  <c:pt idx="15">
                    <c:v>wrong</c:v>
                  </c:pt>
                  <c:pt idx="16">
                    <c:v>correct, ≥0%, &gt;0%</c:v>
                  </c:pt>
                  <c:pt idx="17">
                    <c:v>correct, ≥0%, ≥50%</c:v>
                  </c:pt>
                  <c:pt idx="18">
                    <c:v>correct, ≥0%, =100%</c:v>
                  </c:pt>
                  <c:pt idx="19">
                    <c:v>wrong</c:v>
                  </c:pt>
                  <c:pt idx="20">
                    <c:v>correct, ≥0%, &gt;0%</c:v>
                  </c:pt>
                  <c:pt idx="21">
                    <c:v>correct, ≥0%, ≥50%</c:v>
                  </c:pt>
                  <c:pt idx="22">
                    <c:v>correct, ≥0%,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'RQ1'!$G$5:$G$28</c:f>
              <c:numCache>
                <c:formatCode>General</c:formatCode>
                <c:ptCount val="24"/>
                <c:pt idx="0">
                  <c:v>34</c:v>
                </c:pt>
                <c:pt idx="1">
                  <c:v>30</c:v>
                </c:pt>
                <c:pt idx="2" formatCode="0">
                  <c:v>28</c:v>
                </c:pt>
                <c:pt idx="3" formatCode="0">
                  <c:v>0</c:v>
                </c:pt>
                <c:pt idx="4">
                  <c:v>31</c:v>
                </c:pt>
                <c:pt idx="5">
                  <c:v>30</c:v>
                </c:pt>
                <c:pt idx="6" formatCode="0">
                  <c:v>25</c:v>
                </c:pt>
                <c:pt idx="7" formatCode="0">
                  <c:v>8</c:v>
                </c:pt>
                <c:pt idx="8">
                  <c:v>17</c:v>
                </c:pt>
                <c:pt idx="9" formatCode="0">
                  <c:v>14</c:v>
                </c:pt>
                <c:pt idx="10" formatCode="0">
                  <c:v>10</c:v>
                </c:pt>
                <c:pt idx="11" formatCode="0">
                  <c:v>7</c:v>
                </c:pt>
                <c:pt idx="12">
                  <c:v>19</c:v>
                </c:pt>
                <c:pt idx="13" formatCode="0">
                  <c:v>16</c:v>
                </c:pt>
                <c:pt idx="14" formatCode="0">
                  <c:v>13</c:v>
                </c:pt>
                <c:pt idx="15" formatCode="0">
                  <c:v>8</c:v>
                </c:pt>
                <c:pt idx="16">
                  <c:v>21</c:v>
                </c:pt>
                <c:pt idx="17" formatCode="0">
                  <c:v>20</c:v>
                </c:pt>
                <c:pt idx="18" formatCode="0">
                  <c:v>17</c:v>
                </c:pt>
                <c:pt idx="19" formatCode="0">
                  <c:v>3</c:v>
                </c:pt>
                <c:pt idx="20">
                  <c:v>24</c:v>
                </c:pt>
                <c:pt idx="21" formatCode="0">
                  <c:v>20</c:v>
                </c:pt>
                <c:pt idx="22" formatCode="0">
                  <c:v>18</c:v>
                </c:pt>
                <c:pt idx="23" formatCode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DE-0C4D-8F69-9333DC42D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28177759"/>
        <c:axId val="1428574863"/>
      </c:barChart>
      <c:catAx>
        <c:axId val="142817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74863"/>
        <c:crosses val="autoZero"/>
        <c:auto val="1"/>
        <c:lblAlgn val="ctr"/>
        <c:lblOffset val="100"/>
        <c:noMultiLvlLbl val="0"/>
      </c:catAx>
      <c:valAx>
        <c:axId val="1428574863"/>
        <c:scaling>
          <c:orientation val="minMax"/>
          <c:max val="5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77759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3915807645300233"/>
          <c:y val="8.9011455876790491E-2"/>
          <c:w val="0.14096910095877391"/>
          <c:h val="0.1241190871902258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'RQ1'!$B$33:$C$56</c:f>
              <c:multiLvlStrCache>
                <c:ptCount val="24"/>
                <c:lvl>
                  <c:pt idx="0">
                    <c:v>correct, &gt;0%</c:v>
                  </c:pt>
                  <c:pt idx="1">
                    <c:v>correct, ≥50%</c:v>
                  </c:pt>
                  <c:pt idx="2">
                    <c:v>correct, =100%</c:v>
                  </c:pt>
                  <c:pt idx="3">
                    <c:v>wrong</c:v>
                  </c:pt>
                  <c:pt idx="4">
                    <c:v>correct, &gt;0%</c:v>
                  </c:pt>
                  <c:pt idx="5">
                    <c:v>correct, ≥50%</c:v>
                  </c:pt>
                  <c:pt idx="6">
                    <c:v>correct, =100%</c:v>
                  </c:pt>
                  <c:pt idx="7">
                    <c:v>wrong</c:v>
                  </c:pt>
                  <c:pt idx="8">
                    <c:v>correct, &gt;0%</c:v>
                  </c:pt>
                  <c:pt idx="9">
                    <c:v>correct, ≥50%</c:v>
                  </c:pt>
                  <c:pt idx="10">
                    <c:v>correct, =100%</c:v>
                  </c:pt>
                  <c:pt idx="11">
                    <c:v>wrong</c:v>
                  </c:pt>
                  <c:pt idx="12">
                    <c:v>correct, &gt;0%</c:v>
                  </c:pt>
                  <c:pt idx="13">
                    <c:v>correct, ≥50%</c:v>
                  </c:pt>
                  <c:pt idx="14">
                    <c:v>correct, =100%</c:v>
                  </c:pt>
                  <c:pt idx="15">
                    <c:v>wrong</c:v>
                  </c:pt>
                  <c:pt idx="16">
                    <c:v>correct, &gt;0%</c:v>
                  </c:pt>
                  <c:pt idx="17">
                    <c:v>correct, ≥50%</c:v>
                  </c:pt>
                  <c:pt idx="18">
                    <c:v>correct, =100%</c:v>
                  </c:pt>
                  <c:pt idx="19">
                    <c:v>wrong</c:v>
                  </c:pt>
                  <c:pt idx="20">
                    <c:v>correct, &gt;0%</c:v>
                  </c:pt>
                  <c:pt idx="21">
                    <c:v>correct, ≥50%</c:v>
                  </c:pt>
                  <c:pt idx="22">
                    <c:v>correct,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'RQ1'!$D$33:$D$56</c:f>
              <c:numCache>
                <c:formatCode>General</c:formatCode>
                <c:ptCount val="24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 formatCode="0">
                  <c:v>0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 formatCode="0">
                  <c:v>5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 formatCode="0">
                  <c:v>1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 formatCode="0">
                  <c:v>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 formatCode="0">
                  <c:v>5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B-6842-8A67-995248A80A7D}"/>
            </c:ext>
          </c:extLst>
        </c:ser>
        <c:ser>
          <c:idx val="1"/>
          <c:order val="1"/>
          <c:tx>
            <c:v>Slice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'RQ1'!$B$33:$C$56</c:f>
              <c:multiLvlStrCache>
                <c:ptCount val="24"/>
                <c:lvl>
                  <c:pt idx="0">
                    <c:v>correct, &gt;0%</c:v>
                  </c:pt>
                  <c:pt idx="1">
                    <c:v>correct, ≥50%</c:v>
                  </c:pt>
                  <c:pt idx="2">
                    <c:v>correct, =100%</c:v>
                  </c:pt>
                  <c:pt idx="3">
                    <c:v>wrong</c:v>
                  </c:pt>
                  <c:pt idx="4">
                    <c:v>correct, &gt;0%</c:v>
                  </c:pt>
                  <c:pt idx="5">
                    <c:v>correct, ≥50%</c:v>
                  </c:pt>
                  <c:pt idx="6">
                    <c:v>correct, =100%</c:v>
                  </c:pt>
                  <c:pt idx="7">
                    <c:v>wrong</c:v>
                  </c:pt>
                  <c:pt idx="8">
                    <c:v>correct, &gt;0%</c:v>
                  </c:pt>
                  <c:pt idx="9">
                    <c:v>correct, ≥50%</c:v>
                  </c:pt>
                  <c:pt idx="10">
                    <c:v>correct, =100%</c:v>
                  </c:pt>
                  <c:pt idx="11">
                    <c:v>wrong</c:v>
                  </c:pt>
                  <c:pt idx="12">
                    <c:v>correct, &gt;0%</c:v>
                  </c:pt>
                  <c:pt idx="13">
                    <c:v>correct, ≥50%</c:v>
                  </c:pt>
                  <c:pt idx="14">
                    <c:v>correct, =100%</c:v>
                  </c:pt>
                  <c:pt idx="15">
                    <c:v>wrong</c:v>
                  </c:pt>
                  <c:pt idx="16">
                    <c:v>correct, &gt;0%</c:v>
                  </c:pt>
                  <c:pt idx="17">
                    <c:v>correct, ≥50%</c:v>
                  </c:pt>
                  <c:pt idx="18">
                    <c:v>correct, =100%</c:v>
                  </c:pt>
                  <c:pt idx="19">
                    <c:v>wrong</c:v>
                  </c:pt>
                  <c:pt idx="20">
                    <c:v>correct, &gt;0%</c:v>
                  </c:pt>
                  <c:pt idx="21">
                    <c:v>correct, ≥50%</c:v>
                  </c:pt>
                  <c:pt idx="22">
                    <c:v>correct,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'RQ1'!$E$33:$E$56</c:f>
              <c:numCache>
                <c:formatCode>General</c:formatCode>
                <c:ptCount val="24"/>
                <c:pt idx="0">
                  <c:v>39</c:v>
                </c:pt>
                <c:pt idx="1">
                  <c:v>37</c:v>
                </c:pt>
                <c:pt idx="2" formatCode="0">
                  <c:v>34</c:v>
                </c:pt>
                <c:pt idx="3" formatCode="0">
                  <c:v>0</c:v>
                </c:pt>
                <c:pt idx="4">
                  <c:v>54</c:v>
                </c:pt>
                <c:pt idx="5">
                  <c:v>53</c:v>
                </c:pt>
                <c:pt idx="6" formatCode="0">
                  <c:v>52</c:v>
                </c:pt>
                <c:pt idx="7" formatCode="0">
                  <c:v>4</c:v>
                </c:pt>
                <c:pt idx="8">
                  <c:v>32</c:v>
                </c:pt>
                <c:pt idx="9" formatCode="0">
                  <c:v>29</c:v>
                </c:pt>
                <c:pt idx="10" formatCode="0">
                  <c:v>25</c:v>
                </c:pt>
                <c:pt idx="11" formatCode="0">
                  <c:v>1</c:v>
                </c:pt>
                <c:pt idx="12">
                  <c:v>28</c:v>
                </c:pt>
                <c:pt idx="13" formatCode="0">
                  <c:v>25</c:v>
                </c:pt>
                <c:pt idx="14" formatCode="0">
                  <c:v>22</c:v>
                </c:pt>
                <c:pt idx="15" formatCode="0">
                  <c:v>0</c:v>
                </c:pt>
                <c:pt idx="16">
                  <c:v>10</c:v>
                </c:pt>
                <c:pt idx="17" formatCode="0">
                  <c:v>10</c:v>
                </c:pt>
                <c:pt idx="18" formatCode="0">
                  <c:v>9</c:v>
                </c:pt>
                <c:pt idx="19" formatCode="0">
                  <c:v>7</c:v>
                </c:pt>
                <c:pt idx="20">
                  <c:v>34</c:v>
                </c:pt>
                <c:pt idx="21" formatCode="0">
                  <c:v>32</c:v>
                </c:pt>
                <c:pt idx="22" formatCode="0">
                  <c:v>29</c:v>
                </c:pt>
                <c:pt idx="2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B-6842-8A67-995248A80A7D}"/>
            </c:ext>
          </c:extLst>
        </c:ser>
        <c:ser>
          <c:idx val="2"/>
          <c:order val="2"/>
          <c:tx>
            <c:v>Cncrt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'RQ1'!$B$33:$C$56</c:f>
              <c:multiLvlStrCache>
                <c:ptCount val="24"/>
                <c:lvl>
                  <c:pt idx="0">
                    <c:v>correct, &gt;0%</c:v>
                  </c:pt>
                  <c:pt idx="1">
                    <c:v>correct, ≥50%</c:v>
                  </c:pt>
                  <c:pt idx="2">
                    <c:v>correct, =100%</c:v>
                  </c:pt>
                  <c:pt idx="3">
                    <c:v>wrong</c:v>
                  </c:pt>
                  <c:pt idx="4">
                    <c:v>correct, &gt;0%</c:v>
                  </c:pt>
                  <c:pt idx="5">
                    <c:v>correct, ≥50%</c:v>
                  </c:pt>
                  <c:pt idx="6">
                    <c:v>correct, =100%</c:v>
                  </c:pt>
                  <c:pt idx="7">
                    <c:v>wrong</c:v>
                  </c:pt>
                  <c:pt idx="8">
                    <c:v>correct, &gt;0%</c:v>
                  </c:pt>
                  <c:pt idx="9">
                    <c:v>correct, ≥50%</c:v>
                  </c:pt>
                  <c:pt idx="10">
                    <c:v>correct, =100%</c:v>
                  </c:pt>
                  <c:pt idx="11">
                    <c:v>wrong</c:v>
                  </c:pt>
                  <c:pt idx="12">
                    <c:v>correct, &gt;0%</c:v>
                  </c:pt>
                  <c:pt idx="13">
                    <c:v>correct, ≥50%</c:v>
                  </c:pt>
                  <c:pt idx="14">
                    <c:v>correct, =100%</c:v>
                  </c:pt>
                  <c:pt idx="15">
                    <c:v>wrong</c:v>
                  </c:pt>
                  <c:pt idx="16">
                    <c:v>correct, &gt;0%</c:v>
                  </c:pt>
                  <c:pt idx="17">
                    <c:v>correct, ≥50%</c:v>
                  </c:pt>
                  <c:pt idx="18">
                    <c:v>correct, =100%</c:v>
                  </c:pt>
                  <c:pt idx="19">
                    <c:v>wrong</c:v>
                  </c:pt>
                  <c:pt idx="20">
                    <c:v>correct, &gt;0%</c:v>
                  </c:pt>
                  <c:pt idx="21">
                    <c:v>correct, ≥50%</c:v>
                  </c:pt>
                  <c:pt idx="22">
                    <c:v>correct,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'RQ1'!$F$33:$F$56</c:f>
              <c:numCache>
                <c:formatCode>General</c:formatCode>
                <c:ptCount val="24"/>
                <c:pt idx="0">
                  <c:v>45</c:v>
                </c:pt>
                <c:pt idx="1">
                  <c:v>43</c:v>
                </c:pt>
                <c:pt idx="2" formatCode="0">
                  <c:v>39</c:v>
                </c:pt>
                <c:pt idx="3" formatCode="0">
                  <c:v>0</c:v>
                </c:pt>
                <c:pt idx="4">
                  <c:v>56</c:v>
                </c:pt>
                <c:pt idx="5">
                  <c:v>55</c:v>
                </c:pt>
                <c:pt idx="6" formatCode="0">
                  <c:v>48</c:v>
                </c:pt>
                <c:pt idx="7" formatCode="0">
                  <c:v>3</c:v>
                </c:pt>
                <c:pt idx="8">
                  <c:v>44</c:v>
                </c:pt>
                <c:pt idx="9" formatCode="0">
                  <c:v>36</c:v>
                </c:pt>
                <c:pt idx="10" formatCode="0">
                  <c:v>27</c:v>
                </c:pt>
                <c:pt idx="11" formatCode="0">
                  <c:v>0</c:v>
                </c:pt>
                <c:pt idx="12">
                  <c:v>41</c:v>
                </c:pt>
                <c:pt idx="13" formatCode="0">
                  <c:v>34</c:v>
                </c:pt>
                <c:pt idx="14" formatCode="0">
                  <c:v>25</c:v>
                </c:pt>
                <c:pt idx="15" formatCode="0">
                  <c:v>0</c:v>
                </c:pt>
                <c:pt idx="16">
                  <c:v>34</c:v>
                </c:pt>
                <c:pt idx="17" formatCode="0">
                  <c:v>28</c:v>
                </c:pt>
                <c:pt idx="18" formatCode="0">
                  <c:v>21</c:v>
                </c:pt>
                <c:pt idx="19" formatCode="0">
                  <c:v>1</c:v>
                </c:pt>
                <c:pt idx="20">
                  <c:v>41</c:v>
                </c:pt>
                <c:pt idx="21" formatCode="0">
                  <c:v>36</c:v>
                </c:pt>
                <c:pt idx="22" formatCode="0">
                  <c:v>29</c:v>
                </c:pt>
                <c:pt idx="2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DB-6842-8A67-995248A80A7D}"/>
            </c:ext>
          </c:extLst>
        </c:ser>
        <c:ser>
          <c:idx val="3"/>
          <c:order val="3"/>
          <c:tx>
            <c:v>Slice+Cncrt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'RQ1'!$B$33:$C$56</c:f>
              <c:multiLvlStrCache>
                <c:ptCount val="24"/>
                <c:lvl>
                  <c:pt idx="0">
                    <c:v>correct, &gt;0%</c:v>
                  </c:pt>
                  <c:pt idx="1">
                    <c:v>correct, ≥50%</c:v>
                  </c:pt>
                  <c:pt idx="2">
                    <c:v>correct, =100%</c:v>
                  </c:pt>
                  <c:pt idx="3">
                    <c:v>wrong</c:v>
                  </c:pt>
                  <c:pt idx="4">
                    <c:v>correct, &gt;0%</c:v>
                  </c:pt>
                  <c:pt idx="5">
                    <c:v>correct, ≥50%</c:v>
                  </c:pt>
                  <c:pt idx="6">
                    <c:v>correct, =100%</c:v>
                  </c:pt>
                  <c:pt idx="7">
                    <c:v>wrong</c:v>
                  </c:pt>
                  <c:pt idx="8">
                    <c:v>correct, &gt;0%</c:v>
                  </c:pt>
                  <c:pt idx="9">
                    <c:v>correct, ≥50%</c:v>
                  </c:pt>
                  <c:pt idx="10">
                    <c:v>correct, =100%</c:v>
                  </c:pt>
                  <c:pt idx="11">
                    <c:v>wrong</c:v>
                  </c:pt>
                  <c:pt idx="12">
                    <c:v>correct, &gt;0%</c:v>
                  </c:pt>
                  <c:pt idx="13">
                    <c:v>correct, ≥50%</c:v>
                  </c:pt>
                  <c:pt idx="14">
                    <c:v>correct, =100%</c:v>
                  </c:pt>
                  <c:pt idx="15">
                    <c:v>wrong</c:v>
                  </c:pt>
                  <c:pt idx="16">
                    <c:v>correct, &gt;0%</c:v>
                  </c:pt>
                  <c:pt idx="17">
                    <c:v>correct, ≥50%</c:v>
                  </c:pt>
                  <c:pt idx="18">
                    <c:v>correct, =100%</c:v>
                  </c:pt>
                  <c:pt idx="19">
                    <c:v>wrong</c:v>
                  </c:pt>
                  <c:pt idx="20">
                    <c:v>correct, &gt;0%</c:v>
                  </c:pt>
                  <c:pt idx="21">
                    <c:v>correct, ≥50%</c:v>
                  </c:pt>
                  <c:pt idx="22">
                    <c:v>correct,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'RQ1'!$G$33:$G$56</c:f>
              <c:numCache>
                <c:formatCode>General</c:formatCode>
                <c:ptCount val="24"/>
                <c:pt idx="0">
                  <c:v>46</c:v>
                </c:pt>
                <c:pt idx="1">
                  <c:v>41</c:v>
                </c:pt>
                <c:pt idx="2" formatCode="0">
                  <c:v>36</c:v>
                </c:pt>
                <c:pt idx="3" formatCode="0">
                  <c:v>0</c:v>
                </c:pt>
                <c:pt idx="4">
                  <c:v>56</c:v>
                </c:pt>
                <c:pt idx="5">
                  <c:v>55</c:v>
                </c:pt>
                <c:pt idx="6" formatCode="0">
                  <c:v>47</c:v>
                </c:pt>
                <c:pt idx="7" formatCode="0">
                  <c:v>3</c:v>
                </c:pt>
                <c:pt idx="8">
                  <c:v>43</c:v>
                </c:pt>
                <c:pt idx="9" formatCode="0">
                  <c:v>33</c:v>
                </c:pt>
                <c:pt idx="10" formatCode="0">
                  <c:v>21</c:v>
                </c:pt>
                <c:pt idx="11" formatCode="0">
                  <c:v>0</c:v>
                </c:pt>
                <c:pt idx="12">
                  <c:v>41</c:v>
                </c:pt>
                <c:pt idx="13" formatCode="0">
                  <c:v>32</c:v>
                </c:pt>
                <c:pt idx="14" formatCode="0">
                  <c:v>24</c:v>
                </c:pt>
                <c:pt idx="15" formatCode="0">
                  <c:v>0</c:v>
                </c:pt>
                <c:pt idx="16">
                  <c:v>34</c:v>
                </c:pt>
                <c:pt idx="17" formatCode="0">
                  <c:v>29</c:v>
                </c:pt>
                <c:pt idx="18" formatCode="0">
                  <c:v>19</c:v>
                </c:pt>
                <c:pt idx="19" formatCode="0">
                  <c:v>1</c:v>
                </c:pt>
                <c:pt idx="20">
                  <c:v>46</c:v>
                </c:pt>
                <c:pt idx="21" formatCode="0">
                  <c:v>39</c:v>
                </c:pt>
                <c:pt idx="22" formatCode="0">
                  <c:v>29</c:v>
                </c:pt>
                <c:pt idx="2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DB-6842-8A67-995248A80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8893744"/>
        <c:axId val="638895456"/>
      </c:barChart>
      <c:catAx>
        <c:axId val="63889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895456"/>
        <c:crosses val="autoZero"/>
        <c:auto val="1"/>
        <c:lblAlgn val="ctr"/>
        <c:lblOffset val="100"/>
        <c:noMultiLvlLbl val="0"/>
      </c:catAx>
      <c:valAx>
        <c:axId val="638895456"/>
        <c:scaling>
          <c:orientation val="minMax"/>
          <c:max val="6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89374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3797994945757237"/>
          <c:y val="6.5848462383902059E-2"/>
          <c:w val="0.14070817213857204"/>
          <c:h val="0.1296513609639328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</xdr:colOff>
      <xdr:row>4</xdr:row>
      <xdr:rowOff>4445</xdr:rowOff>
    </xdr:from>
    <xdr:to>
      <xdr:col>23</xdr:col>
      <xdr:colOff>0</xdr:colOff>
      <xdr:row>19</xdr:row>
      <xdr:rowOff>10160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1F448-E675-F996-241F-66B126D46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32</xdr:row>
      <xdr:rowOff>1931</xdr:rowOff>
    </xdr:from>
    <xdr:to>
      <xdr:col>23</xdr:col>
      <xdr:colOff>0</xdr:colOff>
      <xdr:row>47</xdr:row>
      <xdr:rowOff>13803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D9C93B-B4FB-F589-3357-6977DBC56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0.07057</cdr:x>
      <cdr:y>0.73608</cdr:y>
    </cdr:from>
    <cdr:to>
      <cdr:x>0.07057</cdr:x>
      <cdr:y>0.90306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A9845B1-9B7F-23A8-E456-229092270023}"/>
            </a:ext>
          </a:extLst>
        </cdr:cNvPr>
        <cdr:cNvCxnSpPr/>
      </cdr:nvCxnSpPr>
      <cdr:spPr>
        <a:xfrm xmlns:a="http://schemas.openxmlformats.org/drawingml/2006/main">
          <a:off x="873077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0.11032</cdr:x>
      <cdr:y>0.73614</cdr:y>
    </cdr:from>
    <cdr:to>
      <cdr:x>0.11032</cdr:x>
      <cdr:y>0.90312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46C7E3C5-F919-E626-85D5-B005C83E95DB}"/>
            </a:ext>
          </a:extLst>
        </cdr:cNvPr>
        <cdr:cNvCxnSpPr/>
      </cdr:nvCxnSpPr>
      <cdr:spPr>
        <a:xfrm xmlns:a="http://schemas.openxmlformats.org/drawingml/2006/main">
          <a:off x="1364884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0.15032</cdr:x>
      <cdr:y>0.73605</cdr:y>
    </cdr:from>
    <cdr:to>
      <cdr:x>0.15032</cdr:x>
      <cdr:y>0.90303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70C3E313-25F2-4217-7FA2-05BC4E2FAD2A}"/>
            </a:ext>
          </a:extLst>
        </cdr:cNvPr>
        <cdr:cNvCxnSpPr/>
      </cdr:nvCxnSpPr>
      <cdr:spPr>
        <a:xfrm xmlns:a="http://schemas.openxmlformats.org/drawingml/2006/main">
          <a:off x="1859863" y="2821469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0.23038</cdr:x>
      <cdr:y>0.73608</cdr:y>
    </cdr:from>
    <cdr:to>
      <cdr:x>0.23038</cdr:x>
      <cdr:y>0.90306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34D0995C-AD7F-CF82-8929-89F4359E89BB}"/>
            </a:ext>
          </a:extLst>
        </cdr:cNvPr>
        <cdr:cNvCxnSpPr/>
      </cdr:nvCxnSpPr>
      <cdr:spPr>
        <a:xfrm xmlns:a="http://schemas.openxmlformats.org/drawingml/2006/main">
          <a:off x="2850401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0.27013</cdr:x>
      <cdr:y>0.73614</cdr:y>
    </cdr:from>
    <cdr:to>
      <cdr:x>0.27013</cdr:x>
      <cdr:y>0.90312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F1A76BAD-118B-4B49-E15C-C6012BEBB286}"/>
            </a:ext>
          </a:extLst>
        </cdr:cNvPr>
        <cdr:cNvCxnSpPr/>
      </cdr:nvCxnSpPr>
      <cdr:spPr>
        <a:xfrm xmlns:a="http://schemas.openxmlformats.org/drawingml/2006/main">
          <a:off x="3342207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0.31014</cdr:x>
      <cdr:y>0.73605</cdr:y>
    </cdr:from>
    <cdr:to>
      <cdr:x>0.31014</cdr:x>
      <cdr:y>0.90303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D4DBC51E-4FEF-C36D-23F0-C6A61FEBEB23}"/>
            </a:ext>
          </a:extLst>
        </cdr:cNvPr>
        <cdr:cNvCxnSpPr/>
      </cdr:nvCxnSpPr>
      <cdr:spPr>
        <a:xfrm xmlns:a="http://schemas.openxmlformats.org/drawingml/2006/main">
          <a:off x="3830564" y="2808545"/>
          <a:ext cx="0" cy="637149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0.38994</cdr:x>
      <cdr:y>0.73608</cdr:y>
    </cdr:from>
    <cdr:to>
      <cdr:x>0.38994</cdr:x>
      <cdr:y>0.90306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34D0995C-AD7F-CF82-8929-89F4359E89BB}"/>
            </a:ext>
          </a:extLst>
        </cdr:cNvPr>
        <cdr:cNvCxnSpPr/>
      </cdr:nvCxnSpPr>
      <cdr:spPr>
        <a:xfrm xmlns:a="http://schemas.openxmlformats.org/drawingml/2006/main">
          <a:off x="4824551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0.42969</cdr:x>
      <cdr:y>0.73614</cdr:y>
    </cdr:from>
    <cdr:to>
      <cdr:x>0.42969</cdr:x>
      <cdr:y>0.90312</cdr:y>
    </cdr:to>
    <cdr:cxnSp macro="">
      <cdr:nvCxnSpPr>
        <cdr:cNvPr id="17" name="Straight Connector 16">
          <a:extLst xmlns:a="http://schemas.openxmlformats.org/drawingml/2006/main">
            <a:ext uri="{FF2B5EF4-FFF2-40B4-BE49-F238E27FC236}">
              <a16:creationId xmlns:a16="http://schemas.microsoft.com/office/drawing/2014/main" id="{F1A76BAD-118B-4B49-E15C-C6012BEBB286}"/>
            </a:ext>
          </a:extLst>
        </cdr:cNvPr>
        <cdr:cNvCxnSpPr/>
      </cdr:nvCxnSpPr>
      <cdr:spPr>
        <a:xfrm xmlns:a="http://schemas.openxmlformats.org/drawingml/2006/main">
          <a:off x="5316357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0.4697</cdr:x>
      <cdr:y>0.73605</cdr:y>
    </cdr:from>
    <cdr:to>
      <cdr:x>0.4697</cdr:x>
      <cdr:y>0.90303</cdr:y>
    </cdr:to>
    <cdr:cxnSp macro="">
      <cdr:nvCxnSpPr>
        <cdr:cNvPr id="18" name="Straight Connector 17">
          <a:extLst xmlns:a="http://schemas.openxmlformats.org/drawingml/2006/main">
            <a:ext uri="{FF2B5EF4-FFF2-40B4-BE49-F238E27FC236}">
              <a16:creationId xmlns:a16="http://schemas.microsoft.com/office/drawing/2014/main" id="{D4DBC51E-4FEF-C36D-23F0-C6A61FEBEB23}"/>
            </a:ext>
          </a:extLst>
        </cdr:cNvPr>
        <cdr:cNvCxnSpPr/>
      </cdr:nvCxnSpPr>
      <cdr:spPr>
        <a:xfrm xmlns:a="http://schemas.openxmlformats.org/drawingml/2006/main">
          <a:off x="5811336" y="2821469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0.54976</cdr:x>
      <cdr:y>0.73608</cdr:y>
    </cdr:from>
    <cdr:to>
      <cdr:x>0.54976</cdr:x>
      <cdr:y>0.90306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EABBCF7B-AA72-6DA8-3070-129DA586B5F4}"/>
            </a:ext>
          </a:extLst>
        </cdr:cNvPr>
        <cdr:cNvCxnSpPr/>
      </cdr:nvCxnSpPr>
      <cdr:spPr>
        <a:xfrm xmlns:a="http://schemas.openxmlformats.org/drawingml/2006/main">
          <a:off x="6801874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0.58951</cdr:x>
      <cdr:y>0.73614</cdr:y>
    </cdr:from>
    <cdr:to>
      <cdr:x>0.58951</cdr:x>
      <cdr:y>0.90312</cdr:y>
    </cdr:to>
    <cdr:cxnSp macro="">
      <cdr:nvCxnSpPr>
        <cdr:cNvPr id="20" name="Straight Connector 19">
          <a:extLst xmlns:a="http://schemas.openxmlformats.org/drawingml/2006/main">
            <a:ext uri="{FF2B5EF4-FFF2-40B4-BE49-F238E27FC236}">
              <a16:creationId xmlns:a16="http://schemas.microsoft.com/office/drawing/2014/main" id="{D82DA827-DC0B-F14B-8F38-09E7D0F22063}"/>
            </a:ext>
          </a:extLst>
        </cdr:cNvPr>
        <cdr:cNvCxnSpPr/>
      </cdr:nvCxnSpPr>
      <cdr:spPr>
        <a:xfrm xmlns:a="http://schemas.openxmlformats.org/drawingml/2006/main">
          <a:off x="7293681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0.62952</cdr:x>
      <cdr:y>0.73605</cdr:y>
    </cdr:from>
    <cdr:to>
      <cdr:x>0.62952</cdr:x>
      <cdr:y>0.90303</cdr:y>
    </cdr:to>
    <cdr:cxnSp macro="">
      <cdr:nvCxnSpPr>
        <cdr:cNvPr id="21" name="Straight Connector 20">
          <a:extLst xmlns:a="http://schemas.openxmlformats.org/drawingml/2006/main">
            <a:ext uri="{FF2B5EF4-FFF2-40B4-BE49-F238E27FC236}">
              <a16:creationId xmlns:a16="http://schemas.microsoft.com/office/drawing/2014/main" id="{65409324-838F-7F1B-9E00-ACF83D56712A}"/>
            </a:ext>
          </a:extLst>
        </cdr:cNvPr>
        <cdr:cNvCxnSpPr/>
      </cdr:nvCxnSpPr>
      <cdr:spPr>
        <a:xfrm xmlns:a="http://schemas.openxmlformats.org/drawingml/2006/main">
          <a:off x="7788660" y="2821469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0.70932</cdr:x>
      <cdr:y>0.73608</cdr:y>
    </cdr:from>
    <cdr:to>
      <cdr:x>0.70932</cdr:x>
      <cdr:y>0.90306</cdr:y>
    </cdr:to>
    <cdr:cxnSp macro="">
      <cdr:nvCxnSpPr>
        <cdr:cNvPr id="22" name="Straight Connector 21">
          <a:extLst xmlns:a="http://schemas.openxmlformats.org/drawingml/2006/main">
            <a:ext uri="{FF2B5EF4-FFF2-40B4-BE49-F238E27FC236}">
              <a16:creationId xmlns:a16="http://schemas.microsoft.com/office/drawing/2014/main" id="{B58208A4-0CA4-8438-878A-5A5EC12FF121}"/>
            </a:ext>
          </a:extLst>
        </cdr:cNvPr>
        <cdr:cNvCxnSpPr/>
      </cdr:nvCxnSpPr>
      <cdr:spPr>
        <a:xfrm xmlns:a="http://schemas.openxmlformats.org/drawingml/2006/main">
          <a:off x="8776024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0.74907</cdr:x>
      <cdr:y>0.73614</cdr:y>
    </cdr:from>
    <cdr:to>
      <cdr:x>0.74907</cdr:x>
      <cdr:y>0.90312</cdr:y>
    </cdr:to>
    <cdr:cxnSp macro="">
      <cdr:nvCxnSpPr>
        <cdr:cNvPr id="23" name="Straight Connector 22">
          <a:extLst xmlns:a="http://schemas.openxmlformats.org/drawingml/2006/main">
            <a:ext uri="{FF2B5EF4-FFF2-40B4-BE49-F238E27FC236}">
              <a16:creationId xmlns:a16="http://schemas.microsoft.com/office/drawing/2014/main" id="{C99015B1-DFAD-6A68-7B32-20E706700E86}"/>
            </a:ext>
          </a:extLst>
        </cdr:cNvPr>
        <cdr:cNvCxnSpPr/>
      </cdr:nvCxnSpPr>
      <cdr:spPr>
        <a:xfrm xmlns:a="http://schemas.openxmlformats.org/drawingml/2006/main">
          <a:off x="9267830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0.78908</cdr:x>
      <cdr:y>0.73605</cdr:y>
    </cdr:from>
    <cdr:to>
      <cdr:x>0.78908</cdr:x>
      <cdr:y>0.90303</cdr:y>
    </cdr:to>
    <cdr:cxnSp macro="">
      <cdr:nvCxnSpPr>
        <cdr:cNvPr id="24" name="Straight Connector 23">
          <a:extLst xmlns:a="http://schemas.openxmlformats.org/drawingml/2006/main">
            <a:ext uri="{FF2B5EF4-FFF2-40B4-BE49-F238E27FC236}">
              <a16:creationId xmlns:a16="http://schemas.microsoft.com/office/drawing/2014/main" id="{66F27687-1526-F11A-9555-BC104EADD32E}"/>
            </a:ext>
          </a:extLst>
        </cdr:cNvPr>
        <cdr:cNvCxnSpPr/>
      </cdr:nvCxnSpPr>
      <cdr:spPr>
        <a:xfrm xmlns:a="http://schemas.openxmlformats.org/drawingml/2006/main">
          <a:off x="9762810" y="2821469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0.86914</cdr:x>
      <cdr:y>0.73608</cdr:y>
    </cdr:from>
    <cdr:to>
      <cdr:x>0.86914</cdr:x>
      <cdr:y>0.90306</cdr:y>
    </cdr:to>
    <cdr:cxnSp macro="">
      <cdr:nvCxnSpPr>
        <cdr:cNvPr id="25" name="Straight Connector 24">
          <a:extLst xmlns:a="http://schemas.openxmlformats.org/drawingml/2006/main">
            <a:ext uri="{FF2B5EF4-FFF2-40B4-BE49-F238E27FC236}">
              <a16:creationId xmlns:a16="http://schemas.microsoft.com/office/drawing/2014/main" id="{AFEA536C-2856-5E30-73DD-F9518B57FF9E}"/>
            </a:ext>
          </a:extLst>
        </cdr:cNvPr>
        <cdr:cNvCxnSpPr/>
      </cdr:nvCxnSpPr>
      <cdr:spPr>
        <a:xfrm xmlns:a="http://schemas.openxmlformats.org/drawingml/2006/main">
          <a:off x="10753347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0.90889</cdr:x>
      <cdr:y>0.73614</cdr:y>
    </cdr:from>
    <cdr:to>
      <cdr:x>0.90889</cdr:x>
      <cdr:y>0.90312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17CB5150-F05D-E02A-E34E-F1BA7FC47DE1}"/>
            </a:ext>
          </a:extLst>
        </cdr:cNvPr>
        <cdr:cNvCxnSpPr/>
      </cdr:nvCxnSpPr>
      <cdr:spPr>
        <a:xfrm xmlns:a="http://schemas.openxmlformats.org/drawingml/2006/main">
          <a:off x="11245154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0.9489</cdr:x>
      <cdr:y>0.73605</cdr:y>
    </cdr:from>
    <cdr:to>
      <cdr:x>0.9489</cdr:x>
      <cdr:y>0.90303</cdr:y>
    </cdr:to>
    <cdr:cxnSp macro="">
      <cdr:nvCxnSpPr>
        <cdr:cNvPr id="27" name="Straight Connector 26">
          <a:extLst xmlns:a="http://schemas.openxmlformats.org/drawingml/2006/main">
            <a:ext uri="{FF2B5EF4-FFF2-40B4-BE49-F238E27FC236}">
              <a16:creationId xmlns:a16="http://schemas.microsoft.com/office/drawing/2014/main" id="{C330757D-E661-0FC5-4929-4AC26C48619D}"/>
            </a:ext>
          </a:extLst>
        </cdr:cNvPr>
        <cdr:cNvCxnSpPr/>
      </cdr:nvCxnSpPr>
      <cdr:spPr>
        <a:xfrm xmlns:a="http://schemas.openxmlformats.org/drawingml/2006/main">
          <a:off x="11740133" y="2821469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0.1901</cdr:x>
      <cdr:y>0.04081</cdr:y>
    </cdr:from>
    <cdr:to>
      <cdr:x>0.19014</cdr:x>
      <cdr:y>0.73455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29B3364-8B22-EEBC-F91A-F58508B4CA0C}"/>
            </a:ext>
          </a:extLst>
        </cdr:cNvPr>
        <cdr:cNvCxnSpPr/>
      </cdr:nvCxnSpPr>
      <cdr:spPr>
        <a:xfrm xmlns:a="http://schemas.openxmlformats.org/drawingml/2006/main">
          <a:off x="2352844" y="157282"/>
          <a:ext cx="467" cy="267354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0.34979</cdr:x>
      <cdr:y>0.04129</cdr:y>
    </cdr:from>
    <cdr:to>
      <cdr:x>0.34983</cdr:x>
      <cdr:y>0.73503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B65240C1-6918-F1BA-6C6A-A59D7D482E42}"/>
            </a:ext>
          </a:extLst>
        </cdr:cNvPr>
        <cdr:cNvCxnSpPr/>
      </cdr:nvCxnSpPr>
      <cdr:spPr>
        <a:xfrm xmlns:a="http://schemas.openxmlformats.org/drawingml/2006/main">
          <a:off x="4336374" y="158886"/>
          <a:ext cx="468" cy="266961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0.50978</cdr:x>
      <cdr:y>0.04269</cdr:y>
    </cdr:from>
    <cdr:to>
      <cdr:x>0.50982</cdr:x>
      <cdr:y>0.73643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B65240C1-6918-F1BA-6C6A-A59D7D482E42}"/>
            </a:ext>
          </a:extLst>
        </cdr:cNvPr>
        <cdr:cNvCxnSpPr/>
      </cdr:nvCxnSpPr>
      <cdr:spPr>
        <a:xfrm xmlns:a="http://schemas.openxmlformats.org/drawingml/2006/main">
          <a:off x="6319736" y="164290"/>
          <a:ext cx="468" cy="266961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0.66889</cdr:x>
      <cdr:y>0.04129</cdr:y>
    </cdr:from>
    <cdr:to>
      <cdr:x>0.66893</cdr:x>
      <cdr:y>0.73503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B65240C1-6918-F1BA-6C6A-A59D7D482E42}"/>
            </a:ext>
          </a:extLst>
        </cdr:cNvPr>
        <cdr:cNvCxnSpPr/>
      </cdr:nvCxnSpPr>
      <cdr:spPr>
        <a:xfrm xmlns:a="http://schemas.openxmlformats.org/drawingml/2006/main">
          <a:off x="8292289" y="158885"/>
          <a:ext cx="468" cy="266961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0.82888</cdr:x>
      <cdr:y>0.04129</cdr:y>
    </cdr:from>
    <cdr:to>
      <cdr:x>0.82892</cdr:x>
      <cdr:y>0.73503</cdr:y>
    </cdr:to>
    <cdr:cxnSp macro="">
      <cdr:nvCxnSpPr>
        <cdr:cNvPr id="28" name="Straight Connector 27">
          <a:extLst xmlns:a="http://schemas.openxmlformats.org/drawingml/2006/main">
            <a:ext uri="{FF2B5EF4-FFF2-40B4-BE49-F238E27FC236}">
              <a16:creationId xmlns:a16="http://schemas.microsoft.com/office/drawing/2014/main" id="{B65240C1-6918-F1BA-6C6A-A59D7D482E42}"/>
            </a:ext>
          </a:extLst>
        </cdr:cNvPr>
        <cdr:cNvCxnSpPr/>
      </cdr:nvCxnSpPr>
      <cdr:spPr>
        <a:xfrm xmlns:a="http://schemas.openxmlformats.org/drawingml/2006/main">
          <a:off x="10275651" y="158885"/>
          <a:ext cx="468" cy="266961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0.07051</cdr:x>
      <cdr:y>0.78449</cdr:y>
    </cdr:from>
    <cdr:to>
      <cdr:x>0.07051</cdr:x>
      <cdr:y>0.90294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58C47C1-DE02-B326-1AD6-4F088BF94105}"/>
            </a:ext>
          </a:extLst>
        </cdr:cNvPr>
        <cdr:cNvCxnSpPr/>
      </cdr:nvCxnSpPr>
      <cdr:spPr>
        <a:xfrm xmlns:a="http://schemas.openxmlformats.org/drawingml/2006/main">
          <a:off x="873125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0.11051</cdr:x>
      <cdr:y>0.78367</cdr:y>
    </cdr:from>
    <cdr:to>
      <cdr:x>0.11051</cdr:x>
      <cdr:y>0.90212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6D28D3DC-072B-D986-DC74-010F038D3623}"/>
            </a:ext>
          </a:extLst>
        </cdr:cNvPr>
        <cdr:cNvCxnSpPr/>
      </cdr:nvCxnSpPr>
      <cdr:spPr>
        <a:xfrm xmlns:a="http://schemas.openxmlformats.org/drawingml/2006/main">
          <a:off x="1368425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0.15026</cdr:x>
      <cdr:y>0.78449</cdr:y>
    </cdr:from>
    <cdr:to>
      <cdr:x>0.15026</cdr:x>
      <cdr:y>0.90294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BDC34165-645A-773A-D6F1-6D3127239B5F}"/>
            </a:ext>
          </a:extLst>
        </cdr:cNvPr>
        <cdr:cNvCxnSpPr/>
      </cdr:nvCxnSpPr>
      <cdr:spPr>
        <a:xfrm xmlns:a="http://schemas.openxmlformats.org/drawingml/2006/main">
          <a:off x="1860550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</cdr:x>
      <cdr:y>0.78449</cdr:y>
    </cdr:from>
    <cdr:to>
      <cdr:x>0.39</cdr:x>
      <cdr:y>0.90294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30265320-07C3-826C-86A2-59F94803412B}"/>
            </a:ext>
          </a:extLst>
        </cdr:cNvPr>
        <cdr:cNvCxnSpPr/>
      </cdr:nvCxnSpPr>
      <cdr:spPr>
        <a:xfrm xmlns:a="http://schemas.openxmlformats.org/drawingml/2006/main">
          <a:off x="4829175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</cdr:x>
      <cdr:y>0.78367</cdr:y>
    </cdr:from>
    <cdr:to>
      <cdr:x>0.43</cdr:x>
      <cdr:y>0.90212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2C878906-E813-5BD4-601A-A80A006A8D5B}"/>
            </a:ext>
          </a:extLst>
        </cdr:cNvPr>
        <cdr:cNvCxnSpPr/>
      </cdr:nvCxnSpPr>
      <cdr:spPr>
        <a:xfrm xmlns:a="http://schemas.openxmlformats.org/drawingml/2006/main">
          <a:off x="5324475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0.46974</cdr:x>
      <cdr:y>0.78449</cdr:y>
    </cdr:from>
    <cdr:to>
      <cdr:x>0.46974</cdr:x>
      <cdr:y>0.90294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779EF0A0-8277-0F22-235E-D444BB6F37B2}"/>
            </a:ext>
          </a:extLst>
        </cdr:cNvPr>
        <cdr:cNvCxnSpPr/>
      </cdr:nvCxnSpPr>
      <cdr:spPr>
        <a:xfrm xmlns:a="http://schemas.openxmlformats.org/drawingml/2006/main">
          <a:off x="5816600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0.23026</cdr:x>
      <cdr:y>0.78449</cdr:y>
    </cdr:from>
    <cdr:to>
      <cdr:x>0.23026</cdr:x>
      <cdr:y>0.90294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30265320-07C3-826C-86A2-59F94803412B}"/>
            </a:ext>
          </a:extLst>
        </cdr:cNvPr>
        <cdr:cNvCxnSpPr/>
      </cdr:nvCxnSpPr>
      <cdr:spPr>
        <a:xfrm xmlns:a="http://schemas.openxmlformats.org/drawingml/2006/main">
          <a:off x="2851150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0.27026</cdr:x>
      <cdr:y>0.78367</cdr:y>
    </cdr:from>
    <cdr:to>
      <cdr:x>0.27026</cdr:x>
      <cdr:y>0.90212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2C878906-E813-5BD4-601A-A80A006A8D5B}"/>
            </a:ext>
          </a:extLst>
        </cdr:cNvPr>
        <cdr:cNvCxnSpPr/>
      </cdr:nvCxnSpPr>
      <cdr:spPr>
        <a:xfrm xmlns:a="http://schemas.openxmlformats.org/drawingml/2006/main">
          <a:off x="3346450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</cdr:x>
      <cdr:y>0.78449</cdr:y>
    </cdr:from>
    <cdr:to>
      <cdr:x>0.31</cdr:x>
      <cdr:y>0.90294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779EF0A0-8277-0F22-235E-D444BB6F37B2}"/>
            </a:ext>
          </a:extLst>
        </cdr:cNvPr>
        <cdr:cNvCxnSpPr/>
      </cdr:nvCxnSpPr>
      <cdr:spPr>
        <a:xfrm xmlns:a="http://schemas.openxmlformats.org/drawingml/2006/main">
          <a:off x="3838575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0.54974</cdr:x>
      <cdr:y>0.78449</cdr:y>
    </cdr:from>
    <cdr:to>
      <cdr:x>0.54974</cdr:x>
      <cdr:y>0.90294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ED48A21D-8630-8106-780B-460423ED98F5}"/>
            </a:ext>
          </a:extLst>
        </cdr:cNvPr>
        <cdr:cNvCxnSpPr/>
      </cdr:nvCxnSpPr>
      <cdr:spPr>
        <a:xfrm xmlns:a="http://schemas.openxmlformats.org/drawingml/2006/main">
          <a:off x="6807200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0.58974</cdr:x>
      <cdr:y>0.78367</cdr:y>
    </cdr:from>
    <cdr:to>
      <cdr:x>0.58974</cdr:x>
      <cdr:y>0.90212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1A8C837D-16D9-772F-86A5-BC446ECCDD44}"/>
            </a:ext>
          </a:extLst>
        </cdr:cNvPr>
        <cdr:cNvCxnSpPr/>
      </cdr:nvCxnSpPr>
      <cdr:spPr>
        <a:xfrm xmlns:a="http://schemas.openxmlformats.org/drawingml/2006/main">
          <a:off x="7302500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0.62949</cdr:x>
      <cdr:y>0.78449</cdr:y>
    </cdr:from>
    <cdr:to>
      <cdr:x>0.62949</cdr:x>
      <cdr:y>0.90294</cdr:y>
    </cdr:to>
    <cdr:cxnSp macro="">
      <cdr:nvCxnSpPr>
        <cdr:cNvPr id="17" name="Straight Connector 16">
          <a:extLst xmlns:a="http://schemas.openxmlformats.org/drawingml/2006/main">
            <a:ext uri="{FF2B5EF4-FFF2-40B4-BE49-F238E27FC236}">
              <a16:creationId xmlns:a16="http://schemas.microsoft.com/office/drawing/2014/main" id="{E663D19D-7E98-5187-FD89-76E2B82E5761}"/>
            </a:ext>
          </a:extLst>
        </cdr:cNvPr>
        <cdr:cNvCxnSpPr/>
      </cdr:nvCxnSpPr>
      <cdr:spPr>
        <a:xfrm xmlns:a="http://schemas.openxmlformats.org/drawingml/2006/main">
          <a:off x="7794625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0.70923</cdr:x>
      <cdr:y>0.78367</cdr:y>
    </cdr:from>
    <cdr:to>
      <cdr:x>0.70923</cdr:x>
      <cdr:y>0.90212</cdr:y>
    </cdr:to>
    <cdr:cxnSp macro="">
      <cdr:nvCxnSpPr>
        <cdr:cNvPr id="18" name="Straight Connector 17">
          <a:extLst xmlns:a="http://schemas.openxmlformats.org/drawingml/2006/main">
            <a:ext uri="{FF2B5EF4-FFF2-40B4-BE49-F238E27FC236}">
              <a16:creationId xmlns:a16="http://schemas.microsoft.com/office/drawing/2014/main" id="{EB0ED881-B3BC-BD47-45D3-1486A53CCC02}"/>
            </a:ext>
          </a:extLst>
        </cdr:cNvPr>
        <cdr:cNvCxnSpPr/>
      </cdr:nvCxnSpPr>
      <cdr:spPr>
        <a:xfrm xmlns:a="http://schemas.openxmlformats.org/drawingml/2006/main">
          <a:off x="8782050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0.74923</cdr:x>
      <cdr:y>0.78285</cdr:y>
    </cdr:from>
    <cdr:to>
      <cdr:x>0.74923</cdr:x>
      <cdr:y>0.90129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01D961FB-81AC-B862-48E4-D68783829C9E}"/>
            </a:ext>
          </a:extLst>
        </cdr:cNvPr>
        <cdr:cNvCxnSpPr/>
      </cdr:nvCxnSpPr>
      <cdr:spPr>
        <a:xfrm xmlns:a="http://schemas.openxmlformats.org/drawingml/2006/main">
          <a:off x="9277350" y="302177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0.78897</cdr:x>
      <cdr:y>0.78367</cdr:y>
    </cdr:from>
    <cdr:to>
      <cdr:x>0.78897</cdr:x>
      <cdr:y>0.90212</cdr:y>
    </cdr:to>
    <cdr:cxnSp macro="">
      <cdr:nvCxnSpPr>
        <cdr:cNvPr id="20" name="Straight Connector 19">
          <a:extLst xmlns:a="http://schemas.openxmlformats.org/drawingml/2006/main">
            <a:ext uri="{FF2B5EF4-FFF2-40B4-BE49-F238E27FC236}">
              <a16:creationId xmlns:a16="http://schemas.microsoft.com/office/drawing/2014/main" id="{25E79407-D987-2A91-4D40-21BEBC21BEAC}"/>
            </a:ext>
          </a:extLst>
        </cdr:cNvPr>
        <cdr:cNvCxnSpPr/>
      </cdr:nvCxnSpPr>
      <cdr:spPr>
        <a:xfrm xmlns:a="http://schemas.openxmlformats.org/drawingml/2006/main">
          <a:off x="9769475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0.86897</cdr:x>
      <cdr:y>0.78367</cdr:y>
    </cdr:from>
    <cdr:to>
      <cdr:x>0.86897</cdr:x>
      <cdr:y>0.90212</cdr:y>
    </cdr:to>
    <cdr:cxnSp macro="">
      <cdr:nvCxnSpPr>
        <cdr:cNvPr id="21" name="Straight Connector 20">
          <a:extLst xmlns:a="http://schemas.openxmlformats.org/drawingml/2006/main">
            <a:ext uri="{FF2B5EF4-FFF2-40B4-BE49-F238E27FC236}">
              <a16:creationId xmlns:a16="http://schemas.microsoft.com/office/drawing/2014/main" id="{122E6FE2-7A6E-F8CA-52DA-9B4A2EBC6957}"/>
            </a:ext>
          </a:extLst>
        </cdr:cNvPr>
        <cdr:cNvCxnSpPr/>
      </cdr:nvCxnSpPr>
      <cdr:spPr>
        <a:xfrm xmlns:a="http://schemas.openxmlformats.org/drawingml/2006/main">
          <a:off x="10760075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0.90897</cdr:x>
      <cdr:y>0.78285</cdr:y>
    </cdr:from>
    <cdr:to>
      <cdr:x>0.90897</cdr:x>
      <cdr:y>0.90129</cdr:y>
    </cdr:to>
    <cdr:cxnSp macro="">
      <cdr:nvCxnSpPr>
        <cdr:cNvPr id="22" name="Straight Connector 21">
          <a:extLst xmlns:a="http://schemas.openxmlformats.org/drawingml/2006/main">
            <a:ext uri="{FF2B5EF4-FFF2-40B4-BE49-F238E27FC236}">
              <a16:creationId xmlns:a16="http://schemas.microsoft.com/office/drawing/2014/main" id="{CF76CAAF-11D7-ACE1-FE47-DA484C605BF0}"/>
            </a:ext>
          </a:extLst>
        </cdr:cNvPr>
        <cdr:cNvCxnSpPr/>
      </cdr:nvCxnSpPr>
      <cdr:spPr>
        <a:xfrm xmlns:a="http://schemas.openxmlformats.org/drawingml/2006/main">
          <a:off x="11255375" y="302177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0.94872</cdr:x>
      <cdr:y>0.78367</cdr:y>
    </cdr:from>
    <cdr:to>
      <cdr:x>0.94872</cdr:x>
      <cdr:y>0.90212</cdr:y>
    </cdr:to>
    <cdr:cxnSp macro="">
      <cdr:nvCxnSpPr>
        <cdr:cNvPr id="23" name="Straight Connector 22">
          <a:extLst xmlns:a="http://schemas.openxmlformats.org/drawingml/2006/main">
            <a:ext uri="{FF2B5EF4-FFF2-40B4-BE49-F238E27FC236}">
              <a16:creationId xmlns:a16="http://schemas.microsoft.com/office/drawing/2014/main" id="{51EB01BF-50A4-39A4-AB58-AA9FF400A0D7}"/>
            </a:ext>
          </a:extLst>
        </cdr:cNvPr>
        <cdr:cNvCxnSpPr/>
      </cdr:nvCxnSpPr>
      <cdr:spPr>
        <a:xfrm xmlns:a="http://schemas.openxmlformats.org/drawingml/2006/main">
          <a:off x="11747500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0.19032</cdr:x>
      <cdr:y>0.04031</cdr:y>
    </cdr:from>
    <cdr:to>
      <cdr:x>0.19058</cdr:x>
      <cdr:y>0.78654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20361C72-CD11-2843-A400-9EF52BA3ACC4}"/>
            </a:ext>
          </a:extLst>
        </cdr:cNvPr>
        <cdr:cNvCxnSpPr/>
      </cdr:nvCxnSpPr>
      <cdr:spPr>
        <a:xfrm xmlns:a="http://schemas.openxmlformats.org/drawingml/2006/main">
          <a:off x="2357795" y="155061"/>
          <a:ext cx="3189" cy="2870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0.5097</cdr:x>
      <cdr:y>0.04139</cdr:y>
    </cdr:from>
    <cdr:to>
      <cdr:x>0.50996</cdr:x>
      <cdr:y>0.78762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12DA7250-6BB4-EC4C-2FFE-FC7CFA91BFB7}"/>
            </a:ext>
          </a:extLst>
        </cdr:cNvPr>
        <cdr:cNvCxnSpPr/>
      </cdr:nvCxnSpPr>
      <cdr:spPr>
        <a:xfrm xmlns:a="http://schemas.openxmlformats.org/drawingml/2006/main">
          <a:off x="6314539" y="159213"/>
          <a:ext cx="3190" cy="2870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0.34992</cdr:x>
      <cdr:y>0.04112</cdr:y>
    </cdr:from>
    <cdr:to>
      <cdr:x>0.35017</cdr:x>
      <cdr:y>0.78735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12DA7250-6BB4-EC4C-2FFE-FC7CFA91BFB7}"/>
            </a:ext>
          </a:extLst>
        </cdr:cNvPr>
        <cdr:cNvCxnSpPr/>
      </cdr:nvCxnSpPr>
      <cdr:spPr>
        <a:xfrm xmlns:a="http://schemas.openxmlformats.org/drawingml/2006/main">
          <a:off x="4335019" y="158172"/>
          <a:ext cx="3190" cy="2870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0.66919</cdr:x>
      <cdr:y>0.04031</cdr:y>
    </cdr:from>
    <cdr:to>
      <cdr:x>0.66944</cdr:x>
      <cdr:y>0.78654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12DA7250-6BB4-EC4C-2FFE-FC7CFA91BFB7}"/>
            </a:ext>
          </a:extLst>
        </cdr:cNvPr>
        <cdr:cNvCxnSpPr/>
      </cdr:nvCxnSpPr>
      <cdr:spPr>
        <a:xfrm xmlns:a="http://schemas.openxmlformats.org/drawingml/2006/main">
          <a:off x="8290354" y="155062"/>
          <a:ext cx="3190" cy="2870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0.82912</cdr:x>
      <cdr:y>0.04073</cdr:y>
    </cdr:from>
    <cdr:to>
      <cdr:x>0.82938</cdr:x>
      <cdr:y>0.78696</cdr:y>
    </cdr:to>
    <cdr:cxnSp macro="">
      <cdr:nvCxnSpPr>
        <cdr:cNvPr id="24" name="Straight Connector 23">
          <a:extLst xmlns:a="http://schemas.openxmlformats.org/drawingml/2006/main">
            <a:ext uri="{FF2B5EF4-FFF2-40B4-BE49-F238E27FC236}">
              <a16:creationId xmlns:a16="http://schemas.microsoft.com/office/drawing/2014/main" id="{12DA7250-6BB4-EC4C-2FFE-FC7CFA91BFB7}"/>
            </a:ext>
          </a:extLst>
        </cdr:cNvPr>
        <cdr:cNvCxnSpPr/>
      </cdr:nvCxnSpPr>
      <cdr:spPr>
        <a:xfrm xmlns:a="http://schemas.openxmlformats.org/drawingml/2006/main">
          <a:off x="10271728" y="156681"/>
          <a:ext cx="3189" cy="2870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0423-83E1-4255-B068-2449624F1A01}">
  <dimension ref="A1:AU119"/>
  <sheetViews>
    <sheetView tabSelected="1"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9"/>
      <c r="B1" s="171" t="s">
        <v>95</v>
      </c>
      <c r="C1" s="163" t="s">
        <v>114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3" t="s">
        <v>115</v>
      </c>
      <c r="O1" s="164"/>
      <c r="P1" s="164"/>
      <c r="Q1" s="164"/>
      <c r="R1" s="164"/>
      <c r="S1" s="164"/>
      <c r="T1" s="164"/>
      <c r="U1" s="164"/>
      <c r="V1" s="164"/>
      <c r="W1" s="164"/>
      <c r="X1" s="165"/>
      <c r="Y1" s="163" t="s">
        <v>152</v>
      </c>
      <c r="Z1" s="164"/>
      <c r="AA1" s="164"/>
      <c r="AB1" s="164"/>
      <c r="AC1" s="164"/>
      <c r="AD1" s="164"/>
      <c r="AE1" s="164"/>
      <c r="AF1" s="164"/>
      <c r="AG1" s="164"/>
      <c r="AH1" s="164"/>
      <c r="AI1" s="165"/>
      <c r="AJ1" s="163" t="s">
        <v>153</v>
      </c>
      <c r="AK1" s="164"/>
      <c r="AL1" s="164"/>
      <c r="AM1" s="164"/>
      <c r="AN1" s="164"/>
      <c r="AO1" s="164"/>
      <c r="AP1" s="164"/>
      <c r="AQ1" s="164"/>
      <c r="AR1" s="164"/>
      <c r="AS1" s="164"/>
      <c r="AT1" s="165"/>
      <c r="AU1" s="66"/>
    </row>
    <row r="2" spans="1:47" s="5" customFormat="1" ht="21" thickBot="1" x14ac:dyDescent="0.25">
      <c r="A2" s="170"/>
      <c r="B2" s="172"/>
      <c r="C2" s="66" t="s">
        <v>154</v>
      </c>
      <c r="D2" s="166" t="s">
        <v>158</v>
      </c>
      <c r="E2" s="167"/>
      <c r="F2" s="167"/>
      <c r="G2" s="167"/>
      <c r="H2" s="167"/>
      <c r="I2" s="166" t="s">
        <v>159</v>
      </c>
      <c r="J2" s="167"/>
      <c r="K2" s="68" t="s">
        <v>157</v>
      </c>
      <c r="L2" s="77" t="s">
        <v>156</v>
      </c>
      <c r="M2" s="68" t="s">
        <v>155</v>
      </c>
      <c r="N2" s="66" t="s">
        <v>154</v>
      </c>
      <c r="O2" s="166" t="s">
        <v>158</v>
      </c>
      <c r="P2" s="167"/>
      <c r="Q2" s="167"/>
      <c r="R2" s="167"/>
      <c r="S2" s="167"/>
      <c r="T2" s="166" t="s">
        <v>159</v>
      </c>
      <c r="U2" s="167"/>
      <c r="V2" s="68" t="s">
        <v>157</v>
      </c>
      <c r="W2" s="68" t="s">
        <v>156</v>
      </c>
      <c r="X2" s="68" t="s">
        <v>155</v>
      </c>
      <c r="Y2" s="66" t="s">
        <v>154</v>
      </c>
      <c r="Z2" s="166" t="s">
        <v>158</v>
      </c>
      <c r="AA2" s="167"/>
      <c r="AB2" s="167"/>
      <c r="AC2" s="167"/>
      <c r="AD2" s="167"/>
      <c r="AE2" s="166" t="s">
        <v>159</v>
      </c>
      <c r="AF2" s="167"/>
      <c r="AG2" s="68" t="s">
        <v>157</v>
      </c>
      <c r="AH2" s="68" t="s">
        <v>156</v>
      </c>
      <c r="AI2" s="68" t="s">
        <v>155</v>
      </c>
      <c r="AJ2" s="66" t="s">
        <v>154</v>
      </c>
      <c r="AK2" s="166" t="s">
        <v>158</v>
      </c>
      <c r="AL2" s="167"/>
      <c r="AM2" s="167"/>
      <c r="AN2" s="167"/>
      <c r="AO2" s="167"/>
      <c r="AP2" s="166" t="s">
        <v>159</v>
      </c>
      <c r="AQ2" s="167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3" t="s">
        <v>100</v>
      </c>
      <c r="B3" s="9" t="s">
        <v>0</v>
      </c>
      <c r="C3" s="14" t="s">
        <v>1345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4937</v>
      </c>
      <c r="L3" s="142">
        <v>4937</v>
      </c>
      <c r="M3" s="142">
        <v>4937</v>
      </c>
      <c r="N3" s="14" t="s">
        <v>1344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1969</v>
      </c>
      <c r="W3" s="142">
        <v>1969</v>
      </c>
      <c r="X3" s="142">
        <v>1969</v>
      </c>
      <c r="Y3" s="14" t="s">
        <v>1343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17420</v>
      </c>
      <c r="AH3" s="142">
        <v>1742</v>
      </c>
      <c r="AI3" s="142">
        <v>1711.5</v>
      </c>
      <c r="AJ3" s="14" t="s">
        <v>1342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17561</v>
      </c>
      <c r="AS3" s="142">
        <v>1756.1</v>
      </c>
      <c r="AT3" s="144">
        <v>1731</v>
      </c>
    </row>
    <row r="4" spans="1:47" x14ac:dyDescent="0.2">
      <c r="A4" s="174"/>
      <c r="B4" s="9" t="s">
        <v>1</v>
      </c>
      <c r="C4" s="14" t="s">
        <v>1341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1935</v>
      </c>
      <c r="L4" s="142">
        <v>1935</v>
      </c>
      <c r="M4" s="142">
        <v>1935</v>
      </c>
      <c r="N4" s="14" t="s">
        <v>1340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1894</v>
      </c>
      <c r="W4" s="142">
        <v>1894</v>
      </c>
      <c r="X4" s="142">
        <v>1894</v>
      </c>
      <c r="Y4" s="14" t="s">
        <v>1339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16969</v>
      </c>
      <c r="AH4" s="142">
        <v>1696.9</v>
      </c>
      <c r="AI4" s="142">
        <v>1684.5</v>
      </c>
      <c r="AJ4" s="14" t="s">
        <v>1338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17681</v>
      </c>
      <c r="AS4" s="142">
        <v>1768.1</v>
      </c>
      <c r="AT4" s="144">
        <v>1746</v>
      </c>
    </row>
    <row r="5" spans="1:47" x14ac:dyDescent="0.2">
      <c r="A5" s="174"/>
      <c r="B5" s="9" t="s">
        <v>2</v>
      </c>
      <c r="C5" s="14" t="s">
        <v>1337</v>
      </c>
      <c r="D5" s="142" t="s">
        <v>106</v>
      </c>
      <c r="E5" s="80">
        <v>0</v>
      </c>
      <c r="F5" s="1" t="s">
        <v>169</v>
      </c>
      <c r="G5" s="80">
        <v>1</v>
      </c>
      <c r="H5" s="1" t="s">
        <v>452</v>
      </c>
      <c r="I5" s="143">
        <v>1</v>
      </c>
      <c r="J5" s="1" t="s">
        <v>452</v>
      </c>
      <c r="K5" s="142">
        <v>65646</v>
      </c>
      <c r="L5" s="142">
        <v>65646</v>
      </c>
      <c r="M5" s="142">
        <v>65646</v>
      </c>
      <c r="N5" s="14" t="s">
        <v>1336</v>
      </c>
      <c r="O5" s="142" t="s">
        <v>106</v>
      </c>
      <c r="P5" s="80">
        <v>0</v>
      </c>
      <c r="Q5" s="1" t="s">
        <v>169</v>
      </c>
      <c r="R5" s="80">
        <v>1</v>
      </c>
      <c r="S5" s="1" t="s">
        <v>452</v>
      </c>
      <c r="T5" s="143">
        <v>1</v>
      </c>
      <c r="U5" s="1" t="s">
        <v>452</v>
      </c>
      <c r="V5" s="142">
        <v>50185</v>
      </c>
      <c r="W5" s="142">
        <v>50185</v>
      </c>
      <c r="X5" s="142">
        <v>50185</v>
      </c>
      <c r="Y5" s="14" t="s">
        <v>1335</v>
      </c>
      <c r="Z5" s="142" t="s">
        <v>106</v>
      </c>
      <c r="AA5" s="80">
        <v>1</v>
      </c>
      <c r="AB5" s="1" t="s">
        <v>516</v>
      </c>
      <c r="AC5" s="80">
        <v>1</v>
      </c>
      <c r="AD5" s="1" t="s">
        <v>516</v>
      </c>
      <c r="AE5" s="143">
        <v>1</v>
      </c>
      <c r="AF5" s="1" t="s">
        <v>529</v>
      </c>
      <c r="AG5" s="142">
        <v>17449</v>
      </c>
      <c r="AH5" s="142">
        <v>1744.9</v>
      </c>
      <c r="AI5" s="142">
        <v>1738.5</v>
      </c>
      <c r="AJ5" s="14" t="s">
        <v>1334</v>
      </c>
      <c r="AK5" s="142" t="s">
        <v>106</v>
      </c>
      <c r="AL5" s="80">
        <v>1</v>
      </c>
      <c r="AM5" s="1" t="s">
        <v>516</v>
      </c>
      <c r="AN5" s="80">
        <v>1</v>
      </c>
      <c r="AO5" s="1" t="s">
        <v>516</v>
      </c>
      <c r="AP5" s="143">
        <v>1</v>
      </c>
      <c r="AQ5" s="1" t="s">
        <v>529</v>
      </c>
      <c r="AR5" s="142">
        <v>17541</v>
      </c>
      <c r="AS5" s="142">
        <v>1754.1</v>
      </c>
      <c r="AT5" s="144">
        <v>1751.5</v>
      </c>
    </row>
    <row r="6" spans="1:47" x14ac:dyDescent="0.2">
      <c r="A6" s="174"/>
      <c r="B6" s="9" t="s">
        <v>3</v>
      </c>
      <c r="C6" s="14" t="s">
        <v>1333</v>
      </c>
      <c r="D6" s="142" t="s">
        <v>106</v>
      </c>
      <c r="E6" s="80">
        <v>0</v>
      </c>
      <c r="F6" s="1" t="s">
        <v>163</v>
      </c>
      <c r="G6" s="1" t="s">
        <v>164</v>
      </c>
      <c r="H6" s="1" t="s">
        <v>164</v>
      </c>
      <c r="I6" s="143">
        <v>0</v>
      </c>
      <c r="J6" s="1" t="s">
        <v>163</v>
      </c>
      <c r="K6" s="142">
        <v>0</v>
      </c>
      <c r="L6" s="142">
        <v>0</v>
      </c>
      <c r="M6" s="142">
        <v>0</v>
      </c>
      <c r="N6" s="14" t="s">
        <v>1332</v>
      </c>
      <c r="O6" s="142" t="s">
        <v>106</v>
      </c>
      <c r="P6" s="80">
        <v>0</v>
      </c>
      <c r="Q6" s="1" t="s">
        <v>163</v>
      </c>
      <c r="R6" s="1" t="s">
        <v>164</v>
      </c>
      <c r="S6" s="1" t="s">
        <v>164</v>
      </c>
      <c r="T6" s="143">
        <v>0</v>
      </c>
      <c r="U6" s="1" t="s">
        <v>163</v>
      </c>
      <c r="V6" s="142">
        <v>0</v>
      </c>
      <c r="W6" s="142">
        <v>0</v>
      </c>
      <c r="X6" s="142">
        <v>0</v>
      </c>
      <c r="Y6" s="14" t="s">
        <v>1331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17159</v>
      </c>
      <c r="AH6" s="142">
        <v>1715.9</v>
      </c>
      <c r="AI6" s="142">
        <v>1709</v>
      </c>
      <c r="AJ6" s="14" t="s">
        <v>1330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17656</v>
      </c>
      <c r="AS6" s="142">
        <v>1765.6</v>
      </c>
      <c r="AT6" s="144">
        <v>1762</v>
      </c>
    </row>
    <row r="7" spans="1:47" x14ac:dyDescent="0.2">
      <c r="A7" s="174"/>
      <c r="B7" s="9" t="s">
        <v>4</v>
      </c>
      <c r="C7" s="14" t="s">
        <v>1329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1328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1327</v>
      </c>
      <c r="Z7" s="142" t="s">
        <v>106</v>
      </c>
      <c r="AA7" s="80">
        <v>0.8</v>
      </c>
      <c r="AB7" s="1" t="s">
        <v>506</v>
      </c>
      <c r="AC7" s="80">
        <v>1</v>
      </c>
      <c r="AD7" s="1" t="s">
        <v>516</v>
      </c>
      <c r="AE7" s="143">
        <v>0.9</v>
      </c>
      <c r="AF7" s="1" t="s">
        <v>951</v>
      </c>
      <c r="AG7" s="142">
        <v>224920</v>
      </c>
      <c r="AH7" s="142">
        <v>24991.11</v>
      </c>
      <c r="AI7" s="142">
        <v>1787</v>
      </c>
      <c r="AJ7" s="14" t="s">
        <v>1326</v>
      </c>
      <c r="AK7" s="142" t="s">
        <v>106</v>
      </c>
      <c r="AL7" s="80">
        <v>0.6</v>
      </c>
      <c r="AM7" s="1" t="s">
        <v>963</v>
      </c>
      <c r="AN7" s="80">
        <v>1</v>
      </c>
      <c r="AO7" s="1" t="s">
        <v>1325</v>
      </c>
      <c r="AP7" s="143">
        <v>0.75</v>
      </c>
      <c r="AQ7" s="1" t="s">
        <v>1261</v>
      </c>
      <c r="AR7" s="142">
        <v>27589</v>
      </c>
      <c r="AS7" s="142">
        <v>1839.27</v>
      </c>
      <c r="AT7" s="144">
        <v>1788</v>
      </c>
    </row>
    <row r="8" spans="1:47" x14ac:dyDescent="0.2">
      <c r="A8" s="174"/>
      <c r="B8" s="9" t="s">
        <v>5</v>
      </c>
      <c r="C8" s="14" t="s">
        <v>1324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1323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1322</v>
      </c>
      <c r="Z8" s="142" t="s">
        <v>106</v>
      </c>
      <c r="AA8" s="80">
        <v>0.8</v>
      </c>
      <c r="AB8" s="1" t="s">
        <v>1077</v>
      </c>
      <c r="AC8" s="1" t="s">
        <v>164</v>
      </c>
      <c r="AD8" s="1" t="s">
        <v>164</v>
      </c>
      <c r="AE8" s="143">
        <v>0.8</v>
      </c>
      <c r="AF8" s="1" t="s">
        <v>1077</v>
      </c>
      <c r="AG8" s="142">
        <v>15516</v>
      </c>
      <c r="AH8" s="142">
        <v>1939.5</v>
      </c>
      <c r="AI8" s="142">
        <v>1883</v>
      </c>
      <c r="AJ8" s="14" t="s">
        <v>1321</v>
      </c>
      <c r="AK8" s="142" t="s">
        <v>106</v>
      </c>
      <c r="AL8" s="80">
        <v>0.8</v>
      </c>
      <c r="AM8" s="1" t="s">
        <v>1320</v>
      </c>
      <c r="AN8" s="1" t="s">
        <v>164</v>
      </c>
      <c r="AO8" s="1" t="s">
        <v>164</v>
      </c>
      <c r="AP8" s="143">
        <v>0.8</v>
      </c>
      <c r="AQ8" s="1" t="s">
        <v>1320</v>
      </c>
      <c r="AR8" s="142">
        <v>33392</v>
      </c>
      <c r="AS8" s="142">
        <v>2087</v>
      </c>
      <c r="AT8" s="144">
        <v>1881</v>
      </c>
    </row>
    <row r="9" spans="1:47" x14ac:dyDescent="0.2">
      <c r="A9" s="174"/>
      <c r="B9" s="9" t="s">
        <v>6</v>
      </c>
      <c r="C9" s="14" t="s">
        <v>1319</v>
      </c>
      <c r="D9" s="142" t="s">
        <v>106</v>
      </c>
      <c r="E9" s="80">
        <v>0</v>
      </c>
      <c r="F9" s="1" t="s">
        <v>169</v>
      </c>
      <c r="G9" s="80">
        <v>1</v>
      </c>
      <c r="H9" s="1" t="s">
        <v>452</v>
      </c>
      <c r="I9" s="143">
        <v>1</v>
      </c>
      <c r="J9" s="1" t="s">
        <v>452</v>
      </c>
      <c r="K9" s="142">
        <v>50487</v>
      </c>
      <c r="L9" s="142">
        <v>50487</v>
      </c>
      <c r="M9" s="142">
        <v>50487</v>
      </c>
      <c r="N9" s="14" t="s">
        <v>1318</v>
      </c>
      <c r="O9" s="142" t="s">
        <v>106</v>
      </c>
      <c r="P9" s="80">
        <v>0</v>
      </c>
      <c r="Q9" s="1" t="s">
        <v>169</v>
      </c>
      <c r="R9" s="80">
        <v>0</v>
      </c>
      <c r="S9" s="1" t="s">
        <v>939</v>
      </c>
      <c r="T9" s="143">
        <v>0</v>
      </c>
      <c r="U9" s="1" t="s">
        <v>939</v>
      </c>
      <c r="V9" s="142">
        <v>0</v>
      </c>
      <c r="W9" s="142">
        <v>0</v>
      </c>
      <c r="X9" s="142">
        <v>0</v>
      </c>
      <c r="Y9" s="14" t="s">
        <v>1317</v>
      </c>
      <c r="Z9" s="142" t="s">
        <v>106</v>
      </c>
      <c r="AA9" s="80">
        <v>1</v>
      </c>
      <c r="AB9" s="1" t="s">
        <v>516</v>
      </c>
      <c r="AC9" s="80">
        <v>1</v>
      </c>
      <c r="AD9" s="1" t="s">
        <v>516</v>
      </c>
      <c r="AE9" s="143">
        <v>1</v>
      </c>
      <c r="AF9" s="1" t="s">
        <v>529</v>
      </c>
      <c r="AG9" s="142">
        <v>94757</v>
      </c>
      <c r="AH9" s="142">
        <v>9475.7000000000007</v>
      </c>
      <c r="AI9" s="142">
        <v>1775</v>
      </c>
      <c r="AJ9" s="14" t="s">
        <v>1316</v>
      </c>
      <c r="AK9" s="142" t="s">
        <v>106</v>
      </c>
      <c r="AL9" s="80">
        <v>0.9</v>
      </c>
      <c r="AM9" s="1" t="s">
        <v>951</v>
      </c>
      <c r="AN9" s="80">
        <v>1</v>
      </c>
      <c r="AO9" s="1" t="s">
        <v>529</v>
      </c>
      <c r="AP9" s="143">
        <v>0.95</v>
      </c>
      <c r="AQ9" s="1" t="s">
        <v>1315</v>
      </c>
      <c r="AR9" s="142">
        <v>256025</v>
      </c>
      <c r="AS9" s="142">
        <v>13475</v>
      </c>
      <c r="AT9" s="144">
        <v>2093</v>
      </c>
    </row>
    <row r="10" spans="1:47" x14ac:dyDescent="0.2">
      <c r="A10" s="174"/>
      <c r="B10" s="9" t="s">
        <v>7</v>
      </c>
      <c r="C10" s="14" t="s">
        <v>1314</v>
      </c>
      <c r="D10" s="142" t="s">
        <v>106</v>
      </c>
      <c r="E10" s="80">
        <v>0</v>
      </c>
      <c r="F10" s="1" t="s">
        <v>163</v>
      </c>
      <c r="G10" s="1" t="s">
        <v>164</v>
      </c>
      <c r="H10" s="1" t="s">
        <v>164</v>
      </c>
      <c r="I10" s="143">
        <v>0</v>
      </c>
      <c r="J10" s="1" t="s">
        <v>163</v>
      </c>
      <c r="K10" s="142">
        <v>0</v>
      </c>
      <c r="L10" s="142">
        <v>0</v>
      </c>
      <c r="M10" s="142">
        <v>0</v>
      </c>
      <c r="N10" s="14" t="s">
        <v>1313</v>
      </c>
      <c r="O10" s="142" t="s">
        <v>106</v>
      </c>
      <c r="P10" s="80">
        <v>0</v>
      </c>
      <c r="Q10" s="1" t="s">
        <v>939</v>
      </c>
      <c r="R10" s="1" t="s">
        <v>164</v>
      </c>
      <c r="S10" s="1" t="s">
        <v>164</v>
      </c>
      <c r="T10" s="143">
        <v>0</v>
      </c>
      <c r="U10" s="1" t="s">
        <v>939</v>
      </c>
      <c r="V10" s="142">
        <v>0</v>
      </c>
      <c r="W10" s="142">
        <v>0</v>
      </c>
      <c r="X10" s="142">
        <v>0</v>
      </c>
      <c r="Y10" s="14" t="s">
        <v>1312</v>
      </c>
      <c r="Z10" s="142" t="s">
        <v>106</v>
      </c>
      <c r="AA10" s="80">
        <v>0.8</v>
      </c>
      <c r="AB10" s="1" t="s">
        <v>1077</v>
      </c>
      <c r="AC10" s="1" t="s">
        <v>164</v>
      </c>
      <c r="AD10" s="1" t="s">
        <v>164</v>
      </c>
      <c r="AE10" s="143">
        <v>0.8</v>
      </c>
      <c r="AF10" s="1" t="s">
        <v>1077</v>
      </c>
      <c r="AG10" s="142">
        <v>133824</v>
      </c>
      <c r="AH10" s="142">
        <v>16728</v>
      </c>
      <c r="AI10" s="142">
        <v>9856.5</v>
      </c>
      <c r="AJ10" s="14" t="s">
        <v>1311</v>
      </c>
      <c r="AK10" s="142" t="s">
        <v>106</v>
      </c>
      <c r="AL10" s="80">
        <v>0.85</v>
      </c>
      <c r="AM10" s="1" t="s">
        <v>1310</v>
      </c>
      <c r="AN10" s="1" t="s">
        <v>164</v>
      </c>
      <c r="AO10" s="1" t="s">
        <v>164</v>
      </c>
      <c r="AP10" s="143">
        <v>0.85</v>
      </c>
      <c r="AQ10" s="1" t="s">
        <v>1310</v>
      </c>
      <c r="AR10" s="142">
        <v>397441</v>
      </c>
      <c r="AS10" s="142">
        <v>23378.880000000001</v>
      </c>
      <c r="AT10" s="144">
        <v>14042</v>
      </c>
    </row>
    <row r="11" spans="1:47" x14ac:dyDescent="0.2">
      <c r="A11" s="174"/>
      <c r="B11" s="9" t="s">
        <v>8</v>
      </c>
      <c r="C11" s="14" t="s">
        <v>1309</v>
      </c>
      <c r="D11" s="142" t="s">
        <v>106</v>
      </c>
      <c r="E11" s="80">
        <v>0</v>
      </c>
      <c r="F11" s="1" t="s">
        <v>169</v>
      </c>
      <c r="G11" s="80">
        <v>1</v>
      </c>
      <c r="H11" s="1" t="s">
        <v>452</v>
      </c>
      <c r="I11" s="143">
        <v>1</v>
      </c>
      <c r="J11" s="1" t="s">
        <v>452</v>
      </c>
      <c r="K11" s="142">
        <v>2684</v>
      </c>
      <c r="L11" s="142">
        <v>2684</v>
      </c>
      <c r="M11" s="142">
        <v>2684</v>
      </c>
      <c r="N11" s="14" t="s">
        <v>1308</v>
      </c>
      <c r="O11" s="142" t="s">
        <v>106</v>
      </c>
      <c r="P11" s="80">
        <v>0</v>
      </c>
      <c r="Q11" s="1" t="s">
        <v>163</v>
      </c>
      <c r="R11" s="80">
        <v>0</v>
      </c>
      <c r="S11" s="1" t="s">
        <v>163</v>
      </c>
      <c r="T11" s="143">
        <v>0</v>
      </c>
      <c r="U11" s="1" t="s">
        <v>939</v>
      </c>
      <c r="V11" s="142">
        <v>0</v>
      </c>
      <c r="W11" s="142">
        <v>0</v>
      </c>
      <c r="X11" s="142">
        <v>0</v>
      </c>
      <c r="Y11" s="14" t="s">
        <v>1307</v>
      </c>
      <c r="Z11" s="142" t="s">
        <v>106</v>
      </c>
      <c r="AA11" s="80">
        <v>1</v>
      </c>
      <c r="AB11" s="1" t="s">
        <v>516</v>
      </c>
      <c r="AC11" s="80">
        <v>0.2</v>
      </c>
      <c r="AD11" s="1" t="s">
        <v>1049</v>
      </c>
      <c r="AE11" s="143">
        <v>0.6</v>
      </c>
      <c r="AF11" s="1" t="s">
        <v>963</v>
      </c>
      <c r="AG11" s="142">
        <v>12497</v>
      </c>
      <c r="AH11" s="142">
        <v>2082.83</v>
      </c>
      <c r="AI11" s="142">
        <v>2056</v>
      </c>
      <c r="AJ11" s="14" t="s">
        <v>1306</v>
      </c>
      <c r="AK11" s="142" t="s">
        <v>106</v>
      </c>
      <c r="AL11" s="80">
        <v>0</v>
      </c>
      <c r="AM11" s="1" t="s">
        <v>1305</v>
      </c>
      <c r="AN11" s="80">
        <v>0</v>
      </c>
      <c r="AO11" s="1" t="s">
        <v>218</v>
      </c>
      <c r="AP11" s="143">
        <v>0</v>
      </c>
      <c r="AQ11" s="1" t="s">
        <v>1176</v>
      </c>
      <c r="AR11" s="142">
        <v>0</v>
      </c>
      <c r="AS11" s="142">
        <v>0</v>
      </c>
      <c r="AT11" s="144">
        <v>0</v>
      </c>
      <c r="AU11" s="4" t="s">
        <v>98</v>
      </c>
    </row>
    <row r="12" spans="1:47" x14ac:dyDescent="0.2">
      <c r="A12" s="174"/>
      <c r="B12" s="9" t="s">
        <v>9</v>
      </c>
      <c r="C12" s="14" t="s">
        <v>1304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1303</v>
      </c>
      <c r="O12" s="142" t="s">
        <v>106</v>
      </c>
      <c r="P12" s="80">
        <v>0</v>
      </c>
      <c r="Q12" s="1" t="s">
        <v>939</v>
      </c>
      <c r="R12" s="1" t="s">
        <v>164</v>
      </c>
      <c r="S12" s="1" t="s">
        <v>164</v>
      </c>
      <c r="T12" s="143">
        <v>0</v>
      </c>
      <c r="U12" s="1" t="s">
        <v>939</v>
      </c>
      <c r="V12" s="142">
        <v>0</v>
      </c>
      <c r="W12" s="142">
        <v>0</v>
      </c>
      <c r="X12" s="142">
        <v>0</v>
      </c>
      <c r="Y12" s="14" t="s">
        <v>1302</v>
      </c>
      <c r="Z12" s="142" t="s">
        <v>106</v>
      </c>
      <c r="AA12" s="80">
        <v>0.6</v>
      </c>
      <c r="AB12" s="1" t="s">
        <v>963</v>
      </c>
      <c r="AC12" s="1" t="s">
        <v>164</v>
      </c>
      <c r="AD12" s="1" t="s">
        <v>164</v>
      </c>
      <c r="AE12" s="143">
        <v>0.6</v>
      </c>
      <c r="AF12" s="1" t="s">
        <v>963</v>
      </c>
      <c r="AG12" s="142">
        <v>12295</v>
      </c>
      <c r="AH12" s="142">
        <v>2049.17</v>
      </c>
      <c r="AI12" s="142">
        <v>2036</v>
      </c>
      <c r="AJ12" s="14" t="s">
        <v>1301</v>
      </c>
      <c r="AK12" s="142" t="s">
        <v>106</v>
      </c>
      <c r="AL12" s="80">
        <v>0</v>
      </c>
      <c r="AM12" s="1" t="s">
        <v>1176</v>
      </c>
      <c r="AN12" s="1" t="s">
        <v>164</v>
      </c>
      <c r="AO12" s="1" t="s">
        <v>164</v>
      </c>
      <c r="AP12" s="143">
        <v>0</v>
      </c>
      <c r="AQ12" s="1" t="s">
        <v>1176</v>
      </c>
      <c r="AR12" s="142">
        <v>0</v>
      </c>
      <c r="AS12" s="142">
        <v>0</v>
      </c>
      <c r="AT12" s="144">
        <v>0</v>
      </c>
      <c r="AU12" s="4" t="s">
        <v>98</v>
      </c>
    </row>
    <row r="13" spans="1:47" x14ac:dyDescent="0.2">
      <c r="A13" s="174"/>
      <c r="B13" s="9" t="s">
        <v>12</v>
      </c>
      <c r="C13" s="14" t="s">
        <v>1300</v>
      </c>
      <c r="D13" s="142" t="s">
        <v>106</v>
      </c>
      <c r="E13" s="80">
        <v>0</v>
      </c>
      <c r="F13" s="1" t="s">
        <v>169</v>
      </c>
      <c r="G13" s="80">
        <v>1</v>
      </c>
      <c r="H13" s="1" t="s">
        <v>452</v>
      </c>
      <c r="I13" s="143">
        <v>1</v>
      </c>
      <c r="J13" s="1" t="s">
        <v>452</v>
      </c>
      <c r="K13" s="142">
        <v>2060</v>
      </c>
      <c r="L13" s="142">
        <v>2060</v>
      </c>
      <c r="M13" s="142">
        <v>2060</v>
      </c>
      <c r="N13" s="14" t="s">
        <v>1299</v>
      </c>
      <c r="O13" s="142" t="s">
        <v>106</v>
      </c>
      <c r="P13" s="80">
        <v>0</v>
      </c>
      <c r="Q13" s="1" t="s">
        <v>169</v>
      </c>
      <c r="R13" s="80">
        <v>1</v>
      </c>
      <c r="S13" s="1" t="s">
        <v>452</v>
      </c>
      <c r="T13" s="143">
        <v>1</v>
      </c>
      <c r="U13" s="1" t="s">
        <v>452</v>
      </c>
      <c r="V13" s="142">
        <v>1834</v>
      </c>
      <c r="W13" s="142">
        <v>1834</v>
      </c>
      <c r="X13" s="142">
        <v>1834</v>
      </c>
      <c r="Y13" s="14" t="s">
        <v>1298</v>
      </c>
      <c r="Z13" s="142" t="s">
        <v>106</v>
      </c>
      <c r="AA13" s="80">
        <v>1</v>
      </c>
      <c r="AB13" s="1" t="s">
        <v>516</v>
      </c>
      <c r="AC13" s="80">
        <v>1</v>
      </c>
      <c r="AD13" s="1" t="s">
        <v>516</v>
      </c>
      <c r="AE13" s="143">
        <v>1</v>
      </c>
      <c r="AF13" s="1" t="s">
        <v>529</v>
      </c>
      <c r="AG13" s="142">
        <v>17340</v>
      </c>
      <c r="AH13" s="142">
        <v>1734</v>
      </c>
      <c r="AI13" s="142">
        <v>1708.5</v>
      </c>
      <c r="AJ13" s="14" t="s">
        <v>1297</v>
      </c>
      <c r="AK13" s="142" t="s">
        <v>106</v>
      </c>
      <c r="AL13" s="80">
        <v>1</v>
      </c>
      <c r="AM13" s="1" t="s">
        <v>516</v>
      </c>
      <c r="AN13" s="80">
        <v>1</v>
      </c>
      <c r="AO13" s="1" t="s">
        <v>516</v>
      </c>
      <c r="AP13" s="143">
        <v>1</v>
      </c>
      <c r="AQ13" s="1" t="s">
        <v>529</v>
      </c>
      <c r="AR13" s="142">
        <v>17979</v>
      </c>
      <c r="AS13" s="142">
        <v>1797.9</v>
      </c>
      <c r="AT13" s="144">
        <v>1731</v>
      </c>
      <c r="AU13" s="4" t="s">
        <v>97</v>
      </c>
    </row>
    <row r="14" spans="1:47" x14ac:dyDescent="0.2">
      <c r="A14" s="174"/>
      <c r="B14" s="9" t="s">
        <v>13</v>
      </c>
      <c r="C14" s="14" t="s">
        <v>1296</v>
      </c>
      <c r="D14" s="142" t="s">
        <v>106</v>
      </c>
      <c r="E14" s="80">
        <v>1</v>
      </c>
      <c r="F14" s="1" t="s">
        <v>452</v>
      </c>
      <c r="G14" s="1" t="s">
        <v>164</v>
      </c>
      <c r="H14" s="1" t="s">
        <v>164</v>
      </c>
      <c r="I14" s="143">
        <v>1</v>
      </c>
      <c r="J14" s="1" t="s">
        <v>452</v>
      </c>
      <c r="K14" s="142">
        <v>1792</v>
      </c>
      <c r="L14" s="142">
        <v>1792</v>
      </c>
      <c r="M14" s="142">
        <v>1792</v>
      </c>
      <c r="N14" s="14" t="s">
        <v>1295</v>
      </c>
      <c r="O14" s="142" t="s">
        <v>106</v>
      </c>
      <c r="P14" s="80">
        <v>1</v>
      </c>
      <c r="Q14" s="1" t="s">
        <v>452</v>
      </c>
      <c r="R14" s="1" t="s">
        <v>164</v>
      </c>
      <c r="S14" s="1" t="s">
        <v>164</v>
      </c>
      <c r="T14" s="143">
        <v>1</v>
      </c>
      <c r="U14" s="1" t="s">
        <v>452</v>
      </c>
      <c r="V14" s="142">
        <v>1764</v>
      </c>
      <c r="W14" s="142">
        <v>1764</v>
      </c>
      <c r="X14" s="142">
        <v>1764</v>
      </c>
      <c r="Y14" s="14" t="s">
        <v>1294</v>
      </c>
      <c r="Z14" s="142" t="s">
        <v>106</v>
      </c>
      <c r="AA14" s="80">
        <v>1</v>
      </c>
      <c r="AB14" s="1" t="s">
        <v>529</v>
      </c>
      <c r="AC14" s="1" t="s">
        <v>164</v>
      </c>
      <c r="AD14" s="1" t="s">
        <v>164</v>
      </c>
      <c r="AE14" s="143">
        <v>1</v>
      </c>
      <c r="AF14" s="1" t="s">
        <v>529</v>
      </c>
      <c r="AG14" s="142">
        <v>17000</v>
      </c>
      <c r="AH14" s="142">
        <v>1700</v>
      </c>
      <c r="AI14" s="142">
        <v>1699.5</v>
      </c>
      <c r="AJ14" s="14" t="s">
        <v>1293</v>
      </c>
      <c r="AK14" s="142" t="s">
        <v>106</v>
      </c>
      <c r="AL14" s="80">
        <v>1</v>
      </c>
      <c r="AM14" s="1" t="s">
        <v>529</v>
      </c>
      <c r="AN14" s="1" t="s">
        <v>164</v>
      </c>
      <c r="AO14" s="1" t="s">
        <v>164</v>
      </c>
      <c r="AP14" s="143">
        <v>1</v>
      </c>
      <c r="AQ14" s="1" t="s">
        <v>529</v>
      </c>
      <c r="AR14" s="142">
        <v>17612</v>
      </c>
      <c r="AS14" s="142">
        <v>1761.2</v>
      </c>
      <c r="AT14" s="144">
        <v>1724.5</v>
      </c>
      <c r="AU14" s="4" t="s">
        <v>97</v>
      </c>
    </row>
    <row r="15" spans="1:47" x14ac:dyDescent="0.2">
      <c r="A15" s="174"/>
      <c r="B15" s="9" t="s">
        <v>14</v>
      </c>
      <c r="C15" s="14" t="s">
        <v>1292</v>
      </c>
      <c r="D15" s="142" t="s">
        <v>106</v>
      </c>
      <c r="E15" s="80">
        <v>0</v>
      </c>
      <c r="F15" s="1" t="s">
        <v>169</v>
      </c>
      <c r="G15" s="80">
        <v>1</v>
      </c>
      <c r="H15" s="1" t="s">
        <v>452</v>
      </c>
      <c r="I15" s="143">
        <v>1</v>
      </c>
      <c r="J15" s="1" t="s">
        <v>452</v>
      </c>
      <c r="K15" s="142">
        <v>1805</v>
      </c>
      <c r="L15" s="142">
        <v>1805</v>
      </c>
      <c r="M15" s="142">
        <v>1805</v>
      </c>
      <c r="N15" s="14" t="s">
        <v>1291</v>
      </c>
      <c r="O15" s="142" t="s">
        <v>106</v>
      </c>
      <c r="P15" s="80">
        <v>0</v>
      </c>
      <c r="Q15" s="1" t="s">
        <v>169</v>
      </c>
      <c r="R15" s="80">
        <v>1</v>
      </c>
      <c r="S15" s="1" t="s">
        <v>452</v>
      </c>
      <c r="T15" s="143">
        <v>1</v>
      </c>
      <c r="U15" s="1" t="s">
        <v>452</v>
      </c>
      <c r="V15" s="142">
        <v>1789</v>
      </c>
      <c r="W15" s="142">
        <v>1789</v>
      </c>
      <c r="X15" s="142">
        <v>1789</v>
      </c>
      <c r="Y15" s="14" t="s">
        <v>1290</v>
      </c>
      <c r="Z15" s="142" t="s">
        <v>106</v>
      </c>
      <c r="AA15" s="80">
        <v>1</v>
      </c>
      <c r="AB15" s="1" t="s">
        <v>516</v>
      </c>
      <c r="AC15" s="80">
        <v>1</v>
      </c>
      <c r="AD15" s="1" t="s">
        <v>516</v>
      </c>
      <c r="AE15" s="143">
        <v>1</v>
      </c>
      <c r="AF15" s="1" t="s">
        <v>529</v>
      </c>
      <c r="AG15" s="142">
        <v>23242</v>
      </c>
      <c r="AH15" s="142">
        <v>2324.1999999999998</v>
      </c>
      <c r="AI15" s="142">
        <v>1733.5</v>
      </c>
      <c r="AJ15" s="14" t="s">
        <v>1289</v>
      </c>
      <c r="AK15" s="142" t="s">
        <v>106</v>
      </c>
      <c r="AL15" s="80">
        <v>1</v>
      </c>
      <c r="AM15" s="1" t="s">
        <v>516</v>
      </c>
      <c r="AN15" s="80">
        <v>1</v>
      </c>
      <c r="AO15" s="1" t="s">
        <v>516</v>
      </c>
      <c r="AP15" s="143">
        <v>1</v>
      </c>
      <c r="AQ15" s="1" t="s">
        <v>529</v>
      </c>
      <c r="AR15" s="142">
        <v>22925</v>
      </c>
      <c r="AS15" s="142">
        <v>2292.5</v>
      </c>
      <c r="AT15" s="144">
        <v>1825</v>
      </c>
      <c r="AU15" s="4" t="s">
        <v>97</v>
      </c>
    </row>
    <row r="16" spans="1:47" x14ac:dyDescent="0.2">
      <c r="A16" s="174"/>
      <c r="B16" s="9" t="s">
        <v>15</v>
      </c>
      <c r="C16" s="14" t="s">
        <v>1288</v>
      </c>
      <c r="D16" s="142" t="s">
        <v>106</v>
      </c>
      <c r="E16" s="80">
        <v>1</v>
      </c>
      <c r="F16" s="1" t="s">
        <v>452</v>
      </c>
      <c r="G16" s="1" t="s">
        <v>164</v>
      </c>
      <c r="H16" s="1" t="s">
        <v>164</v>
      </c>
      <c r="I16" s="143">
        <v>1</v>
      </c>
      <c r="J16" s="1" t="s">
        <v>452</v>
      </c>
      <c r="K16" s="142">
        <v>21009</v>
      </c>
      <c r="L16" s="142">
        <v>21009</v>
      </c>
      <c r="M16" s="142">
        <v>21009</v>
      </c>
      <c r="N16" s="14" t="s">
        <v>1287</v>
      </c>
      <c r="O16" s="142" t="s">
        <v>106</v>
      </c>
      <c r="P16" s="80">
        <v>1</v>
      </c>
      <c r="Q16" s="1" t="s">
        <v>452</v>
      </c>
      <c r="R16" s="1" t="s">
        <v>164</v>
      </c>
      <c r="S16" s="1" t="s">
        <v>164</v>
      </c>
      <c r="T16" s="143">
        <v>1</v>
      </c>
      <c r="U16" s="1" t="s">
        <v>452</v>
      </c>
      <c r="V16" s="142">
        <v>6934</v>
      </c>
      <c r="W16" s="142">
        <v>6934</v>
      </c>
      <c r="X16" s="142">
        <v>6934</v>
      </c>
      <c r="Y16" s="14" t="s">
        <v>1286</v>
      </c>
      <c r="Z16" s="142" t="s">
        <v>106</v>
      </c>
      <c r="AA16" s="80">
        <v>1</v>
      </c>
      <c r="AB16" s="1" t="s">
        <v>529</v>
      </c>
      <c r="AC16" s="1" t="s">
        <v>164</v>
      </c>
      <c r="AD16" s="1" t="s">
        <v>164</v>
      </c>
      <c r="AE16" s="143">
        <v>1</v>
      </c>
      <c r="AF16" s="1" t="s">
        <v>529</v>
      </c>
      <c r="AG16" s="142">
        <v>21622</v>
      </c>
      <c r="AH16" s="142">
        <v>2162.1999999999998</v>
      </c>
      <c r="AI16" s="142">
        <v>1727</v>
      </c>
      <c r="AJ16" s="14" t="s">
        <v>1285</v>
      </c>
      <c r="AK16" s="142" t="s">
        <v>106</v>
      </c>
      <c r="AL16" s="80">
        <v>1</v>
      </c>
      <c r="AM16" s="1" t="s">
        <v>529</v>
      </c>
      <c r="AN16" s="1" t="s">
        <v>164</v>
      </c>
      <c r="AO16" s="1" t="s">
        <v>164</v>
      </c>
      <c r="AP16" s="143">
        <v>1</v>
      </c>
      <c r="AQ16" s="1" t="s">
        <v>529</v>
      </c>
      <c r="AR16" s="142">
        <v>21008</v>
      </c>
      <c r="AS16" s="142">
        <v>2100.8000000000002</v>
      </c>
      <c r="AT16" s="144">
        <v>1784</v>
      </c>
      <c r="AU16" s="4" t="s">
        <v>97</v>
      </c>
    </row>
    <row r="17" spans="1:47" x14ac:dyDescent="0.2">
      <c r="A17" s="174"/>
      <c r="B17" s="9" t="s">
        <v>16</v>
      </c>
      <c r="C17" s="14" t="s">
        <v>1284</v>
      </c>
      <c r="D17" s="142" t="s">
        <v>106</v>
      </c>
      <c r="E17" s="80">
        <v>0</v>
      </c>
      <c r="F17" s="1" t="s">
        <v>169</v>
      </c>
      <c r="G17" s="80">
        <v>1</v>
      </c>
      <c r="H17" s="1" t="s">
        <v>452</v>
      </c>
      <c r="I17" s="143">
        <v>1</v>
      </c>
      <c r="J17" s="1" t="s">
        <v>452</v>
      </c>
      <c r="K17" s="142">
        <v>1917</v>
      </c>
      <c r="L17" s="142">
        <v>1917</v>
      </c>
      <c r="M17" s="142">
        <v>1917</v>
      </c>
      <c r="N17" s="14" t="s">
        <v>1283</v>
      </c>
      <c r="O17" s="142" t="s">
        <v>106</v>
      </c>
      <c r="P17" s="80">
        <v>0</v>
      </c>
      <c r="Q17" s="1" t="s">
        <v>169</v>
      </c>
      <c r="R17" s="80">
        <v>1</v>
      </c>
      <c r="S17" s="1" t="s">
        <v>452</v>
      </c>
      <c r="T17" s="143">
        <v>1</v>
      </c>
      <c r="U17" s="1" t="s">
        <v>452</v>
      </c>
      <c r="V17" s="142">
        <v>1747</v>
      </c>
      <c r="W17" s="142">
        <v>1747</v>
      </c>
      <c r="X17" s="142">
        <v>1747</v>
      </c>
      <c r="Y17" s="14" t="s">
        <v>1282</v>
      </c>
      <c r="Z17" s="142" t="s">
        <v>106</v>
      </c>
      <c r="AA17" s="80">
        <v>1</v>
      </c>
      <c r="AB17" s="1" t="s">
        <v>516</v>
      </c>
      <c r="AC17" s="80">
        <v>1</v>
      </c>
      <c r="AD17" s="1" t="s">
        <v>516</v>
      </c>
      <c r="AE17" s="143">
        <v>1</v>
      </c>
      <c r="AF17" s="1" t="s">
        <v>529</v>
      </c>
      <c r="AG17" s="142">
        <v>16949</v>
      </c>
      <c r="AH17" s="142">
        <v>1694.9</v>
      </c>
      <c r="AI17" s="142">
        <v>1691</v>
      </c>
      <c r="AJ17" s="14" t="s">
        <v>1281</v>
      </c>
      <c r="AK17" s="142" t="s">
        <v>106</v>
      </c>
      <c r="AL17" s="80">
        <v>1</v>
      </c>
      <c r="AM17" s="1" t="s">
        <v>516</v>
      </c>
      <c r="AN17" s="80">
        <v>1</v>
      </c>
      <c r="AO17" s="1" t="s">
        <v>516</v>
      </c>
      <c r="AP17" s="143">
        <v>1</v>
      </c>
      <c r="AQ17" s="1" t="s">
        <v>529</v>
      </c>
      <c r="AR17" s="142">
        <v>17266</v>
      </c>
      <c r="AS17" s="142">
        <v>1726.6</v>
      </c>
      <c r="AT17" s="144">
        <v>1717.5</v>
      </c>
      <c r="AU17" s="4" t="s">
        <v>97</v>
      </c>
    </row>
    <row r="18" spans="1:47" x14ac:dyDescent="0.2">
      <c r="A18" s="174"/>
      <c r="B18" s="9" t="s">
        <v>17</v>
      </c>
      <c r="C18" s="14" t="s">
        <v>1279</v>
      </c>
      <c r="D18" s="142" t="s">
        <v>106</v>
      </c>
      <c r="E18" s="80">
        <v>1</v>
      </c>
      <c r="F18" s="1" t="s">
        <v>452</v>
      </c>
      <c r="G18" s="1" t="s">
        <v>164</v>
      </c>
      <c r="H18" s="1" t="s">
        <v>164</v>
      </c>
      <c r="I18" s="143">
        <v>1</v>
      </c>
      <c r="J18" s="1" t="s">
        <v>452</v>
      </c>
      <c r="K18" s="142">
        <v>1810</v>
      </c>
      <c r="L18" s="142">
        <v>1810</v>
      </c>
      <c r="M18" s="142">
        <v>1810</v>
      </c>
      <c r="N18" s="14" t="s">
        <v>1278</v>
      </c>
      <c r="O18" s="142" t="s">
        <v>106</v>
      </c>
      <c r="P18" s="80">
        <v>1</v>
      </c>
      <c r="Q18" s="1" t="s">
        <v>452</v>
      </c>
      <c r="R18" s="1" t="s">
        <v>164</v>
      </c>
      <c r="S18" s="1" t="s">
        <v>164</v>
      </c>
      <c r="T18" s="143">
        <v>1</v>
      </c>
      <c r="U18" s="1" t="s">
        <v>452</v>
      </c>
      <c r="V18" s="142">
        <v>1748</v>
      </c>
      <c r="W18" s="142">
        <v>1748</v>
      </c>
      <c r="X18" s="142">
        <v>1748</v>
      </c>
      <c r="Y18" s="14" t="s">
        <v>1277</v>
      </c>
      <c r="Z18" s="142" t="s">
        <v>106</v>
      </c>
      <c r="AA18" s="80">
        <v>1</v>
      </c>
      <c r="AB18" s="1" t="s">
        <v>529</v>
      </c>
      <c r="AC18" s="1" t="s">
        <v>164</v>
      </c>
      <c r="AD18" s="1" t="s">
        <v>164</v>
      </c>
      <c r="AE18" s="143">
        <v>1</v>
      </c>
      <c r="AF18" s="1" t="s">
        <v>529</v>
      </c>
      <c r="AG18" s="142">
        <v>17095</v>
      </c>
      <c r="AH18" s="142">
        <v>1709.5</v>
      </c>
      <c r="AI18" s="142">
        <v>1709</v>
      </c>
      <c r="AJ18" s="14" t="s">
        <v>1276</v>
      </c>
      <c r="AK18" s="142" t="s">
        <v>106</v>
      </c>
      <c r="AL18" s="80">
        <v>1</v>
      </c>
      <c r="AM18" s="1" t="s">
        <v>529</v>
      </c>
      <c r="AN18" s="1" t="s">
        <v>164</v>
      </c>
      <c r="AO18" s="1" t="s">
        <v>164</v>
      </c>
      <c r="AP18" s="143">
        <v>1</v>
      </c>
      <c r="AQ18" s="1" t="s">
        <v>529</v>
      </c>
      <c r="AR18" s="142">
        <v>17683</v>
      </c>
      <c r="AS18" s="142">
        <v>1768.3</v>
      </c>
      <c r="AT18" s="144">
        <v>1753</v>
      </c>
      <c r="AU18" s="4" t="s">
        <v>97</v>
      </c>
    </row>
    <row r="19" spans="1:47" x14ac:dyDescent="0.2">
      <c r="A19" s="174"/>
      <c r="B19" s="9" t="s">
        <v>18</v>
      </c>
      <c r="C19" s="14" t="s">
        <v>1275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1274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2189</v>
      </c>
      <c r="W19" s="142">
        <v>2189</v>
      </c>
      <c r="X19" s="142">
        <v>2189</v>
      </c>
      <c r="Y19" s="14" t="s">
        <v>1273</v>
      </c>
      <c r="Z19" s="142" t="s">
        <v>106</v>
      </c>
      <c r="AA19" s="80">
        <v>0</v>
      </c>
      <c r="AB19" s="1" t="s">
        <v>218</v>
      </c>
      <c r="AC19" s="80">
        <v>0</v>
      </c>
      <c r="AD19" s="1" t="s">
        <v>218</v>
      </c>
      <c r="AE19" s="143">
        <v>0</v>
      </c>
      <c r="AF19" s="1" t="s">
        <v>213</v>
      </c>
      <c r="AG19" s="142">
        <v>0</v>
      </c>
      <c r="AH19" s="142">
        <v>0</v>
      </c>
      <c r="AI19" s="142">
        <v>0</v>
      </c>
      <c r="AJ19" s="14" t="s">
        <v>1272</v>
      </c>
      <c r="AK19" s="142" t="s">
        <v>106</v>
      </c>
      <c r="AL19" s="80">
        <v>0.2</v>
      </c>
      <c r="AM19" s="1" t="s">
        <v>1271</v>
      </c>
      <c r="AN19" s="80">
        <v>0</v>
      </c>
      <c r="AO19" s="1" t="s">
        <v>218</v>
      </c>
      <c r="AP19" s="143">
        <v>0.15</v>
      </c>
      <c r="AQ19" s="1" t="s">
        <v>1266</v>
      </c>
      <c r="AR19" s="142">
        <v>5335</v>
      </c>
      <c r="AS19" s="142">
        <v>1778.33</v>
      </c>
      <c r="AT19" s="144">
        <v>1755</v>
      </c>
      <c r="AU19" s="4" t="s">
        <v>99</v>
      </c>
    </row>
    <row r="20" spans="1:47" x14ac:dyDescent="0.2">
      <c r="A20" s="174"/>
      <c r="B20" s="9" t="s">
        <v>19</v>
      </c>
      <c r="C20" s="14" t="s">
        <v>1270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1269</v>
      </c>
      <c r="O20" s="142" t="s">
        <v>106</v>
      </c>
      <c r="P20" s="80">
        <v>0.5</v>
      </c>
      <c r="Q20" s="1" t="s">
        <v>1108</v>
      </c>
      <c r="R20" s="1" t="s">
        <v>164</v>
      </c>
      <c r="S20" s="1" t="s">
        <v>164</v>
      </c>
      <c r="T20" s="143">
        <v>0.5</v>
      </c>
      <c r="U20" s="1" t="s">
        <v>1108</v>
      </c>
      <c r="V20" s="142">
        <v>2167</v>
      </c>
      <c r="W20" s="142">
        <v>2167</v>
      </c>
      <c r="X20" s="142">
        <v>2167</v>
      </c>
      <c r="Y20" s="14" t="s">
        <v>1268</v>
      </c>
      <c r="Z20" s="142" t="s">
        <v>106</v>
      </c>
      <c r="AA20" s="80">
        <v>0</v>
      </c>
      <c r="AB20" s="1" t="s">
        <v>213</v>
      </c>
      <c r="AC20" s="1" t="s">
        <v>164</v>
      </c>
      <c r="AD20" s="1" t="s">
        <v>164</v>
      </c>
      <c r="AE20" s="143">
        <v>0</v>
      </c>
      <c r="AF20" s="1" t="s">
        <v>213</v>
      </c>
      <c r="AG20" s="142">
        <v>0</v>
      </c>
      <c r="AH20" s="142">
        <v>0</v>
      </c>
      <c r="AI20" s="142">
        <v>0</v>
      </c>
      <c r="AJ20" s="14" t="s">
        <v>1267</v>
      </c>
      <c r="AK20" s="142" t="s">
        <v>106</v>
      </c>
      <c r="AL20" s="80">
        <v>0.15</v>
      </c>
      <c r="AM20" s="1" t="s">
        <v>1266</v>
      </c>
      <c r="AN20" s="1" t="s">
        <v>164</v>
      </c>
      <c r="AO20" s="1" t="s">
        <v>164</v>
      </c>
      <c r="AP20" s="143">
        <v>0.15</v>
      </c>
      <c r="AQ20" s="1" t="s">
        <v>1266</v>
      </c>
      <c r="AR20" s="142">
        <v>5406</v>
      </c>
      <c r="AS20" s="142">
        <v>1802</v>
      </c>
      <c r="AT20" s="144">
        <v>1769</v>
      </c>
      <c r="AU20" s="4" t="s">
        <v>99</v>
      </c>
    </row>
    <row r="21" spans="1:47" x14ac:dyDescent="0.2">
      <c r="A21" s="174"/>
      <c r="B21" s="9" t="s">
        <v>20</v>
      </c>
      <c r="C21" s="14" t="s">
        <v>1265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1264</v>
      </c>
      <c r="O21" s="142" t="s">
        <v>106</v>
      </c>
      <c r="P21" s="80">
        <v>1</v>
      </c>
      <c r="Q21" s="1" t="s">
        <v>452</v>
      </c>
      <c r="R21" s="80">
        <v>0</v>
      </c>
      <c r="S21" s="1" t="s">
        <v>163</v>
      </c>
      <c r="T21" s="143">
        <v>0.5</v>
      </c>
      <c r="U21" s="1" t="s">
        <v>1108</v>
      </c>
      <c r="V21" s="142">
        <v>1770</v>
      </c>
      <c r="W21" s="142">
        <v>1770</v>
      </c>
      <c r="X21" s="142">
        <v>1770</v>
      </c>
      <c r="Y21" s="14" t="s">
        <v>1263</v>
      </c>
      <c r="Z21" s="142" t="s">
        <v>106</v>
      </c>
      <c r="AA21" s="80">
        <v>0</v>
      </c>
      <c r="AB21" s="1" t="s">
        <v>218</v>
      </c>
      <c r="AC21" s="80">
        <v>1</v>
      </c>
      <c r="AD21" s="1" t="s">
        <v>516</v>
      </c>
      <c r="AE21" s="143">
        <v>0.5</v>
      </c>
      <c r="AF21" s="1" t="s">
        <v>511</v>
      </c>
      <c r="AG21" s="142">
        <v>17142</v>
      </c>
      <c r="AH21" s="142">
        <v>3428.4</v>
      </c>
      <c r="AI21" s="142">
        <v>3013</v>
      </c>
      <c r="AJ21" s="14" t="s">
        <v>1262</v>
      </c>
      <c r="AK21" s="142" t="s">
        <v>106</v>
      </c>
      <c r="AL21" s="80">
        <v>0.66669999999999996</v>
      </c>
      <c r="AM21" s="1" t="s">
        <v>1129</v>
      </c>
      <c r="AN21" s="80">
        <v>1</v>
      </c>
      <c r="AO21" s="1" t="s">
        <v>516</v>
      </c>
      <c r="AP21" s="143">
        <v>0.75</v>
      </c>
      <c r="AQ21" s="1" t="s">
        <v>1261</v>
      </c>
      <c r="AR21" s="142">
        <v>35785</v>
      </c>
      <c r="AS21" s="142">
        <v>2385.67</v>
      </c>
      <c r="AT21" s="144">
        <v>1751</v>
      </c>
      <c r="AU21" s="4" t="s">
        <v>93</v>
      </c>
    </row>
    <row r="22" spans="1:47" x14ac:dyDescent="0.2">
      <c r="A22" s="174"/>
      <c r="B22" s="9" t="s">
        <v>21</v>
      </c>
      <c r="C22" s="14" t="s">
        <v>1260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2274</v>
      </c>
      <c r="L22" s="142">
        <v>2274</v>
      </c>
      <c r="M22" s="142">
        <v>2274</v>
      </c>
      <c r="N22" s="14" t="s">
        <v>1259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4242</v>
      </c>
      <c r="W22" s="142">
        <v>2121</v>
      </c>
      <c r="X22" s="142">
        <v>2121</v>
      </c>
      <c r="Y22" s="14" t="s">
        <v>1258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20509</v>
      </c>
      <c r="AH22" s="142">
        <v>2050.9</v>
      </c>
      <c r="AI22" s="142">
        <v>2064.5</v>
      </c>
      <c r="AJ22" s="14" t="s">
        <v>1257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38895</v>
      </c>
      <c r="AS22" s="142">
        <v>1944.75</v>
      </c>
      <c r="AT22" s="144">
        <v>1886</v>
      </c>
      <c r="AU22" s="4" t="s">
        <v>93</v>
      </c>
    </row>
    <row r="23" spans="1:47" x14ac:dyDescent="0.2">
      <c r="A23" s="174"/>
      <c r="B23" s="9" t="s">
        <v>26</v>
      </c>
      <c r="C23" s="14" t="s">
        <v>1256</v>
      </c>
      <c r="D23" s="142" t="s">
        <v>106</v>
      </c>
      <c r="E23" s="80">
        <v>0</v>
      </c>
      <c r="F23" s="1" t="s">
        <v>169</v>
      </c>
      <c r="G23" s="80">
        <v>1</v>
      </c>
      <c r="H23" s="1" t="s">
        <v>452</v>
      </c>
      <c r="I23" s="143">
        <v>1</v>
      </c>
      <c r="J23" s="1" t="s">
        <v>452</v>
      </c>
      <c r="K23" s="142">
        <v>132055</v>
      </c>
      <c r="L23" s="142">
        <v>132055</v>
      </c>
      <c r="M23" s="142">
        <v>132055</v>
      </c>
      <c r="N23" s="14" t="s">
        <v>1255</v>
      </c>
      <c r="O23" s="142" t="s">
        <v>106</v>
      </c>
      <c r="P23" s="80">
        <v>1</v>
      </c>
      <c r="Q23" s="1" t="s">
        <v>452</v>
      </c>
      <c r="R23" s="80">
        <v>0.33329999999999999</v>
      </c>
      <c r="S23" s="1" t="s">
        <v>932</v>
      </c>
      <c r="T23" s="143">
        <v>0.5</v>
      </c>
      <c r="U23" s="1" t="s">
        <v>1113</v>
      </c>
      <c r="V23" s="142">
        <v>299925</v>
      </c>
      <c r="W23" s="142">
        <v>149962.5</v>
      </c>
      <c r="X23" s="142">
        <v>149962.5</v>
      </c>
      <c r="Y23" s="14" t="s">
        <v>1254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1252</v>
      </c>
      <c r="AK23" s="142" t="s">
        <v>106</v>
      </c>
      <c r="AL23" s="80">
        <v>0.46150000000000002</v>
      </c>
      <c r="AM23" s="1" t="s">
        <v>1251</v>
      </c>
      <c r="AN23" s="80">
        <v>0</v>
      </c>
      <c r="AO23" s="1" t="s">
        <v>1250</v>
      </c>
      <c r="AP23" s="143">
        <v>0.15</v>
      </c>
      <c r="AQ23" s="1" t="s">
        <v>1244</v>
      </c>
      <c r="AR23" s="142">
        <v>10993</v>
      </c>
      <c r="AS23" s="142">
        <v>1832.17</v>
      </c>
      <c r="AT23" s="144">
        <v>1827.5</v>
      </c>
      <c r="AU23" s="4" t="s">
        <v>99</v>
      </c>
    </row>
    <row r="24" spans="1:47" x14ac:dyDescent="0.2">
      <c r="A24" s="174"/>
      <c r="B24" s="9" t="s">
        <v>27</v>
      </c>
      <c r="C24" s="14" t="s">
        <v>1249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1248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2093</v>
      </c>
      <c r="W24" s="142">
        <v>2093</v>
      </c>
      <c r="X24" s="142">
        <v>2093</v>
      </c>
      <c r="Y24" s="14" t="s">
        <v>1246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1245</v>
      </c>
      <c r="AK24" s="142" t="s">
        <v>106</v>
      </c>
      <c r="AL24" s="80">
        <v>0.15</v>
      </c>
      <c r="AM24" s="1" t="s">
        <v>1244</v>
      </c>
      <c r="AN24" s="1" t="s">
        <v>164</v>
      </c>
      <c r="AO24" s="1" t="s">
        <v>164</v>
      </c>
      <c r="AP24" s="143">
        <v>0.15</v>
      </c>
      <c r="AQ24" s="1" t="s">
        <v>1244</v>
      </c>
      <c r="AR24" s="142">
        <v>10881</v>
      </c>
      <c r="AS24" s="142">
        <v>1813.5</v>
      </c>
      <c r="AT24" s="144">
        <v>1777</v>
      </c>
      <c r="AU24" s="4" t="s">
        <v>99</v>
      </c>
    </row>
    <row r="25" spans="1:47" x14ac:dyDescent="0.2">
      <c r="A25" s="174"/>
      <c r="B25" s="9" t="s">
        <v>28</v>
      </c>
      <c r="C25" s="14" t="s">
        <v>1243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2552</v>
      </c>
      <c r="L25" s="142">
        <v>2552</v>
      </c>
      <c r="M25" s="142">
        <v>2552</v>
      </c>
      <c r="N25" s="14" t="s">
        <v>1242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4932</v>
      </c>
      <c r="W25" s="142">
        <v>2466</v>
      </c>
      <c r="X25" s="142">
        <v>2466</v>
      </c>
      <c r="Y25" s="14" t="s">
        <v>1241</v>
      </c>
      <c r="Z25" s="142" t="s">
        <v>106</v>
      </c>
      <c r="AA25" s="80">
        <v>0.2</v>
      </c>
      <c r="AB25" s="1" t="s">
        <v>1049</v>
      </c>
      <c r="AC25" s="80">
        <v>1</v>
      </c>
      <c r="AD25" s="1" t="s">
        <v>516</v>
      </c>
      <c r="AE25" s="143">
        <v>0.6</v>
      </c>
      <c r="AF25" s="1" t="s">
        <v>963</v>
      </c>
      <c r="AG25" s="142">
        <v>11301</v>
      </c>
      <c r="AH25" s="142">
        <v>1883.5</v>
      </c>
      <c r="AI25" s="142">
        <v>1878</v>
      </c>
      <c r="AJ25" s="14" t="s">
        <v>1240</v>
      </c>
      <c r="AK25" s="142" t="s">
        <v>106</v>
      </c>
      <c r="AL25" s="80">
        <v>0.2</v>
      </c>
      <c r="AM25" s="1" t="s">
        <v>930</v>
      </c>
      <c r="AN25" s="80">
        <v>1</v>
      </c>
      <c r="AO25" s="1" t="s">
        <v>529</v>
      </c>
      <c r="AP25" s="143">
        <v>0.6</v>
      </c>
      <c r="AQ25" s="1" t="s">
        <v>1239</v>
      </c>
      <c r="AR25" s="142">
        <v>22656</v>
      </c>
      <c r="AS25" s="142">
        <v>1888</v>
      </c>
      <c r="AT25" s="144">
        <v>1886.5</v>
      </c>
    </row>
    <row r="26" spans="1:47" x14ac:dyDescent="0.2">
      <c r="A26" s="174"/>
      <c r="B26" s="9" t="s">
        <v>112</v>
      </c>
      <c r="C26" s="14" t="s">
        <v>1238</v>
      </c>
      <c r="D26" s="142" t="s">
        <v>106</v>
      </c>
      <c r="E26" s="80">
        <v>0</v>
      </c>
      <c r="F26" s="1" t="s">
        <v>169</v>
      </c>
      <c r="G26" s="80">
        <v>1</v>
      </c>
      <c r="H26" s="1" t="s">
        <v>452</v>
      </c>
      <c r="I26" s="143">
        <v>1</v>
      </c>
      <c r="J26" s="1" t="s">
        <v>452</v>
      </c>
      <c r="K26" s="142">
        <v>2408</v>
      </c>
      <c r="L26" s="142">
        <v>2408</v>
      </c>
      <c r="M26" s="142">
        <v>2408</v>
      </c>
      <c r="N26" s="14" t="s">
        <v>1237</v>
      </c>
      <c r="O26" s="142" t="s">
        <v>106</v>
      </c>
      <c r="P26" s="80">
        <v>0</v>
      </c>
      <c r="Q26" s="1" t="s">
        <v>169</v>
      </c>
      <c r="R26" s="80">
        <v>1</v>
      </c>
      <c r="S26" s="1" t="s">
        <v>1073</v>
      </c>
      <c r="T26" s="143">
        <v>1</v>
      </c>
      <c r="U26" s="1" t="s">
        <v>1073</v>
      </c>
      <c r="V26" s="142">
        <v>6105</v>
      </c>
      <c r="W26" s="142">
        <v>3052.5</v>
      </c>
      <c r="X26" s="142">
        <v>3052.5</v>
      </c>
      <c r="Y26" s="14" t="s">
        <v>1236</v>
      </c>
      <c r="Z26" s="142" t="s">
        <v>106</v>
      </c>
      <c r="AA26" s="80">
        <v>0.2</v>
      </c>
      <c r="AB26" s="1" t="s">
        <v>1049</v>
      </c>
      <c r="AC26" s="80">
        <v>0</v>
      </c>
      <c r="AD26" s="1" t="s">
        <v>218</v>
      </c>
      <c r="AE26" s="143">
        <v>0.1</v>
      </c>
      <c r="AF26" s="1" t="s">
        <v>1235</v>
      </c>
      <c r="AG26" s="142">
        <v>1772</v>
      </c>
      <c r="AH26" s="142">
        <v>1772</v>
      </c>
      <c r="AI26" s="142">
        <v>1772</v>
      </c>
      <c r="AJ26" s="14" t="s">
        <v>1234</v>
      </c>
      <c r="AK26" s="142" t="s">
        <v>106</v>
      </c>
      <c r="AL26" s="80">
        <v>0.2</v>
      </c>
      <c r="AM26" s="1" t="s">
        <v>930</v>
      </c>
      <c r="AN26" s="80">
        <v>0</v>
      </c>
      <c r="AO26" s="1" t="s">
        <v>213</v>
      </c>
      <c r="AP26" s="143">
        <v>0.1</v>
      </c>
      <c r="AQ26" s="1" t="s">
        <v>1233</v>
      </c>
      <c r="AR26" s="142">
        <v>3968</v>
      </c>
      <c r="AS26" s="142">
        <v>1984</v>
      </c>
      <c r="AT26" s="144">
        <v>1984</v>
      </c>
    </row>
    <row r="27" spans="1:47" x14ac:dyDescent="0.2">
      <c r="A27" s="174"/>
      <c r="B27" s="9" t="s">
        <v>29</v>
      </c>
      <c r="C27" s="14" t="s">
        <v>1232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1231</v>
      </c>
      <c r="O27" s="142" t="s">
        <v>106</v>
      </c>
      <c r="P27" s="80">
        <v>1</v>
      </c>
      <c r="Q27" s="1" t="s">
        <v>452</v>
      </c>
      <c r="R27" s="80">
        <v>0</v>
      </c>
      <c r="S27" s="1" t="s">
        <v>939</v>
      </c>
      <c r="T27" s="143">
        <v>0.33329999999999999</v>
      </c>
      <c r="U27" s="1" t="s">
        <v>932</v>
      </c>
      <c r="V27" s="142">
        <v>1816</v>
      </c>
      <c r="W27" s="142">
        <v>1816</v>
      </c>
      <c r="X27" s="142">
        <v>1816</v>
      </c>
      <c r="Y27" s="14" t="s">
        <v>1230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1229</v>
      </c>
      <c r="AK27" s="142" t="s">
        <v>106</v>
      </c>
      <c r="AL27" s="80">
        <v>1</v>
      </c>
      <c r="AM27" s="1" t="s">
        <v>452</v>
      </c>
      <c r="AN27" s="80">
        <v>0</v>
      </c>
      <c r="AO27" s="1" t="s">
        <v>939</v>
      </c>
      <c r="AP27" s="143">
        <v>0.33329999999999999</v>
      </c>
      <c r="AQ27" s="1" t="s">
        <v>932</v>
      </c>
      <c r="AR27" s="142">
        <v>1785</v>
      </c>
      <c r="AS27" s="142">
        <v>1785</v>
      </c>
      <c r="AT27" s="144">
        <v>1785</v>
      </c>
      <c r="AU27" s="4" t="s">
        <v>99</v>
      </c>
    </row>
    <row r="28" spans="1:47" x14ac:dyDescent="0.2">
      <c r="A28" s="174"/>
      <c r="B28" s="9" t="s">
        <v>30</v>
      </c>
      <c r="C28" s="14" t="s">
        <v>1228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1227</v>
      </c>
      <c r="O28" s="142" t="s">
        <v>106</v>
      </c>
      <c r="P28" s="80">
        <v>0.33329999999999999</v>
      </c>
      <c r="Q28" s="1" t="s">
        <v>932</v>
      </c>
      <c r="R28" s="1" t="s">
        <v>164</v>
      </c>
      <c r="S28" s="1" t="s">
        <v>164</v>
      </c>
      <c r="T28" s="143">
        <v>0.33329999999999999</v>
      </c>
      <c r="U28" s="1" t="s">
        <v>932</v>
      </c>
      <c r="V28" s="142">
        <v>1894</v>
      </c>
      <c r="W28" s="142">
        <v>1894</v>
      </c>
      <c r="X28" s="142">
        <v>1894</v>
      </c>
      <c r="Y28" s="14" t="s">
        <v>1226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1225</v>
      </c>
      <c r="AK28" s="142" t="s">
        <v>106</v>
      </c>
      <c r="AL28" s="80">
        <v>0.33329999999999999</v>
      </c>
      <c r="AM28" s="1" t="s">
        <v>932</v>
      </c>
      <c r="AN28" s="1" t="s">
        <v>164</v>
      </c>
      <c r="AO28" s="1" t="s">
        <v>164</v>
      </c>
      <c r="AP28" s="143">
        <v>0.33329999999999999</v>
      </c>
      <c r="AQ28" s="1" t="s">
        <v>932</v>
      </c>
      <c r="AR28" s="142">
        <v>2122</v>
      </c>
      <c r="AS28" s="142">
        <v>2122</v>
      </c>
      <c r="AT28" s="144">
        <v>2122</v>
      </c>
      <c r="AU28" s="4" t="s">
        <v>99</v>
      </c>
    </row>
    <row r="29" spans="1:47" x14ac:dyDescent="0.2">
      <c r="A29" s="174"/>
      <c r="B29" s="9" t="s">
        <v>31</v>
      </c>
      <c r="C29" s="14" t="s">
        <v>1224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6653</v>
      </c>
      <c r="L29" s="142">
        <v>6653</v>
      </c>
      <c r="M29" s="142">
        <v>6653</v>
      </c>
      <c r="N29" s="14" t="s">
        <v>1223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3202</v>
      </c>
      <c r="W29" s="142">
        <v>3202</v>
      </c>
      <c r="X29" s="142">
        <v>3202</v>
      </c>
      <c r="Y29" s="14" t="s">
        <v>1222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18183</v>
      </c>
      <c r="AH29" s="142">
        <v>1818.3</v>
      </c>
      <c r="AI29" s="142">
        <v>1811</v>
      </c>
      <c r="AJ29" s="14" t="s">
        <v>1221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17995</v>
      </c>
      <c r="AS29" s="142">
        <v>1799.5</v>
      </c>
      <c r="AT29" s="144">
        <v>1759.5</v>
      </c>
    </row>
    <row r="30" spans="1:47" x14ac:dyDescent="0.2">
      <c r="A30" s="174"/>
      <c r="B30" s="9" t="s">
        <v>32</v>
      </c>
      <c r="C30" s="14" t="s">
        <v>1220</v>
      </c>
      <c r="D30" s="142" t="s">
        <v>106</v>
      </c>
      <c r="E30" s="80">
        <v>0</v>
      </c>
      <c r="F30" s="1" t="s">
        <v>163</v>
      </c>
      <c r="G30" s="1" t="s">
        <v>164</v>
      </c>
      <c r="H30" s="1" t="s">
        <v>164</v>
      </c>
      <c r="I30" s="143">
        <v>0</v>
      </c>
      <c r="J30" s="1" t="s">
        <v>163</v>
      </c>
      <c r="K30" s="142">
        <v>0</v>
      </c>
      <c r="L30" s="142">
        <v>0</v>
      </c>
      <c r="M30" s="142">
        <v>0</v>
      </c>
      <c r="N30" s="14" t="s">
        <v>1219</v>
      </c>
      <c r="O30" s="142" t="s">
        <v>106</v>
      </c>
      <c r="P30" s="80">
        <v>0</v>
      </c>
      <c r="Q30" s="1" t="s">
        <v>163</v>
      </c>
      <c r="R30" s="1" t="s">
        <v>164</v>
      </c>
      <c r="S30" s="1" t="s">
        <v>164</v>
      </c>
      <c r="T30" s="143">
        <v>0</v>
      </c>
      <c r="U30" s="1" t="s">
        <v>163</v>
      </c>
      <c r="V30" s="142">
        <v>0</v>
      </c>
      <c r="W30" s="142">
        <v>0</v>
      </c>
      <c r="X30" s="142">
        <v>0</v>
      </c>
      <c r="Y30" s="14" t="s">
        <v>1218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17348</v>
      </c>
      <c r="AH30" s="142">
        <v>1734.8</v>
      </c>
      <c r="AI30" s="142">
        <v>1719</v>
      </c>
      <c r="AJ30" s="14" t="s">
        <v>1217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18070</v>
      </c>
      <c r="AS30" s="142">
        <v>1807</v>
      </c>
      <c r="AT30" s="144">
        <v>1736</v>
      </c>
    </row>
    <row r="31" spans="1:47" x14ac:dyDescent="0.2">
      <c r="A31" s="174"/>
      <c r="B31" s="9" t="s">
        <v>35</v>
      </c>
      <c r="C31" s="14" t="s">
        <v>1216</v>
      </c>
      <c r="D31" s="142" t="s">
        <v>106</v>
      </c>
      <c r="E31" s="80">
        <v>0</v>
      </c>
      <c r="F31" s="1" t="s">
        <v>169</v>
      </c>
      <c r="G31" s="80">
        <v>1</v>
      </c>
      <c r="H31" s="1" t="s">
        <v>452</v>
      </c>
      <c r="I31" s="143">
        <v>1</v>
      </c>
      <c r="J31" s="1" t="s">
        <v>452</v>
      </c>
      <c r="K31" s="142">
        <v>79772</v>
      </c>
      <c r="L31" s="142">
        <v>79772</v>
      </c>
      <c r="M31" s="142">
        <v>79772</v>
      </c>
      <c r="N31" s="14" t="s">
        <v>1215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16743</v>
      </c>
      <c r="W31" s="142">
        <v>16743</v>
      </c>
      <c r="X31" s="142">
        <v>16743</v>
      </c>
      <c r="Y31" s="14" t="s">
        <v>1214</v>
      </c>
      <c r="Z31" s="142" t="s">
        <v>106</v>
      </c>
      <c r="AA31" s="80">
        <v>1</v>
      </c>
      <c r="AB31" s="1" t="s">
        <v>516</v>
      </c>
      <c r="AC31" s="80">
        <v>1</v>
      </c>
      <c r="AD31" s="1" t="s">
        <v>516</v>
      </c>
      <c r="AE31" s="143">
        <v>1</v>
      </c>
      <c r="AF31" s="1" t="s">
        <v>529</v>
      </c>
      <c r="AG31" s="142">
        <v>94584</v>
      </c>
      <c r="AH31" s="142">
        <v>9458.4</v>
      </c>
      <c r="AI31" s="142">
        <v>7186</v>
      </c>
      <c r="AJ31" s="14" t="s">
        <v>1213</v>
      </c>
      <c r="AK31" s="142" t="s">
        <v>106</v>
      </c>
      <c r="AL31" s="80">
        <v>1</v>
      </c>
      <c r="AM31" s="1" t="s">
        <v>516</v>
      </c>
      <c r="AN31" s="80">
        <v>1</v>
      </c>
      <c r="AO31" s="1" t="s">
        <v>516</v>
      </c>
      <c r="AP31" s="143">
        <v>1</v>
      </c>
      <c r="AQ31" s="1" t="s">
        <v>529</v>
      </c>
      <c r="AR31" s="142">
        <v>144726</v>
      </c>
      <c r="AS31" s="142">
        <v>14472.6</v>
      </c>
      <c r="AT31" s="144">
        <v>5702.5</v>
      </c>
      <c r="AU31" s="4" t="s">
        <v>102</v>
      </c>
    </row>
    <row r="32" spans="1:47" x14ac:dyDescent="0.2">
      <c r="A32" s="174"/>
      <c r="B32" s="9" t="s">
        <v>36</v>
      </c>
      <c r="C32" s="14" t="s">
        <v>1212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11421</v>
      </c>
      <c r="L32" s="142">
        <v>11421</v>
      </c>
      <c r="M32" s="142">
        <v>11421</v>
      </c>
      <c r="N32" s="14" t="s">
        <v>1211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9590</v>
      </c>
      <c r="W32" s="142">
        <v>9590</v>
      </c>
      <c r="X32" s="142">
        <v>9590</v>
      </c>
      <c r="Y32" s="14" t="s">
        <v>1210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17756</v>
      </c>
      <c r="AH32" s="142">
        <v>1775.6</v>
      </c>
      <c r="AI32" s="142">
        <v>1728</v>
      </c>
      <c r="AJ32" s="14" t="s">
        <v>1209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18707</v>
      </c>
      <c r="AS32" s="142">
        <v>1870.7</v>
      </c>
      <c r="AT32" s="144">
        <v>1846.5</v>
      </c>
      <c r="AU32" s="4" t="s">
        <v>102</v>
      </c>
    </row>
    <row r="33" spans="1:47" x14ac:dyDescent="0.2">
      <c r="A33" s="174"/>
      <c r="B33" s="9" t="s">
        <v>37</v>
      </c>
      <c r="C33" s="14" t="s">
        <v>1208</v>
      </c>
      <c r="D33" s="142" t="s">
        <v>106</v>
      </c>
      <c r="E33" s="80">
        <v>0</v>
      </c>
      <c r="F33" s="1" t="s">
        <v>169</v>
      </c>
      <c r="G33" s="80">
        <v>1</v>
      </c>
      <c r="H33" s="1" t="s">
        <v>452</v>
      </c>
      <c r="I33" s="143">
        <v>1</v>
      </c>
      <c r="J33" s="1" t="s">
        <v>452</v>
      </c>
      <c r="K33" s="142">
        <v>1957</v>
      </c>
      <c r="L33" s="142">
        <v>1957</v>
      </c>
      <c r="M33" s="142">
        <v>1957</v>
      </c>
      <c r="N33" s="14" t="s">
        <v>1207</v>
      </c>
      <c r="O33" s="142" t="s">
        <v>106</v>
      </c>
      <c r="P33" s="80">
        <v>0</v>
      </c>
      <c r="Q33" s="1" t="s">
        <v>169</v>
      </c>
      <c r="R33" s="80">
        <v>1</v>
      </c>
      <c r="S33" s="1" t="s">
        <v>452</v>
      </c>
      <c r="T33" s="143">
        <v>1</v>
      </c>
      <c r="U33" s="1" t="s">
        <v>452</v>
      </c>
      <c r="V33" s="142">
        <v>1805</v>
      </c>
      <c r="W33" s="142">
        <v>1805</v>
      </c>
      <c r="X33" s="142">
        <v>1805</v>
      </c>
      <c r="Y33" s="14" t="s">
        <v>1206</v>
      </c>
      <c r="Z33" s="142" t="s">
        <v>106</v>
      </c>
      <c r="AA33" s="80">
        <v>1</v>
      </c>
      <c r="AB33" s="1" t="s">
        <v>516</v>
      </c>
      <c r="AC33" s="80">
        <v>1</v>
      </c>
      <c r="AD33" s="1" t="s">
        <v>516</v>
      </c>
      <c r="AE33" s="143">
        <v>1</v>
      </c>
      <c r="AF33" s="1" t="s">
        <v>529</v>
      </c>
      <c r="AG33" s="142">
        <v>18434</v>
      </c>
      <c r="AH33" s="142">
        <v>1843.4</v>
      </c>
      <c r="AI33" s="142">
        <v>1723.5</v>
      </c>
      <c r="AJ33" s="14" t="s">
        <v>1205</v>
      </c>
      <c r="AK33" s="142" t="s">
        <v>106</v>
      </c>
      <c r="AL33" s="80">
        <v>1</v>
      </c>
      <c r="AM33" s="1" t="s">
        <v>516</v>
      </c>
      <c r="AN33" s="80">
        <v>1</v>
      </c>
      <c r="AO33" s="1" t="s">
        <v>516</v>
      </c>
      <c r="AP33" s="143">
        <v>1</v>
      </c>
      <c r="AQ33" s="1" t="s">
        <v>529</v>
      </c>
      <c r="AR33" s="142">
        <v>18129</v>
      </c>
      <c r="AS33" s="142">
        <v>1812.9</v>
      </c>
      <c r="AT33" s="144">
        <v>1777</v>
      </c>
      <c r="AU33" s="4" t="s">
        <v>102</v>
      </c>
    </row>
    <row r="34" spans="1:47" x14ac:dyDescent="0.2">
      <c r="A34" s="174"/>
      <c r="B34" s="9" t="s">
        <v>38</v>
      </c>
      <c r="C34" s="14" t="s">
        <v>1204</v>
      </c>
      <c r="D34" s="142" t="s">
        <v>106</v>
      </c>
      <c r="E34" s="80">
        <v>1</v>
      </c>
      <c r="F34" s="1" t="s">
        <v>452</v>
      </c>
      <c r="G34" s="1" t="s">
        <v>164</v>
      </c>
      <c r="H34" s="1" t="s">
        <v>164</v>
      </c>
      <c r="I34" s="143">
        <v>1</v>
      </c>
      <c r="J34" s="1" t="s">
        <v>452</v>
      </c>
      <c r="K34" s="142">
        <v>2776</v>
      </c>
      <c r="L34" s="142">
        <v>2776</v>
      </c>
      <c r="M34" s="142">
        <v>2776</v>
      </c>
      <c r="N34" s="14" t="s">
        <v>1203</v>
      </c>
      <c r="O34" s="142" t="s">
        <v>106</v>
      </c>
      <c r="P34" s="80">
        <v>1</v>
      </c>
      <c r="Q34" s="1" t="s">
        <v>452</v>
      </c>
      <c r="R34" s="1" t="s">
        <v>164</v>
      </c>
      <c r="S34" s="1" t="s">
        <v>164</v>
      </c>
      <c r="T34" s="143">
        <v>1</v>
      </c>
      <c r="U34" s="1" t="s">
        <v>452</v>
      </c>
      <c r="V34" s="142">
        <v>2461</v>
      </c>
      <c r="W34" s="142">
        <v>2461</v>
      </c>
      <c r="X34" s="142">
        <v>2461</v>
      </c>
      <c r="Y34" s="14" t="s">
        <v>1202</v>
      </c>
      <c r="Z34" s="142" t="s">
        <v>106</v>
      </c>
      <c r="AA34" s="80">
        <v>1</v>
      </c>
      <c r="AB34" s="1" t="s">
        <v>529</v>
      </c>
      <c r="AC34" s="1" t="s">
        <v>164</v>
      </c>
      <c r="AD34" s="1" t="s">
        <v>164</v>
      </c>
      <c r="AE34" s="143">
        <v>1</v>
      </c>
      <c r="AF34" s="1" t="s">
        <v>529</v>
      </c>
      <c r="AG34" s="142">
        <v>19721</v>
      </c>
      <c r="AH34" s="142">
        <v>1972.1</v>
      </c>
      <c r="AI34" s="142">
        <v>1789</v>
      </c>
      <c r="AJ34" s="14" t="s">
        <v>1201</v>
      </c>
      <c r="AK34" s="142" t="s">
        <v>106</v>
      </c>
      <c r="AL34" s="80">
        <v>1</v>
      </c>
      <c r="AM34" s="1" t="s">
        <v>529</v>
      </c>
      <c r="AN34" s="1" t="s">
        <v>164</v>
      </c>
      <c r="AO34" s="1" t="s">
        <v>164</v>
      </c>
      <c r="AP34" s="143">
        <v>1</v>
      </c>
      <c r="AQ34" s="1" t="s">
        <v>529</v>
      </c>
      <c r="AR34" s="142">
        <v>20297</v>
      </c>
      <c r="AS34" s="142">
        <v>2029.7</v>
      </c>
      <c r="AT34" s="144">
        <v>1966.5</v>
      </c>
      <c r="AU34" s="4" t="s">
        <v>102</v>
      </c>
    </row>
    <row r="35" spans="1:47" x14ac:dyDescent="0.2">
      <c r="A35" s="174"/>
      <c r="B35" s="9" t="s">
        <v>39</v>
      </c>
      <c r="C35" s="14" t="s">
        <v>1200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2108</v>
      </c>
      <c r="L35" s="142">
        <v>2108</v>
      </c>
      <c r="M35" s="142">
        <v>2108</v>
      </c>
      <c r="N35" s="14" t="s">
        <v>1199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2006</v>
      </c>
      <c r="W35" s="142">
        <v>2006</v>
      </c>
      <c r="X35" s="142">
        <v>2006</v>
      </c>
      <c r="Y35" s="14" t="s">
        <v>1198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17933</v>
      </c>
      <c r="AH35" s="142">
        <v>1793.3</v>
      </c>
      <c r="AI35" s="142">
        <v>1743.5</v>
      </c>
      <c r="AJ35" s="14" t="s">
        <v>1197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18109</v>
      </c>
      <c r="AS35" s="142">
        <v>1810.9</v>
      </c>
      <c r="AT35" s="144">
        <v>1744.5</v>
      </c>
      <c r="AU35" s="4" t="s">
        <v>102</v>
      </c>
    </row>
    <row r="36" spans="1:47" x14ac:dyDescent="0.2">
      <c r="A36" s="174"/>
      <c r="B36" s="9" t="s">
        <v>40</v>
      </c>
      <c r="C36" s="14" t="s">
        <v>1196</v>
      </c>
      <c r="D36" s="142" t="s">
        <v>106</v>
      </c>
      <c r="E36" s="80">
        <v>0</v>
      </c>
      <c r="F36" s="1" t="s">
        <v>169</v>
      </c>
      <c r="G36" s="80">
        <v>1</v>
      </c>
      <c r="H36" s="1" t="s">
        <v>452</v>
      </c>
      <c r="I36" s="143">
        <v>1</v>
      </c>
      <c r="J36" s="1" t="s">
        <v>452</v>
      </c>
      <c r="K36" s="142">
        <v>1905</v>
      </c>
      <c r="L36" s="142">
        <v>1905</v>
      </c>
      <c r="M36" s="142">
        <v>1905</v>
      </c>
      <c r="N36" s="14" t="s">
        <v>1195</v>
      </c>
      <c r="O36" s="142" t="s">
        <v>106</v>
      </c>
      <c r="P36" s="80">
        <v>0</v>
      </c>
      <c r="Q36" s="1" t="s">
        <v>169</v>
      </c>
      <c r="R36" s="80">
        <v>1</v>
      </c>
      <c r="S36" s="1" t="s">
        <v>452</v>
      </c>
      <c r="T36" s="143">
        <v>1</v>
      </c>
      <c r="U36" s="1" t="s">
        <v>452</v>
      </c>
      <c r="V36" s="142">
        <v>1849</v>
      </c>
      <c r="W36" s="142">
        <v>1849</v>
      </c>
      <c r="X36" s="142">
        <v>1849</v>
      </c>
      <c r="Y36" s="14" t="s">
        <v>1194</v>
      </c>
      <c r="Z36" s="142" t="s">
        <v>106</v>
      </c>
      <c r="AA36" s="80">
        <v>1</v>
      </c>
      <c r="AB36" s="1" t="s">
        <v>516</v>
      </c>
      <c r="AC36" s="80">
        <v>1</v>
      </c>
      <c r="AD36" s="1" t="s">
        <v>516</v>
      </c>
      <c r="AE36" s="143">
        <v>1</v>
      </c>
      <c r="AF36" s="1" t="s">
        <v>529</v>
      </c>
      <c r="AG36" s="142">
        <v>17540</v>
      </c>
      <c r="AH36" s="142">
        <v>1754</v>
      </c>
      <c r="AI36" s="142">
        <v>1752</v>
      </c>
      <c r="AJ36" s="14" t="s">
        <v>1193</v>
      </c>
      <c r="AK36" s="142" t="s">
        <v>106</v>
      </c>
      <c r="AL36" s="80">
        <v>1</v>
      </c>
      <c r="AM36" s="1" t="s">
        <v>516</v>
      </c>
      <c r="AN36" s="80">
        <v>1</v>
      </c>
      <c r="AO36" s="1" t="s">
        <v>516</v>
      </c>
      <c r="AP36" s="143">
        <v>1</v>
      </c>
      <c r="AQ36" s="1" t="s">
        <v>529</v>
      </c>
      <c r="AR36" s="142">
        <v>17828</v>
      </c>
      <c r="AS36" s="142">
        <v>1782.8</v>
      </c>
      <c r="AT36" s="144">
        <v>1783</v>
      </c>
    </row>
    <row r="37" spans="1:47" x14ac:dyDescent="0.2">
      <c r="A37" s="174"/>
      <c r="B37" s="9" t="s">
        <v>41</v>
      </c>
      <c r="C37" s="14" t="s">
        <v>1192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1932</v>
      </c>
      <c r="L37" s="142">
        <v>1932</v>
      </c>
      <c r="M37" s="142">
        <v>1932</v>
      </c>
      <c r="N37" s="14" t="s">
        <v>1191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1845</v>
      </c>
      <c r="W37" s="142">
        <v>1845</v>
      </c>
      <c r="X37" s="142">
        <v>1845</v>
      </c>
      <c r="Y37" s="14" t="s">
        <v>1190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17658</v>
      </c>
      <c r="AH37" s="142">
        <v>1765.8</v>
      </c>
      <c r="AI37" s="142">
        <v>1752</v>
      </c>
      <c r="AJ37" s="14" t="s">
        <v>1189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18122</v>
      </c>
      <c r="AS37" s="142">
        <v>1812.2</v>
      </c>
      <c r="AT37" s="144">
        <v>1774</v>
      </c>
    </row>
    <row r="38" spans="1:47" x14ac:dyDescent="0.2">
      <c r="A38" s="174"/>
      <c r="B38" s="9" t="s">
        <v>42</v>
      </c>
      <c r="C38" s="14" t="s">
        <v>1188</v>
      </c>
      <c r="D38" s="142" t="s">
        <v>106</v>
      </c>
      <c r="E38" s="80">
        <v>0</v>
      </c>
      <c r="F38" s="1" t="s">
        <v>169</v>
      </c>
      <c r="G38" s="80">
        <v>1</v>
      </c>
      <c r="H38" s="1" t="s">
        <v>452</v>
      </c>
      <c r="I38" s="143">
        <v>1</v>
      </c>
      <c r="J38" s="1" t="s">
        <v>452</v>
      </c>
      <c r="K38" s="142">
        <v>1718</v>
      </c>
      <c r="L38" s="142">
        <v>1718</v>
      </c>
      <c r="M38" s="142">
        <v>1718</v>
      </c>
      <c r="N38" s="14" t="s">
        <v>1187</v>
      </c>
      <c r="O38" s="142" t="s">
        <v>106</v>
      </c>
      <c r="P38" s="80">
        <v>0</v>
      </c>
      <c r="Q38" s="1" t="s">
        <v>169</v>
      </c>
      <c r="R38" s="80">
        <v>1</v>
      </c>
      <c r="S38" s="1" t="s">
        <v>452</v>
      </c>
      <c r="T38" s="143">
        <v>1</v>
      </c>
      <c r="U38" s="1" t="s">
        <v>452</v>
      </c>
      <c r="V38" s="142">
        <v>1778</v>
      </c>
      <c r="W38" s="142">
        <v>1778</v>
      </c>
      <c r="X38" s="142">
        <v>1778</v>
      </c>
      <c r="Y38" s="14" t="s">
        <v>1186</v>
      </c>
      <c r="Z38" s="142" t="s">
        <v>106</v>
      </c>
      <c r="AA38" s="80">
        <v>1</v>
      </c>
      <c r="AB38" s="1" t="s">
        <v>516</v>
      </c>
      <c r="AC38" s="80">
        <v>1</v>
      </c>
      <c r="AD38" s="1" t="s">
        <v>516</v>
      </c>
      <c r="AE38" s="143">
        <v>1</v>
      </c>
      <c r="AF38" s="1" t="s">
        <v>529</v>
      </c>
      <c r="AG38" s="142">
        <v>17198</v>
      </c>
      <c r="AH38" s="142">
        <v>1719.8</v>
      </c>
      <c r="AI38" s="142">
        <v>1716</v>
      </c>
      <c r="AJ38" s="14" t="s">
        <v>1185</v>
      </c>
      <c r="AK38" s="142" t="s">
        <v>106</v>
      </c>
      <c r="AL38" s="80">
        <v>1</v>
      </c>
      <c r="AM38" s="1" t="s">
        <v>516</v>
      </c>
      <c r="AN38" s="80">
        <v>1</v>
      </c>
      <c r="AO38" s="1" t="s">
        <v>516</v>
      </c>
      <c r="AP38" s="143">
        <v>1</v>
      </c>
      <c r="AQ38" s="1" t="s">
        <v>529</v>
      </c>
      <c r="AR38" s="142">
        <v>17718</v>
      </c>
      <c r="AS38" s="142">
        <v>1771.8</v>
      </c>
      <c r="AT38" s="144">
        <v>1742</v>
      </c>
      <c r="AU38" s="4" t="s">
        <v>97</v>
      </c>
    </row>
    <row r="39" spans="1:47" x14ac:dyDescent="0.2">
      <c r="A39" s="174"/>
      <c r="B39" s="9" t="s">
        <v>43</v>
      </c>
      <c r="C39" s="14" t="s">
        <v>1184</v>
      </c>
      <c r="D39" s="142" t="s">
        <v>106</v>
      </c>
      <c r="E39" s="80">
        <v>1</v>
      </c>
      <c r="F39" s="1" t="s">
        <v>452</v>
      </c>
      <c r="G39" s="1" t="s">
        <v>164</v>
      </c>
      <c r="H39" s="1" t="s">
        <v>164</v>
      </c>
      <c r="I39" s="143">
        <v>1</v>
      </c>
      <c r="J39" s="1" t="s">
        <v>452</v>
      </c>
      <c r="K39" s="142">
        <v>2110</v>
      </c>
      <c r="L39" s="142">
        <v>2110</v>
      </c>
      <c r="M39" s="142">
        <v>2110</v>
      </c>
      <c r="N39" s="14" t="s">
        <v>1183</v>
      </c>
      <c r="O39" s="142" t="s">
        <v>106</v>
      </c>
      <c r="P39" s="80">
        <v>1</v>
      </c>
      <c r="Q39" s="1" t="s">
        <v>452</v>
      </c>
      <c r="R39" s="1" t="s">
        <v>164</v>
      </c>
      <c r="S39" s="1" t="s">
        <v>164</v>
      </c>
      <c r="T39" s="143">
        <v>1</v>
      </c>
      <c r="U39" s="1" t="s">
        <v>452</v>
      </c>
      <c r="V39" s="142">
        <v>1783</v>
      </c>
      <c r="W39" s="142">
        <v>1783</v>
      </c>
      <c r="X39" s="142">
        <v>1783</v>
      </c>
      <c r="Y39" s="14" t="s">
        <v>1182</v>
      </c>
      <c r="Z39" s="142" t="s">
        <v>106</v>
      </c>
      <c r="AA39" s="80">
        <v>1</v>
      </c>
      <c r="AB39" s="1" t="s">
        <v>529</v>
      </c>
      <c r="AC39" s="1" t="s">
        <v>164</v>
      </c>
      <c r="AD39" s="1" t="s">
        <v>164</v>
      </c>
      <c r="AE39" s="143">
        <v>1</v>
      </c>
      <c r="AF39" s="1" t="s">
        <v>529</v>
      </c>
      <c r="AG39" s="142">
        <v>17232</v>
      </c>
      <c r="AH39" s="142">
        <v>1723.2</v>
      </c>
      <c r="AI39" s="142">
        <v>1718</v>
      </c>
      <c r="AJ39" s="14" t="s">
        <v>1181</v>
      </c>
      <c r="AK39" s="142" t="s">
        <v>106</v>
      </c>
      <c r="AL39" s="80">
        <v>1</v>
      </c>
      <c r="AM39" s="1" t="s">
        <v>529</v>
      </c>
      <c r="AN39" s="1" t="s">
        <v>164</v>
      </c>
      <c r="AO39" s="1" t="s">
        <v>164</v>
      </c>
      <c r="AP39" s="143">
        <v>1</v>
      </c>
      <c r="AQ39" s="1" t="s">
        <v>529</v>
      </c>
      <c r="AR39" s="142">
        <v>17569</v>
      </c>
      <c r="AS39" s="142">
        <v>1756.9</v>
      </c>
      <c r="AT39" s="144">
        <v>1730.5</v>
      </c>
      <c r="AU39" s="4" t="s">
        <v>97</v>
      </c>
    </row>
    <row r="40" spans="1:47" x14ac:dyDescent="0.2">
      <c r="A40" s="174"/>
      <c r="B40" s="9" t="s">
        <v>44</v>
      </c>
      <c r="C40" s="14" t="s">
        <v>1180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1179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1178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1177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4">
        <v>0</v>
      </c>
      <c r="AU40" s="4" t="s">
        <v>94</v>
      </c>
    </row>
    <row r="41" spans="1:47" x14ac:dyDescent="0.2">
      <c r="A41" s="174"/>
      <c r="B41" s="9" t="s">
        <v>45</v>
      </c>
      <c r="C41" s="14" t="s">
        <v>1174</v>
      </c>
      <c r="D41" s="142" t="s">
        <v>106</v>
      </c>
      <c r="E41" s="80">
        <v>0</v>
      </c>
      <c r="F41" s="1" t="s">
        <v>163</v>
      </c>
      <c r="G41" s="1" t="s">
        <v>164</v>
      </c>
      <c r="H41" s="1" t="s">
        <v>164</v>
      </c>
      <c r="I41" s="143">
        <v>0</v>
      </c>
      <c r="J41" s="1" t="s">
        <v>163</v>
      </c>
      <c r="K41" s="142">
        <v>0</v>
      </c>
      <c r="L41" s="142">
        <v>0</v>
      </c>
      <c r="M41" s="142">
        <v>0</v>
      </c>
      <c r="N41" s="14" t="s">
        <v>1173</v>
      </c>
      <c r="O41" s="142" t="s">
        <v>106</v>
      </c>
      <c r="P41" s="80">
        <v>0</v>
      </c>
      <c r="Q41" s="1" t="s">
        <v>1172</v>
      </c>
      <c r="R41" s="1" t="s">
        <v>164</v>
      </c>
      <c r="S41" s="1" t="s">
        <v>164</v>
      </c>
      <c r="T41" s="143">
        <v>0</v>
      </c>
      <c r="U41" s="1" t="s">
        <v>1172</v>
      </c>
      <c r="V41" s="142">
        <v>0</v>
      </c>
      <c r="W41" s="142">
        <v>0</v>
      </c>
      <c r="X41" s="142">
        <v>0</v>
      </c>
      <c r="Y41" s="14" t="s">
        <v>1171</v>
      </c>
      <c r="Z41" s="142" t="s">
        <v>106</v>
      </c>
      <c r="AA41" s="80">
        <v>0.2</v>
      </c>
      <c r="AB41" s="1" t="s">
        <v>930</v>
      </c>
      <c r="AC41" s="1" t="s">
        <v>164</v>
      </c>
      <c r="AD41" s="1" t="s">
        <v>164</v>
      </c>
      <c r="AE41" s="143">
        <v>0.2</v>
      </c>
      <c r="AF41" s="1" t="s">
        <v>930</v>
      </c>
      <c r="AG41" s="142">
        <v>220777</v>
      </c>
      <c r="AH41" s="142">
        <v>110388.5</v>
      </c>
      <c r="AI41" s="142">
        <v>110388.5</v>
      </c>
      <c r="AJ41" s="14" t="s">
        <v>1170</v>
      </c>
      <c r="AK41" s="142" t="s">
        <v>106</v>
      </c>
      <c r="AL41" s="80">
        <v>0.125</v>
      </c>
      <c r="AM41" s="1" t="s">
        <v>1169</v>
      </c>
      <c r="AN41" s="1" t="s">
        <v>164</v>
      </c>
      <c r="AO41" s="1" t="s">
        <v>164</v>
      </c>
      <c r="AP41" s="143">
        <v>0.125</v>
      </c>
      <c r="AQ41" s="1" t="s">
        <v>1169</v>
      </c>
      <c r="AR41" s="142">
        <v>307949</v>
      </c>
      <c r="AS41" s="142">
        <v>61589.8</v>
      </c>
      <c r="AT41" s="144">
        <v>4500</v>
      </c>
      <c r="AU41" s="4" t="s">
        <v>94</v>
      </c>
    </row>
    <row r="42" spans="1:47" x14ac:dyDescent="0.2">
      <c r="A42" s="174"/>
      <c r="B42" s="9" t="s">
        <v>46</v>
      </c>
      <c r="C42" s="14" t="s">
        <v>1168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1167</v>
      </c>
      <c r="O42" s="142" t="s">
        <v>106</v>
      </c>
      <c r="P42" s="80">
        <v>0</v>
      </c>
      <c r="Q42" s="1" t="s">
        <v>939</v>
      </c>
      <c r="R42" s="80">
        <v>0</v>
      </c>
      <c r="S42" s="1" t="s">
        <v>163</v>
      </c>
      <c r="T42" s="143">
        <v>0</v>
      </c>
      <c r="U42" s="1" t="s">
        <v>1161</v>
      </c>
      <c r="V42" s="142">
        <v>0</v>
      </c>
      <c r="W42" s="142">
        <v>0</v>
      </c>
      <c r="X42" s="142">
        <v>0</v>
      </c>
      <c r="Y42" s="14" t="s">
        <v>1166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10775</v>
      </c>
      <c r="AH42" s="142">
        <v>2155</v>
      </c>
      <c r="AI42" s="142">
        <v>2152</v>
      </c>
      <c r="AJ42" s="14" t="s">
        <v>1165</v>
      </c>
      <c r="AK42" s="142" t="s">
        <v>106</v>
      </c>
      <c r="AL42" s="80">
        <v>0</v>
      </c>
      <c r="AM42" s="1" t="s">
        <v>1164</v>
      </c>
      <c r="AN42" s="80">
        <v>0</v>
      </c>
      <c r="AO42" s="1" t="s">
        <v>218</v>
      </c>
      <c r="AP42" s="143">
        <v>0</v>
      </c>
      <c r="AQ42" s="1" t="s">
        <v>1158</v>
      </c>
      <c r="AR42" s="142">
        <v>0</v>
      </c>
      <c r="AS42" s="142">
        <v>0</v>
      </c>
      <c r="AT42" s="144">
        <v>0</v>
      </c>
      <c r="AU42" s="4" t="s">
        <v>98</v>
      </c>
    </row>
    <row r="43" spans="1:47" x14ac:dyDescent="0.2">
      <c r="A43" s="174"/>
      <c r="B43" s="9" t="s">
        <v>47</v>
      </c>
      <c r="C43" s="14" t="s">
        <v>1163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1162</v>
      </c>
      <c r="O43" s="142" t="s">
        <v>106</v>
      </c>
      <c r="P43" s="80">
        <v>0</v>
      </c>
      <c r="Q43" s="1" t="s">
        <v>1161</v>
      </c>
      <c r="R43" s="1" t="s">
        <v>164</v>
      </c>
      <c r="S43" s="1" t="s">
        <v>164</v>
      </c>
      <c r="T43" s="143">
        <v>0</v>
      </c>
      <c r="U43" s="1" t="s">
        <v>1161</v>
      </c>
      <c r="V43" s="142">
        <v>0</v>
      </c>
      <c r="W43" s="142">
        <v>0</v>
      </c>
      <c r="X43" s="142">
        <v>0</v>
      </c>
      <c r="Y43" s="14" t="s">
        <v>1160</v>
      </c>
      <c r="Z43" s="142" t="s">
        <v>106</v>
      </c>
      <c r="AA43" s="80">
        <v>0.6</v>
      </c>
      <c r="AB43" s="1" t="s">
        <v>963</v>
      </c>
      <c r="AC43" s="1" t="s">
        <v>164</v>
      </c>
      <c r="AD43" s="1" t="s">
        <v>164</v>
      </c>
      <c r="AE43" s="143">
        <v>0.6</v>
      </c>
      <c r="AF43" s="1" t="s">
        <v>963</v>
      </c>
      <c r="AG43" s="142">
        <v>13943</v>
      </c>
      <c r="AH43" s="142">
        <v>2323.83</v>
      </c>
      <c r="AI43" s="142">
        <v>2273</v>
      </c>
      <c r="AJ43" s="14" t="s">
        <v>1159</v>
      </c>
      <c r="AK43" s="142" t="s">
        <v>106</v>
      </c>
      <c r="AL43" s="80">
        <v>0</v>
      </c>
      <c r="AM43" s="1" t="s">
        <v>1158</v>
      </c>
      <c r="AN43" s="1" t="s">
        <v>164</v>
      </c>
      <c r="AO43" s="1" t="s">
        <v>164</v>
      </c>
      <c r="AP43" s="143">
        <v>0</v>
      </c>
      <c r="AQ43" s="1" t="s">
        <v>1158</v>
      </c>
      <c r="AR43" s="142">
        <v>0</v>
      </c>
      <c r="AS43" s="142">
        <v>0</v>
      </c>
      <c r="AT43" s="144">
        <v>0</v>
      </c>
      <c r="AU43" s="4" t="s">
        <v>98</v>
      </c>
    </row>
    <row r="44" spans="1:47" x14ac:dyDescent="0.2">
      <c r="A44" s="174"/>
      <c r="B44" s="9" t="s">
        <v>48</v>
      </c>
      <c r="C44" s="14" t="s">
        <v>1157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2232</v>
      </c>
      <c r="L44" s="142">
        <v>2232</v>
      </c>
      <c r="M44" s="142">
        <v>2232</v>
      </c>
      <c r="N44" s="14" t="s">
        <v>1156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3823</v>
      </c>
      <c r="W44" s="142">
        <v>1911.5</v>
      </c>
      <c r="X44" s="142">
        <v>1911.5</v>
      </c>
      <c r="Y44" s="14" t="s">
        <v>1155</v>
      </c>
      <c r="Z44" s="142" t="s">
        <v>106</v>
      </c>
      <c r="AA44" s="80">
        <v>1</v>
      </c>
      <c r="AB44" s="1" t="s">
        <v>516</v>
      </c>
      <c r="AC44" s="80">
        <v>1</v>
      </c>
      <c r="AD44" s="1" t="s">
        <v>516</v>
      </c>
      <c r="AE44" s="143">
        <v>1</v>
      </c>
      <c r="AF44" s="1" t="s">
        <v>529</v>
      </c>
      <c r="AG44" s="142">
        <v>17067</v>
      </c>
      <c r="AH44" s="142">
        <v>1706.7</v>
      </c>
      <c r="AI44" s="142">
        <v>1710</v>
      </c>
      <c r="AJ44" s="14" t="s">
        <v>1154</v>
      </c>
      <c r="AK44" s="142" t="s">
        <v>106</v>
      </c>
      <c r="AL44" s="80">
        <v>1</v>
      </c>
      <c r="AM44" s="1" t="s">
        <v>529</v>
      </c>
      <c r="AN44" s="80">
        <v>1</v>
      </c>
      <c r="AO44" s="1" t="s">
        <v>529</v>
      </c>
      <c r="AP44" s="143">
        <v>1</v>
      </c>
      <c r="AQ44" s="1" t="s">
        <v>1070</v>
      </c>
      <c r="AR44" s="142">
        <v>36524</v>
      </c>
      <c r="AS44" s="142">
        <v>1826.2</v>
      </c>
      <c r="AT44" s="144">
        <v>1743</v>
      </c>
    </row>
    <row r="45" spans="1:47" x14ac:dyDescent="0.2">
      <c r="A45" s="174"/>
      <c r="B45" s="9" t="s">
        <v>49</v>
      </c>
      <c r="C45" s="14" t="s">
        <v>1153</v>
      </c>
      <c r="D45" s="142" t="s">
        <v>106</v>
      </c>
      <c r="E45" s="80">
        <v>0</v>
      </c>
      <c r="F45" s="1" t="s">
        <v>163</v>
      </c>
      <c r="G45" s="1" t="s">
        <v>164</v>
      </c>
      <c r="H45" s="1" t="s">
        <v>164</v>
      </c>
      <c r="I45" s="143">
        <v>0</v>
      </c>
      <c r="J45" s="1" t="s">
        <v>163</v>
      </c>
      <c r="K45" s="142">
        <v>0</v>
      </c>
      <c r="L45" s="142">
        <v>0</v>
      </c>
      <c r="M45" s="142">
        <v>0</v>
      </c>
      <c r="N45" s="14" t="s">
        <v>1152</v>
      </c>
      <c r="O45" s="142" t="s">
        <v>106</v>
      </c>
      <c r="P45" s="80">
        <v>0</v>
      </c>
      <c r="Q45" s="1" t="s">
        <v>939</v>
      </c>
      <c r="R45" s="1" t="s">
        <v>164</v>
      </c>
      <c r="S45" s="1" t="s">
        <v>164</v>
      </c>
      <c r="T45" s="143">
        <v>0</v>
      </c>
      <c r="U45" s="1" t="s">
        <v>939</v>
      </c>
      <c r="V45" s="142">
        <v>0</v>
      </c>
      <c r="W45" s="142">
        <v>0</v>
      </c>
      <c r="X45" s="142">
        <v>0</v>
      </c>
      <c r="Y45" s="14" t="s">
        <v>1151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23896</v>
      </c>
      <c r="AH45" s="142">
        <v>2389.6</v>
      </c>
      <c r="AI45" s="142">
        <v>1710.5</v>
      </c>
      <c r="AJ45" s="14" t="s">
        <v>1150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49794</v>
      </c>
      <c r="AS45" s="142">
        <v>2489.6999999999998</v>
      </c>
      <c r="AT45" s="144">
        <v>1768</v>
      </c>
    </row>
    <row r="46" spans="1:47" x14ac:dyDescent="0.2">
      <c r="A46" s="174"/>
      <c r="B46" s="9" t="s">
        <v>50</v>
      </c>
      <c r="C46" s="14" t="s">
        <v>1149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1886</v>
      </c>
      <c r="L46" s="142">
        <v>1886</v>
      </c>
      <c r="M46" s="142">
        <v>1886</v>
      </c>
      <c r="N46" s="14" t="s">
        <v>1148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1147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17397</v>
      </c>
      <c r="AH46" s="142">
        <v>1739.7</v>
      </c>
      <c r="AI46" s="142">
        <v>1740.5</v>
      </c>
      <c r="AJ46" s="14" t="s">
        <v>1146</v>
      </c>
      <c r="AK46" s="142" t="s">
        <v>106</v>
      </c>
      <c r="AL46" s="80">
        <v>1</v>
      </c>
      <c r="AM46" s="1" t="s">
        <v>516</v>
      </c>
      <c r="AN46" s="80">
        <v>0</v>
      </c>
      <c r="AO46" s="1" t="s">
        <v>218</v>
      </c>
      <c r="AP46" s="143">
        <v>0.5</v>
      </c>
      <c r="AQ46" s="1" t="s">
        <v>511</v>
      </c>
      <c r="AR46" s="142">
        <v>8956</v>
      </c>
      <c r="AS46" s="142">
        <v>1791.2</v>
      </c>
      <c r="AT46" s="144">
        <v>1796</v>
      </c>
    </row>
    <row r="47" spans="1:47" x14ac:dyDescent="0.2">
      <c r="A47" s="174"/>
      <c r="B47" s="9" t="s">
        <v>51</v>
      </c>
      <c r="C47" s="14" t="s">
        <v>1145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4862</v>
      </c>
      <c r="L47" s="142">
        <v>4862</v>
      </c>
      <c r="M47" s="142">
        <v>4862</v>
      </c>
      <c r="N47" s="14" t="s">
        <v>1144</v>
      </c>
      <c r="O47" s="142" t="s">
        <v>106</v>
      </c>
      <c r="P47" s="80">
        <v>1</v>
      </c>
      <c r="Q47" s="1" t="s">
        <v>1073</v>
      </c>
      <c r="R47" s="1" t="s">
        <v>164</v>
      </c>
      <c r="S47" s="1" t="s">
        <v>164</v>
      </c>
      <c r="T47" s="143">
        <v>1</v>
      </c>
      <c r="U47" s="1" t="s">
        <v>1073</v>
      </c>
      <c r="V47" s="142">
        <v>5930</v>
      </c>
      <c r="W47" s="142">
        <v>2965</v>
      </c>
      <c r="X47" s="142">
        <v>2965</v>
      </c>
      <c r="Y47" s="14" t="s">
        <v>1143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17374</v>
      </c>
      <c r="AH47" s="142">
        <v>1737.4</v>
      </c>
      <c r="AI47" s="142">
        <v>1740.5</v>
      </c>
      <c r="AJ47" s="14" t="s">
        <v>1142</v>
      </c>
      <c r="AK47" s="142" t="s">
        <v>106</v>
      </c>
      <c r="AL47" s="80">
        <v>1</v>
      </c>
      <c r="AM47" s="1" t="s">
        <v>1070</v>
      </c>
      <c r="AN47" s="1" t="s">
        <v>164</v>
      </c>
      <c r="AO47" s="1" t="s">
        <v>164</v>
      </c>
      <c r="AP47" s="143">
        <v>1</v>
      </c>
      <c r="AQ47" s="1" t="s">
        <v>1070</v>
      </c>
      <c r="AR47" s="142">
        <v>36341</v>
      </c>
      <c r="AS47" s="142">
        <v>1817.05</v>
      </c>
      <c r="AT47" s="144">
        <v>1781.5</v>
      </c>
    </row>
    <row r="48" spans="1:47" x14ac:dyDescent="0.2">
      <c r="A48" s="174"/>
      <c r="B48" s="9" t="s">
        <v>52</v>
      </c>
      <c r="C48" s="14" t="s">
        <v>1141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1982</v>
      </c>
      <c r="L48" s="142">
        <v>1982</v>
      </c>
      <c r="M48" s="142">
        <v>1982</v>
      </c>
      <c r="N48" s="14" t="s">
        <v>1140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1989</v>
      </c>
      <c r="W48" s="142">
        <v>1989</v>
      </c>
      <c r="X48" s="142">
        <v>1989</v>
      </c>
      <c r="Y48" s="14" t="s">
        <v>1139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29385</v>
      </c>
      <c r="AH48" s="142">
        <v>2938.5</v>
      </c>
      <c r="AI48" s="142">
        <v>1760</v>
      </c>
      <c r="AJ48" s="14" t="s">
        <v>1138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26378</v>
      </c>
      <c r="AS48" s="142">
        <v>2637.8</v>
      </c>
      <c r="AT48" s="144">
        <v>1842</v>
      </c>
    </row>
    <row r="49" spans="1:47" x14ac:dyDescent="0.2">
      <c r="A49" s="174"/>
      <c r="B49" s="9" t="s">
        <v>53</v>
      </c>
      <c r="C49" s="14" t="s">
        <v>1137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8406</v>
      </c>
      <c r="L49" s="142">
        <v>8406</v>
      </c>
      <c r="M49" s="142">
        <v>8406</v>
      </c>
      <c r="N49" s="14" t="s">
        <v>1136</v>
      </c>
      <c r="O49" s="142" t="s">
        <v>106</v>
      </c>
      <c r="P49" s="80">
        <v>1</v>
      </c>
      <c r="Q49" s="1" t="s">
        <v>452</v>
      </c>
      <c r="R49" s="1" t="s">
        <v>164</v>
      </c>
      <c r="S49" s="1" t="s">
        <v>164</v>
      </c>
      <c r="T49" s="143">
        <v>1</v>
      </c>
      <c r="U49" s="1" t="s">
        <v>452</v>
      </c>
      <c r="V49" s="142">
        <v>10620</v>
      </c>
      <c r="W49" s="142">
        <v>10620</v>
      </c>
      <c r="X49" s="142">
        <v>10620</v>
      </c>
      <c r="Y49" s="14" t="s">
        <v>1135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62338</v>
      </c>
      <c r="AH49" s="142">
        <v>6233.8</v>
      </c>
      <c r="AI49" s="142">
        <v>6567</v>
      </c>
      <c r="AJ49" s="14" t="s">
        <v>1134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82906</v>
      </c>
      <c r="AS49" s="142">
        <v>8290.6</v>
      </c>
      <c r="AT49" s="144">
        <v>9260</v>
      </c>
    </row>
    <row r="50" spans="1:47" x14ac:dyDescent="0.2">
      <c r="A50" s="174"/>
      <c r="B50" s="10" t="s">
        <v>54</v>
      </c>
      <c r="C50" s="14" t="s">
        <v>1133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1132</v>
      </c>
      <c r="O50" s="142" t="s">
        <v>106</v>
      </c>
      <c r="P50" s="80">
        <v>1</v>
      </c>
      <c r="Q50" s="1" t="s">
        <v>452</v>
      </c>
      <c r="R50" s="80">
        <v>0</v>
      </c>
      <c r="S50" s="1" t="s">
        <v>163</v>
      </c>
      <c r="T50" s="143">
        <v>0.5</v>
      </c>
      <c r="U50" s="1" t="s">
        <v>1108</v>
      </c>
      <c r="V50" s="142">
        <v>2098</v>
      </c>
      <c r="W50" s="142">
        <v>2098</v>
      </c>
      <c r="X50" s="142">
        <v>2098</v>
      </c>
      <c r="Y50" s="14" t="s">
        <v>1131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1130</v>
      </c>
      <c r="AK50" s="142" t="s">
        <v>106</v>
      </c>
      <c r="AL50" s="80">
        <v>0.66669999999999996</v>
      </c>
      <c r="AM50" s="1" t="s">
        <v>1129</v>
      </c>
      <c r="AN50" s="80">
        <v>0</v>
      </c>
      <c r="AO50" s="1" t="s">
        <v>218</v>
      </c>
      <c r="AP50" s="143">
        <v>0.5</v>
      </c>
      <c r="AQ50" s="1" t="s">
        <v>936</v>
      </c>
      <c r="AR50" s="142">
        <v>19024</v>
      </c>
      <c r="AS50" s="142">
        <v>1902.4</v>
      </c>
      <c r="AT50" s="144">
        <v>1903</v>
      </c>
      <c r="AU50" s="4" t="s">
        <v>99</v>
      </c>
    </row>
    <row r="51" spans="1:47" x14ac:dyDescent="0.2">
      <c r="A51" s="174"/>
      <c r="B51" s="10" t="s">
        <v>55</v>
      </c>
      <c r="C51" s="14" t="s">
        <v>1128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1127</v>
      </c>
      <c r="O51" s="142" t="s">
        <v>106</v>
      </c>
      <c r="P51" s="80">
        <v>0.5</v>
      </c>
      <c r="Q51" s="1" t="s">
        <v>1108</v>
      </c>
      <c r="R51" s="1" t="s">
        <v>164</v>
      </c>
      <c r="S51" s="1" t="s">
        <v>164</v>
      </c>
      <c r="T51" s="143">
        <v>0.5</v>
      </c>
      <c r="U51" s="1" t="s">
        <v>1108</v>
      </c>
      <c r="V51" s="142">
        <v>2059</v>
      </c>
      <c r="W51" s="142">
        <v>2059</v>
      </c>
      <c r="X51" s="142">
        <v>2059</v>
      </c>
      <c r="Y51" s="14" t="s">
        <v>1126</v>
      </c>
      <c r="Z51" s="142" t="s">
        <v>106</v>
      </c>
      <c r="AA51" s="80">
        <v>0</v>
      </c>
      <c r="AB51" s="1" t="s">
        <v>213</v>
      </c>
      <c r="AC51" s="1" t="s">
        <v>164</v>
      </c>
      <c r="AD51" s="1" t="s">
        <v>164</v>
      </c>
      <c r="AE51" s="143">
        <v>0</v>
      </c>
      <c r="AF51" s="1" t="s">
        <v>213</v>
      </c>
      <c r="AG51" s="142">
        <v>0</v>
      </c>
      <c r="AH51" s="142">
        <v>0</v>
      </c>
      <c r="AI51" s="142">
        <v>0</v>
      </c>
      <c r="AJ51" s="14" t="s">
        <v>1125</v>
      </c>
      <c r="AK51" s="142" t="s">
        <v>106</v>
      </c>
      <c r="AL51" s="80">
        <v>0.5</v>
      </c>
      <c r="AM51" s="1" t="s">
        <v>936</v>
      </c>
      <c r="AN51" s="1" t="s">
        <v>164</v>
      </c>
      <c r="AO51" s="1" t="s">
        <v>164</v>
      </c>
      <c r="AP51" s="143">
        <v>0.5</v>
      </c>
      <c r="AQ51" s="1" t="s">
        <v>936</v>
      </c>
      <c r="AR51" s="142">
        <v>19661</v>
      </c>
      <c r="AS51" s="142">
        <v>1966.1</v>
      </c>
      <c r="AT51" s="144">
        <v>1932</v>
      </c>
      <c r="AU51" s="4" t="s">
        <v>99</v>
      </c>
    </row>
    <row r="52" spans="1:47" x14ac:dyDescent="0.2">
      <c r="A52" s="174"/>
      <c r="B52" s="9" t="s">
        <v>56</v>
      </c>
      <c r="C52" s="14" t="s">
        <v>1124</v>
      </c>
      <c r="D52" s="142" t="s">
        <v>106</v>
      </c>
      <c r="E52" s="80">
        <v>0</v>
      </c>
      <c r="F52" s="1" t="s">
        <v>169</v>
      </c>
      <c r="G52" s="80">
        <v>1</v>
      </c>
      <c r="H52" s="1" t="s">
        <v>452</v>
      </c>
      <c r="I52" s="143">
        <v>1</v>
      </c>
      <c r="J52" s="1" t="s">
        <v>452</v>
      </c>
      <c r="K52" s="142">
        <v>4192</v>
      </c>
      <c r="L52" s="142">
        <v>4192</v>
      </c>
      <c r="M52" s="142">
        <v>4192</v>
      </c>
      <c r="N52" s="14" t="s">
        <v>1123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3828</v>
      </c>
      <c r="W52" s="142">
        <v>1914</v>
      </c>
      <c r="X52" s="142">
        <v>1914</v>
      </c>
      <c r="Y52" s="14" t="s">
        <v>1122</v>
      </c>
      <c r="Z52" s="142" t="s">
        <v>106</v>
      </c>
      <c r="AA52" s="80">
        <v>1</v>
      </c>
      <c r="AB52" s="1" t="s">
        <v>516</v>
      </c>
      <c r="AC52" s="80">
        <v>1</v>
      </c>
      <c r="AD52" s="1" t="s">
        <v>516</v>
      </c>
      <c r="AE52" s="143">
        <v>1</v>
      </c>
      <c r="AF52" s="1" t="s">
        <v>529</v>
      </c>
      <c r="AG52" s="142">
        <v>17103</v>
      </c>
      <c r="AH52" s="142">
        <v>1710.3</v>
      </c>
      <c r="AI52" s="142">
        <v>1711.5</v>
      </c>
      <c r="AJ52" s="14" t="s">
        <v>1121</v>
      </c>
      <c r="AK52" s="142" t="s">
        <v>106</v>
      </c>
      <c r="AL52" s="80">
        <v>1</v>
      </c>
      <c r="AM52" s="1" t="s">
        <v>529</v>
      </c>
      <c r="AN52" s="80">
        <v>1</v>
      </c>
      <c r="AO52" s="1" t="s">
        <v>529</v>
      </c>
      <c r="AP52" s="143">
        <v>1</v>
      </c>
      <c r="AQ52" s="1" t="s">
        <v>1070</v>
      </c>
      <c r="AR52" s="142">
        <v>35857</v>
      </c>
      <c r="AS52" s="142">
        <v>1792.85</v>
      </c>
      <c r="AT52" s="144">
        <v>1733.5</v>
      </c>
    </row>
    <row r="53" spans="1:47" x14ac:dyDescent="0.2">
      <c r="A53" s="174"/>
      <c r="B53" s="9" t="s">
        <v>57</v>
      </c>
      <c r="C53" s="14" t="s">
        <v>1120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33023</v>
      </c>
      <c r="L53" s="142">
        <v>33023</v>
      </c>
      <c r="M53" s="142">
        <v>33023</v>
      </c>
      <c r="N53" s="14" t="s">
        <v>1119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25631</v>
      </c>
      <c r="W53" s="142">
        <v>12815.5</v>
      </c>
      <c r="X53" s="142">
        <v>12815.5</v>
      </c>
      <c r="Y53" s="14" t="s">
        <v>1118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120065</v>
      </c>
      <c r="AH53" s="142">
        <v>12006.5</v>
      </c>
      <c r="AI53" s="142">
        <v>1748.5</v>
      </c>
      <c r="AJ53" s="14" t="s">
        <v>1117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50670</v>
      </c>
      <c r="AS53" s="142">
        <v>2533.5</v>
      </c>
      <c r="AT53" s="144">
        <v>1771</v>
      </c>
    </row>
    <row r="54" spans="1:47" x14ac:dyDescent="0.2">
      <c r="A54" s="174"/>
      <c r="B54" s="9" t="s">
        <v>58</v>
      </c>
      <c r="C54" s="14" t="s">
        <v>1116</v>
      </c>
      <c r="D54" s="142" t="s">
        <v>106</v>
      </c>
      <c r="E54" s="80">
        <v>0</v>
      </c>
      <c r="F54" s="1" t="s">
        <v>169</v>
      </c>
      <c r="G54" s="80">
        <v>1</v>
      </c>
      <c r="H54" s="1" t="s">
        <v>452</v>
      </c>
      <c r="I54" s="143">
        <v>1</v>
      </c>
      <c r="J54" s="1" t="s">
        <v>452</v>
      </c>
      <c r="K54" s="142">
        <v>2858</v>
      </c>
      <c r="L54" s="142">
        <v>2858</v>
      </c>
      <c r="M54" s="142">
        <v>2858</v>
      </c>
      <c r="N54" s="14" t="s">
        <v>1115</v>
      </c>
      <c r="O54" s="142" t="s">
        <v>106</v>
      </c>
      <c r="P54" s="80">
        <v>0</v>
      </c>
      <c r="Q54" s="1" t="s">
        <v>169</v>
      </c>
      <c r="R54" s="80">
        <v>0.5</v>
      </c>
      <c r="S54" s="1" t="s">
        <v>1108</v>
      </c>
      <c r="T54" s="143">
        <v>0.5</v>
      </c>
      <c r="U54" s="1" t="s">
        <v>1108</v>
      </c>
      <c r="V54" s="142">
        <v>31873</v>
      </c>
      <c r="W54" s="142">
        <v>31873</v>
      </c>
      <c r="X54" s="142">
        <v>31873</v>
      </c>
      <c r="Y54" s="14" t="s">
        <v>1114</v>
      </c>
      <c r="Z54" s="142" t="s">
        <v>106</v>
      </c>
      <c r="AA54" s="80">
        <v>0.6</v>
      </c>
      <c r="AB54" s="1" t="s">
        <v>964</v>
      </c>
      <c r="AC54" s="80">
        <v>1</v>
      </c>
      <c r="AD54" s="1" t="s">
        <v>516</v>
      </c>
      <c r="AE54" s="143">
        <v>0.8</v>
      </c>
      <c r="AF54" s="1" t="s">
        <v>1077</v>
      </c>
      <c r="AG54" s="142">
        <v>13976</v>
      </c>
      <c r="AH54" s="142">
        <v>1747</v>
      </c>
      <c r="AI54" s="142">
        <v>1743</v>
      </c>
      <c r="AJ54" s="14" t="s">
        <v>1112</v>
      </c>
      <c r="AK54" s="142" t="s">
        <v>106</v>
      </c>
      <c r="AL54" s="80">
        <v>0.3</v>
      </c>
      <c r="AM54" s="1" t="s">
        <v>1004</v>
      </c>
      <c r="AN54" s="80">
        <v>0.4</v>
      </c>
      <c r="AO54" s="1" t="s">
        <v>501</v>
      </c>
      <c r="AP54" s="143">
        <v>0.35</v>
      </c>
      <c r="AQ54" s="1" t="s">
        <v>3999</v>
      </c>
      <c r="AR54" s="142">
        <v>105393</v>
      </c>
      <c r="AS54" s="142">
        <v>15056.14</v>
      </c>
      <c r="AT54" s="144">
        <v>2867</v>
      </c>
      <c r="AU54" s="4" t="s">
        <v>93</v>
      </c>
    </row>
    <row r="55" spans="1:47" x14ac:dyDescent="0.2">
      <c r="A55" s="174"/>
      <c r="B55" s="9" t="s">
        <v>59</v>
      </c>
      <c r="C55" s="14" t="s">
        <v>1110</v>
      </c>
      <c r="D55" s="142" t="s">
        <v>106</v>
      </c>
      <c r="E55" s="80">
        <v>0</v>
      </c>
      <c r="F55" s="1" t="s">
        <v>163</v>
      </c>
      <c r="G55" s="1" t="s">
        <v>164</v>
      </c>
      <c r="H55" s="1" t="s">
        <v>164</v>
      </c>
      <c r="I55" s="143">
        <v>0</v>
      </c>
      <c r="J55" s="1" t="s">
        <v>163</v>
      </c>
      <c r="K55" s="142">
        <v>0</v>
      </c>
      <c r="L55" s="142">
        <v>0</v>
      </c>
      <c r="M55" s="142">
        <v>0</v>
      </c>
      <c r="N55" s="14" t="s">
        <v>1109</v>
      </c>
      <c r="O55" s="142" t="s">
        <v>106</v>
      </c>
      <c r="P55" s="80">
        <v>0.5</v>
      </c>
      <c r="Q55" s="1" t="s">
        <v>1108</v>
      </c>
      <c r="R55" s="1" t="s">
        <v>164</v>
      </c>
      <c r="S55" s="1" t="s">
        <v>164</v>
      </c>
      <c r="T55" s="143">
        <v>0.5</v>
      </c>
      <c r="U55" s="1" t="s">
        <v>1108</v>
      </c>
      <c r="V55" s="142">
        <v>2342</v>
      </c>
      <c r="W55" s="142">
        <v>2342</v>
      </c>
      <c r="X55" s="142">
        <v>2342</v>
      </c>
      <c r="Y55" s="14" t="s">
        <v>1107</v>
      </c>
      <c r="Z55" s="142" t="s">
        <v>106</v>
      </c>
      <c r="AA55" s="80">
        <v>1</v>
      </c>
      <c r="AB55" s="1" t="s">
        <v>529</v>
      </c>
      <c r="AC55" s="1" t="s">
        <v>164</v>
      </c>
      <c r="AD55" s="1" t="s">
        <v>164</v>
      </c>
      <c r="AE55" s="143">
        <v>1</v>
      </c>
      <c r="AF55" s="1" t="s">
        <v>529</v>
      </c>
      <c r="AG55" s="142">
        <v>18184</v>
      </c>
      <c r="AH55" s="142">
        <v>1818.4</v>
      </c>
      <c r="AI55" s="142">
        <v>1843</v>
      </c>
      <c r="AJ55" s="14" t="s">
        <v>1106</v>
      </c>
      <c r="AK55" s="142" t="s">
        <v>106</v>
      </c>
      <c r="AL55" s="80">
        <v>0.5</v>
      </c>
      <c r="AM55" s="1" t="s">
        <v>936</v>
      </c>
      <c r="AN55" s="1" t="s">
        <v>164</v>
      </c>
      <c r="AO55" s="1" t="s">
        <v>164</v>
      </c>
      <c r="AP55" s="143">
        <v>0.5</v>
      </c>
      <c r="AQ55" s="1" t="s">
        <v>936</v>
      </c>
      <c r="AR55" s="142">
        <v>22602</v>
      </c>
      <c r="AS55" s="142">
        <v>2260.1999999999998</v>
      </c>
      <c r="AT55" s="144">
        <v>2057</v>
      </c>
      <c r="AU55" s="4" t="s">
        <v>93</v>
      </c>
    </row>
    <row r="56" spans="1:47" x14ac:dyDescent="0.2">
      <c r="A56" s="174"/>
      <c r="B56" s="9" t="s">
        <v>62</v>
      </c>
      <c r="C56" s="14" t="s">
        <v>1105</v>
      </c>
      <c r="D56" s="142" t="s">
        <v>106</v>
      </c>
      <c r="E56" s="80">
        <v>0</v>
      </c>
      <c r="F56" s="1" t="s">
        <v>169</v>
      </c>
      <c r="G56" s="80">
        <v>1</v>
      </c>
      <c r="H56" s="1" t="s">
        <v>452</v>
      </c>
      <c r="I56" s="143">
        <v>1</v>
      </c>
      <c r="J56" s="1" t="s">
        <v>452</v>
      </c>
      <c r="K56" s="142">
        <v>1693</v>
      </c>
      <c r="L56" s="142">
        <v>1693</v>
      </c>
      <c r="M56" s="142">
        <v>1693</v>
      </c>
      <c r="N56" s="14" t="s">
        <v>1104</v>
      </c>
      <c r="O56" s="142" t="s">
        <v>106</v>
      </c>
      <c r="P56" s="80">
        <v>1</v>
      </c>
      <c r="Q56" s="1" t="s">
        <v>452</v>
      </c>
      <c r="R56" s="80">
        <v>1</v>
      </c>
      <c r="S56" s="1" t="s">
        <v>1073</v>
      </c>
      <c r="T56" s="143">
        <v>1</v>
      </c>
      <c r="U56" s="1" t="s">
        <v>1078</v>
      </c>
      <c r="V56" s="142">
        <v>5312</v>
      </c>
      <c r="W56" s="142">
        <v>1770.67</v>
      </c>
      <c r="X56" s="142">
        <v>1771</v>
      </c>
      <c r="Y56" s="14" t="s">
        <v>1103</v>
      </c>
      <c r="Z56" s="142" t="s">
        <v>106</v>
      </c>
      <c r="AA56" s="80">
        <v>0</v>
      </c>
      <c r="AB56" s="1" t="s">
        <v>169</v>
      </c>
      <c r="AC56" s="80">
        <v>1</v>
      </c>
      <c r="AD56" s="1" t="s">
        <v>452</v>
      </c>
      <c r="AE56" s="143">
        <v>1</v>
      </c>
      <c r="AF56" s="1" t="s">
        <v>452</v>
      </c>
      <c r="AG56" s="142">
        <v>1697</v>
      </c>
      <c r="AH56" s="142">
        <v>1697</v>
      </c>
      <c r="AI56" s="142">
        <v>1697</v>
      </c>
      <c r="AJ56" s="14" t="s">
        <v>1102</v>
      </c>
      <c r="AK56" s="142" t="s">
        <v>106</v>
      </c>
      <c r="AL56" s="80">
        <v>1</v>
      </c>
      <c r="AM56" s="1" t="s">
        <v>452</v>
      </c>
      <c r="AN56" s="80">
        <v>1</v>
      </c>
      <c r="AO56" s="1" t="s">
        <v>1073</v>
      </c>
      <c r="AP56" s="143">
        <v>1</v>
      </c>
      <c r="AQ56" s="1" t="s">
        <v>1078</v>
      </c>
      <c r="AR56" s="142">
        <v>5157</v>
      </c>
      <c r="AS56" s="142">
        <v>1719</v>
      </c>
      <c r="AT56" s="144">
        <v>1718</v>
      </c>
      <c r="AU56" s="4" t="s">
        <v>102</v>
      </c>
    </row>
    <row r="57" spans="1:47" x14ac:dyDescent="0.2">
      <c r="A57" s="174"/>
      <c r="B57" s="9" t="s">
        <v>63</v>
      </c>
      <c r="C57" s="14" t="s">
        <v>1101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10442</v>
      </c>
      <c r="L57" s="142">
        <v>10442</v>
      </c>
      <c r="M57" s="142">
        <v>10442</v>
      </c>
      <c r="N57" s="14" t="s">
        <v>1100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21971</v>
      </c>
      <c r="W57" s="142">
        <v>7323.67</v>
      </c>
      <c r="X57" s="142">
        <v>3072</v>
      </c>
      <c r="Y57" s="14" t="s">
        <v>1099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21439</v>
      </c>
      <c r="AH57" s="142">
        <v>21439</v>
      </c>
      <c r="AI57" s="142">
        <v>21439</v>
      </c>
      <c r="AJ57" s="14" t="s">
        <v>1098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48285</v>
      </c>
      <c r="AS57" s="142">
        <v>16095</v>
      </c>
      <c r="AT57" s="144">
        <v>3582</v>
      </c>
      <c r="AU57" s="4" t="s">
        <v>102</v>
      </c>
    </row>
    <row r="58" spans="1:47" x14ac:dyDescent="0.2">
      <c r="A58" s="174"/>
      <c r="B58" s="9" t="s">
        <v>64</v>
      </c>
      <c r="C58" s="14" t="s">
        <v>1097</v>
      </c>
      <c r="D58" s="142" t="s">
        <v>106</v>
      </c>
      <c r="E58" s="80">
        <v>0</v>
      </c>
      <c r="F58" s="1" t="s">
        <v>169</v>
      </c>
      <c r="G58" s="80">
        <v>1</v>
      </c>
      <c r="H58" s="1" t="s">
        <v>452</v>
      </c>
      <c r="I58" s="143">
        <v>1</v>
      </c>
      <c r="J58" s="1" t="s">
        <v>452</v>
      </c>
      <c r="K58" s="142">
        <v>2098</v>
      </c>
      <c r="L58" s="142">
        <v>2098</v>
      </c>
      <c r="M58" s="142">
        <v>2098</v>
      </c>
      <c r="N58" s="14" t="s">
        <v>1096</v>
      </c>
      <c r="O58" s="142" t="s">
        <v>106</v>
      </c>
      <c r="P58" s="80">
        <v>0</v>
      </c>
      <c r="Q58" s="1" t="s">
        <v>169</v>
      </c>
      <c r="R58" s="80">
        <v>1</v>
      </c>
      <c r="S58" s="1" t="s">
        <v>452</v>
      </c>
      <c r="T58" s="143">
        <v>1</v>
      </c>
      <c r="U58" s="1" t="s">
        <v>452</v>
      </c>
      <c r="V58" s="142">
        <v>2143</v>
      </c>
      <c r="W58" s="142">
        <v>2143</v>
      </c>
      <c r="X58" s="142">
        <v>2143</v>
      </c>
      <c r="Y58" s="14" t="s">
        <v>1095</v>
      </c>
      <c r="Z58" s="142" t="s">
        <v>106</v>
      </c>
      <c r="AA58" s="80">
        <v>1</v>
      </c>
      <c r="AB58" s="1" t="s">
        <v>516</v>
      </c>
      <c r="AC58" s="80">
        <v>1</v>
      </c>
      <c r="AD58" s="1" t="s">
        <v>516</v>
      </c>
      <c r="AE58" s="143">
        <v>1</v>
      </c>
      <c r="AF58" s="1" t="s">
        <v>529</v>
      </c>
      <c r="AG58" s="142">
        <v>17971</v>
      </c>
      <c r="AH58" s="142">
        <v>1797.1</v>
      </c>
      <c r="AI58" s="142">
        <v>1796</v>
      </c>
      <c r="AJ58" s="14" t="s">
        <v>1094</v>
      </c>
      <c r="AK58" s="142" t="s">
        <v>106</v>
      </c>
      <c r="AL58" s="80">
        <v>1</v>
      </c>
      <c r="AM58" s="1" t="s">
        <v>516</v>
      </c>
      <c r="AN58" s="80">
        <v>1</v>
      </c>
      <c r="AO58" s="1" t="s">
        <v>516</v>
      </c>
      <c r="AP58" s="143">
        <v>1</v>
      </c>
      <c r="AQ58" s="1" t="s">
        <v>529</v>
      </c>
      <c r="AR58" s="142">
        <v>18794</v>
      </c>
      <c r="AS58" s="142">
        <v>1879.4</v>
      </c>
      <c r="AT58" s="144">
        <v>1808.5</v>
      </c>
      <c r="AU58" s="4" t="s">
        <v>102</v>
      </c>
    </row>
    <row r="59" spans="1:47" x14ac:dyDescent="0.2">
      <c r="A59" s="174"/>
      <c r="B59" s="9" t="s">
        <v>65</v>
      </c>
      <c r="C59" s="14" t="s">
        <v>1093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1919</v>
      </c>
      <c r="L59" s="142">
        <v>1919</v>
      </c>
      <c r="M59" s="142">
        <v>1919</v>
      </c>
      <c r="N59" s="14" t="s">
        <v>1092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1904</v>
      </c>
      <c r="W59" s="142">
        <v>1904</v>
      </c>
      <c r="X59" s="142">
        <v>1904</v>
      </c>
      <c r="Y59" s="14" t="s">
        <v>1091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18163</v>
      </c>
      <c r="AH59" s="142">
        <v>1816.3</v>
      </c>
      <c r="AI59" s="142">
        <v>1825</v>
      </c>
      <c r="AJ59" s="14" t="s">
        <v>1090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20746</v>
      </c>
      <c r="AS59" s="142">
        <v>2074.6</v>
      </c>
      <c r="AT59" s="144">
        <v>1860.5</v>
      </c>
      <c r="AU59" s="4" t="s">
        <v>102</v>
      </c>
    </row>
    <row r="60" spans="1:47" x14ac:dyDescent="0.2">
      <c r="A60" s="174"/>
      <c r="B60" s="9" t="s">
        <v>66</v>
      </c>
      <c r="C60" s="14" t="s">
        <v>1089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1984</v>
      </c>
      <c r="L60" s="142">
        <v>1984</v>
      </c>
      <c r="M60" s="142">
        <v>1984</v>
      </c>
      <c r="N60" s="14" t="s">
        <v>1088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3806</v>
      </c>
      <c r="W60" s="142">
        <v>1903</v>
      </c>
      <c r="X60" s="142">
        <v>1903</v>
      </c>
      <c r="Y60" s="14" t="s">
        <v>1087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19386</v>
      </c>
      <c r="AH60" s="142">
        <v>1938.6</v>
      </c>
      <c r="AI60" s="142">
        <v>1746.5</v>
      </c>
      <c r="AJ60" s="14" t="s">
        <v>1086</v>
      </c>
      <c r="AK60" s="142" t="s">
        <v>106</v>
      </c>
      <c r="AL60" s="80">
        <v>1</v>
      </c>
      <c r="AM60" s="1" t="s">
        <v>529</v>
      </c>
      <c r="AN60" s="80">
        <v>1</v>
      </c>
      <c r="AO60" s="1" t="s">
        <v>529</v>
      </c>
      <c r="AP60" s="143">
        <v>1</v>
      </c>
      <c r="AQ60" s="1" t="s">
        <v>1070</v>
      </c>
      <c r="AR60" s="142">
        <v>40884</v>
      </c>
      <c r="AS60" s="142">
        <v>2044.2</v>
      </c>
      <c r="AT60" s="144">
        <v>1816.5</v>
      </c>
    </row>
    <row r="61" spans="1:47" x14ac:dyDescent="0.2">
      <c r="A61" s="174"/>
      <c r="B61" s="9" t="s">
        <v>67</v>
      </c>
      <c r="C61" s="14" t="s">
        <v>1085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108992</v>
      </c>
      <c r="L61" s="142">
        <v>108992</v>
      </c>
      <c r="M61" s="142">
        <v>108992</v>
      </c>
      <c r="N61" s="14" t="s">
        <v>1084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29434</v>
      </c>
      <c r="W61" s="142">
        <v>14717</v>
      </c>
      <c r="X61" s="142">
        <v>14717</v>
      </c>
      <c r="Y61" s="14" t="s">
        <v>1083</v>
      </c>
      <c r="Z61" s="142" t="s">
        <v>106</v>
      </c>
      <c r="AA61" s="80">
        <v>0.9</v>
      </c>
      <c r="AB61" s="1" t="s">
        <v>951</v>
      </c>
      <c r="AC61" s="1" t="s">
        <v>164</v>
      </c>
      <c r="AD61" s="1" t="s">
        <v>164</v>
      </c>
      <c r="AE61" s="143">
        <v>0.9</v>
      </c>
      <c r="AF61" s="1" t="s">
        <v>951</v>
      </c>
      <c r="AG61" s="142">
        <v>34901</v>
      </c>
      <c r="AH61" s="142">
        <v>3877.89</v>
      </c>
      <c r="AI61" s="142">
        <v>5085</v>
      </c>
      <c r="AJ61" s="14" t="s">
        <v>1082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64843</v>
      </c>
      <c r="AS61" s="142">
        <v>3242.15</v>
      </c>
      <c r="AT61" s="144">
        <v>1769</v>
      </c>
    </row>
    <row r="62" spans="1:47" x14ac:dyDescent="0.2">
      <c r="A62" s="174"/>
      <c r="B62" s="9" t="s">
        <v>68</v>
      </c>
      <c r="C62" s="14" t="s">
        <v>1081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2193</v>
      </c>
      <c r="L62" s="142">
        <v>2193</v>
      </c>
      <c r="M62" s="142">
        <v>2193</v>
      </c>
      <c r="N62" s="14" t="s">
        <v>1080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4256</v>
      </c>
      <c r="W62" s="142">
        <v>2128</v>
      </c>
      <c r="X62" s="142">
        <v>2128</v>
      </c>
      <c r="Y62" s="14" t="s">
        <v>1079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16083</v>
      </c>
      <c r="AH62" s="142">
        <v>2010.38</v>
      </c>
      <c r="AI62" s="142">
        <v>1700</v>
      </c>
      <c r="AJ62" s="14" t="s">
        <v>1076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43929</v>
      </c>
      <c r="AS62" s="142">
        <v>2196.4499999999998</v>
      </c>
      <c r="AT62" s="144">
        <v>1941</v>
      </c>
    </row>
    <row r="63" spans="1:47" x14ac:dyDescent="0.2">
      <c r="A63" s="174"/>
      <c r="B63" s="9" t="s">
        <v>69</v>
      </c>
      <c r="C63" s="14" t="s">
        <v>1075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27037</v>
      </c>
      <c r="L63" s="142">
        <v>27037</v>
      </c>
      <c r="M63" s="142">
        <v>27037</v>
      </c>
      <c r="N63" s="14" t="s">
        <v>1074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36124</v>
      </c>
      <c r="W63" s="142">
        <v>18062</v>
      </c>
      <c r="X63" s="142">
        <v>18062</v>
      </c>
      <c r="Y63" s="14" t="s">
        <v>1072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34889</v>
      </c>
      <c r="AH63" s="142">
        <v>3488.9</v>
      </c>
      <c r="AI63" s="142">
        <v>3123.5</v>
      </c>
      <c r="AJ63" s="14" t="s">
        <v>1071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49930</v>
      </c>
      <c r="AS63" s="142">
        <v>2496.5</v>
      </c>
      <c r="AT63" s="144">
        <v>1748.5</v>
      </c>
    </row>
    <row r="64" spans="1:47" x14ac:dyDescent="0.2">
      <c r="A64" s="174"/>
      <c r="B64" s="9" t="s">
        <v>3973</v>
      </c>
      <c r="C64" s="14" t="s">
        <v>1069</v>
      </c>
      <c r="D64" s="142" t="s">
        <v>106</v>
      </c>
      <c r="E64" s="80">
        <v>1</v>
      </c>
      <c r="F64" s="1" t="s">
        <v>452</v>
      </c>
      <c r="G64" s="1" t="s">
        <v>164</v>
      </c>
      <c r="H64" s="1" t="s">
        <v>164</v>
      </c>
      <c r="I64" s="143">
        <v>1</v>
      </c>
      <c r="J64" s="1" t="s">
        <v>452</v>
      </c>
      <c r="K64" s="142">
        <v>2251</v>
      </c>
      <c r="L64" s="142">
        <v>2251</v>
      </c>
      <c r="M64" s="142">
        <v>2251</v>
      </c>
      <c r="N64" s="14" t="s">
        <v>1068</v>
      </c>
      <c r="O64" s="142" t="s">
        <v>106</v>
      </c>
      <c r="P64" s="80">
        <v>1</v>
      </c>
      <c r="Q64" s="1" t="s">
        <v>452</v>
      </c>
      <c r="R64" s="1" t="s">
        <v>164</v>
      </c>
      <c r="S64" s="1" t="s">
        <v>164</v>
      </c>
      <c r="T64" s="143">
        <v>1</v>
      </c>
      <c r="U64" s="1" t="s">
        <v>452</v>
      </c>
      <c r="V64" s="142">
        <v>2401</v>
      </c>
      <c r="W64" s="142">
        <v>2401</v>
      </c>
      <c r="X64" s="142">
        <v>2401</v>
      </c>
      <c r="Y64" s="14" t="s">
        <v>1067</v>
      </c>
      <c r="Z64" s="142" t="s">
        <v>106</v>
      </c>
      <c r="AA64" s="80">
        <v>1</v>
      </c>
      <c r="AB64" s="1" t="s">
        <v>452</v>
      </c>
      <c r="AC64" s="1" t="s">
        <v>164</v>
      </c>
      <c r="AD64" s="1" t="s">
        <v>164</v>
      </c>
      <c r="AE64" s="143">
        <v>1</v>
      </c>
      <c r="AF64" s="1" t="s">
        <v>452</v>
      </c>
      <c r="AG64" s="142">
        <v>2205</v>
      </c>
      <c r="AH64" s="142">
        <v>2205</v>
      </c>
      <c r="AI64" s="142">
        <v>2205</v>
      </c>
      <c r="AJ64" s="14" t="s">
        <v>1066</v>
      </c>
      <c r="AK64" s="142" t="s">
        <v>106</v>
      </c>
      <c r="AL64" s="80">
        <v>1</v>
      </c>
      <c r="AM64" s="1" t="s">
        <v>452</v>
      </c>
      <c r="AN64" s="1" t="s">
        <v>164</v>
      </c>
      <c r="AO64" s="1" t="s">
        <v>164</v>
      </c>
      <c r="AP64" s="143">
        <v>1</v>
      </c>
      <c r="AQ64" s="1" t="s">
        <v>452</v>
      </c>
      <c r="AR64" s="142">
        <v>2540</v>
      </c>
      <c r="AS64" s="142">
        <v>2540</v>
      </c>
      <c r="AT64" s="144">
        <v>2540</v>
      </c>
      <c r="AU64" s="4" t="s">
        <v>103</v>
      </c>
    </row>
    <row r="65" spans="1:47" x14ac:dyDescent="0.2">
      <c r="A65" s="174"/>
      <c r="B65" s="9" t="s">
        <v>3968</v>
      </c>
      <c r="C65" s="14" t="s">
        <v>1065</v>
      </c>
      <c r="D65" s="142" t="s">
        <v>106</v>
      </c>
      <c r="E65" s="80">
        <v>1</v>
      </c>
      <c r="F65" s="1" t="s">
        <v>452</v>
      </c>
      <c r="G65" s="1" t="s">
        <v>164</v>
      </c>
      <c r="H65" s="1" t="s">
        <v>164</v>
      </c>
      <c r="I65" s="143">
        <v>1</v>
      </c>
      <c r="J65" s="1" t="s">
        <v>452</v>
      </c>
      <c r="K65" s="142">
        <v>2257</v>
      </c>
      <c r="L65" s="142">
        <v>2257</v>
      </c>
      <c r="M65" s="142">
        <v>2257</v>
      </c>
      <c r="N65" s="14" t="s">
        <v>1064</v>
      </c>
      <c r="O65" s="142" t="s">
        <v>106</v>
      </c>
      <c r="P65" s="80">
        <v>1</v>
      </c>
      <c r="Q65" s="1" t="s">
        <v>452</v>
      </c>
      <c r="R65" s="1" t="s">
        <v>164</v>
      </c>
      <c r="S65" s="1" t="s">
        <v>164</v>
      </c>
      <c r="T65" s="143">
        <v>1</v>
      </c>
      <c r="U65" s="1" t="s">
        <v>452</v>
      </c>
      <c r="V65" s="142">
        <v>2215</v>
      </c>
      <c r="W65" s="142">
        <v>2215</v>
      </c>
      <c r="X65" s="142">
        <v>2215</v>
      </c>
      <c r="Y65" s="14" t="s">
        <v>1063</v>
      </c>
      <c r="Z65" s="142" t="s">
        <v>106</v>
      </c>
      <c r="AA65" s="80">
        <v>1</v>
      </c>
      <c r="AB65" s="1" t="s">
        <v>452</v>
      </c>
      <c r="AC65" s="1" t="s">
        <v>164</v>
      </c>
      <c r="AD65" s="1" t="s">
        <v>164</v>
      </c>
      <c r="AE65" s="143">
        <v>1</v>
      </c>
      <c r="AF65" s="1" t="s">
        <v>452</v>
      </c>
      <c r="AG65" s="142">
        <v>2234</v>
      </c>
      <c r="AH65" s="142">
        <v>2234</v>
      </c>
      <c r="AI65" s="142">
        <v>2234</v>
      </c>
      <c r="AJ65" s="14" t="s">
        <v>1062</v>
      </c>
      <c r="AK65" s="142" t="s">
        <v>106</v>
      </c>
      <c r="AL65" s="80">
        <v>1</v>
      </c>
      <c r="AM65" s="1" t="s">
        <v>452</v>
      </c>
      <c r="AN65" s="1" t="s">
        <v>164</v>
      </c>
      <c r="AO65" s="1" t="s">
        <v>164</v>
      </c>
      <c r="AP65" s="143">
        <v>1</v>
      </c>
      <c r="AQ65" s="1" t="s">
        <v>452</v>
      </c>
      <c r="AR65" s="142">
        <v>2282</v>
      </c>
      <c r="AS65" s="142">
        <v>2282</v>
      </c>
      <c r="AT65" s="144">
        <v>2282</v>
      </c>
      <c r="AU65" s="4" t="s">
        <v>103</v>
      </c>
    </row>
    <row r="66" spans="1:47" x14ac:dyDescent="0.2">
      <c r="A66" s="174"/>
      <c r="B66" s="9" t="s">
        <v>3969</v>
      </c>
      <c r="C66" s="14" t="s">
        <v>1061</v>
      </c>
      <c r="D66" s="142" t="s">
        <v>106</v>
      </c>
      <c r="E66" s="80">
        <v>0</v>
      </c>
      <c r="F66" s="1" t="s">
        <v>169</v>
      </c>
      <c r="G66" s="80">
        <v>1</v>
      </c>
      <c r="H66" s="1" t="s">
        <v>452</v>
      </c>
      <c r="I66" s="143">
        <v>1</v>
      </c>
      <c r="J66" s="1" t="s">
        <v>452</v>
      </c>
      <c r="K66" s="142">
        <v>7851</v>
      </c>
      <c r="L66" s="142">
        <v>7851</v>
      </c>
      <c r="M66" s="142">
        <v>7851</v>
      </c>
      <c r="N66" s="14" t="s">
        <v>1060</v>
      </c>
      <c r="O66" s="142" t="s">
        <v>106</v>
      </c>
      <c r="P66" s="80">
        <v>0</v>
      </c>
      <c r="Q66" s="1" t="s">
        <v>169</v>
      </c>
      <c r="R66" s="80">
        <v>1</v>
      </c>
      <c r="S66" s="1" t="s">
        <v>452</v>
      </c>
      <c r="T66" s="143">
        <v>1</v>
      </c>
      <c r="U66" s="1" t="s">
        <v>452</v>
      </c>
      <c r="V66" s="142">
        <v>7054</v>
      </c>
      <c r="W66" s="142">
        <v>7054</v>
      </c>
      <c r="X66" s="142">
        <v>7054</v>
      </c>
      <c r="Y66" s="14" t="s">
        <v>1059</v>
      </c>
      <c r="Z66" s="142" t="s">
        <v>106</v>
      </c>
      <c r="AA66" s="80">
        <v>1</v>
      </c>
      <c r="AB66" s="1" t="s">
        <v>516</v>
      </c>
      <c r="AC66" s="80">
        <v>0.2</v>
      </c>
      <c r="AD66" s="1" t="s">
        <v>1049</v>
      </c>
      <c r="AE66" s="143">
        <v>0.6</v>
      </c>
      <c r="AF66" s="1" t="s">
        <v>963</v>
      </c>
      <c r="AG66" s="142">
        <v>10767</v>
      </c>
      <c r="AH66" s="142">
        <v>1794.5</v>
      </c>
      <c r="AI66" s="142">
        <v>1752.5</v>
      </c>
      <c r="AJ66" s="14" t="s">
        <v>1058</v>
      </c>
      <c r="AK66" s="142" t="s">
        <v>106</v>
      </c>
      <c r="AL66" s="80">
        <v>1</v>
      </c>
      <c r="AM66" s="1" t="s">
        <v>516</v>
      </c>
      <c r="AN66" s="80">
        <v>0.4</v>
      </c>
      <c r="AO66" s="1" t="s">
        <v>974</v>
      </c>
      <c r="AP66" s="143">
        <v>0.7</v>
      </c>
      <c r="AQ66" s="1" t="s">
        <v>973</v>
      </c>
      <c r="AR66" s="142">
        <v>110966</v>
      </c>
      <c r="AS66" s="142">
        <v>15852.29</v>
      </c>
      <c r="AT66" s="144">
        <v>1786</v>
      </c>
      <c r="AU66" s="4" t="s">
        <v>103</v>
      </c>
    </row>
    <row r="67" spans="1:47" x14ac:dyDescent="0.2">
      <c r="A67" s="174"/>
      <c r="B67" s="9" t="s">
        <v>3970</v>
      </c>
      <c r="C67" s="14" t="s">
        <v>1057</v>
      </c>
      <c r="D67" s="142" t="s">
        <v>106</v>
      </c>
      <c r="E67" s="80">
        <v>0</v>
      </c>
      <c r="F67" s="1" t="s">
        <v>163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1056</v>
      </c>
      <c r="O67" s="142" t="s">
        <v>106</v>
      </c>
      <c r="P67" s="80">
        <v>0</v>
      </c>
      <c r="Q67" s="1" t="s">
        <v>163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1055</v>
      </c>
      <c r="Z67" s="142" t="s">
        <v>106</v>
      </c>
      <c r="AA67" s="80">
        <v>0.6</v>
      </c>
      <c r="AB67" s="1" t="s">
        <v>963</v>
      </c>
      <c r="AC67" s="1" t="s">
        <v>164</v>
      </c>
      <c r="AD67" s="1" t="s">
        <v>164</v>
      </c>
      <c r="AE67" s="143">
        <v>0.6</v>
      </c>
      <c r="AF67" s="1" t="s">
        <v>963</v>
      </c>
      <c r="AG67" s="142">
        <v>16225</v>
      </c>
      <c r="AH67" s="142">
        <v>2704.17</v>
      </c>
      <c r="AI67" s="142">
        <v>1717</v>
      </c>
      <c r="AJ67" s="14" t="s">
        <v>1054</v>
      </c>
      <c r="AK67" s="142" t="s">
        <v>106</v>
      </c>
      <c r="AL67" s="80">
        <v>0.6</v>
      </c>
      <c r="AM67" s="1" t="s">
        <v>963</v>
      </c>
      <c r="AN67" s="1" t="s">
        <v>164</v>
      </c>
      <c r="AO67" s="1" t="s">
        <v>164</v>
      </c>
      <c r="AP67" s="143">
        <v>0.6</v>
      </c>
      <c r="AQ67" s="1" t="s">
        <v>963</v>
      </c>
      <c r="AR67" s="142">
        <v>12554</v>
      </c>
      <c r="AS67" s="142">
        <v>2092.33</v>
      </c>
      <c r="AT67" s="144">
        <v>1774.5</v>
      </c>
      <c r="AU67" s="4" t="s">
        <v>103</v>
      </c>
    </row>
    <row r="68" spans="1:47" x14ac:dyDescent="0.2">
      <c r="A68" s="174"/>
      <c r="B68" s="9" t="s">
        <v>3971</v>
      </c>
      <c r="C68" s="14" t="s">
        <v>1053</v>
      </c>
      <c r="D68" s="142" t="s">
        <v>106</v>
      </c>
      <c r="E68" s="80">
        <v>0</v>
      </c>
      <c r="F68" s="1" t="s">
        <v>169</v>
      </c>
      <c r="G68" s="80">
        <v>1</v>
      </c>
      <c r="H68" s="1" t="s">
        <v>452</v>
      </c>
      <c r="I68" s="143">
        <v>1</v>
      </c>
      <c r="J68" s="1" t="s">
        <v>452</v>
      </c>
      <c r="K68" s="142">
        <v>8477</v>
      </c>
      <c r="L68" s="142">
        <v>8477</v>
      </c>
      <c r="M68" s="142">
        <v>8477</v>
      </c>
      <c r="N68" s="14" t="s">
        <v>1052</v>
      </c>
      <c r="O68" s="142" t="s">
        <v>106</v>
      </c>
      <c r="P68" s="80">
        <v>0</v>
      </c>
      <c r="Q68" s="1" t="s">
        <v>169</v>
      </c>
      <c r="R68" s="80">
        <v>1</v>
      </c>
      <c r="S68" s="1" t="s">
        <v>452</v>
      </c>
      <c r="T68" s="143">
        <v>1</v>
      </c>
      <c r="U68" s="1" t="s">
        <v>452</v>
      </c>
      <c r="V68" s="142">
        <v>7594</v>
      </c>
      <c r="W68" s="142">
        <v>7594</v>
      </c>
      <c r="X68" s="142">
        <v>7594</v>
      </c>
      <c r="Y68" s="14" t="s">
        <v>1051</v>
      </c>
      <c r="Z68" s="142" t="s">
        <v>106</v>
      </c>
      <c r="AA68" s="80">
        <v>0.8</v>
      </c>
      <c r="AB68" s="1" t="s">
        <v>506</v>
      </c>
      <c r="AC68" s="80">
        <v>0.2</v>
      </c>
      <c r="AD68" s="1" t="s">
        <v>1049</v>
      </c>
      <c r="AE68" s="143">
        <v>0.5</v>
      </c>
      <c r="AF68" s="1" t="s">
        <v>511</v>
      </c>
      <c r="AG68" s="142">
        <v>156004</v>
      </c>
      <c r="AH68" s="142">
        <v>31200.799999999999</v>
      </c>
      <c r="AI68" s="142">
        <v>1854</v>
      </c>
      <c r="AJ68" s="14" t="s">
        <v>1050</v>
      </c>
      <c r="AK68" s="142" t="s">
        <v>106</v>
      </c>
      <c r="AL68" s="80">
        <v>0.8</v>
      </c>
      <c r="AM68" s="1" t="s">
        <v>506</v>
      </c>
      <c r="AN68" s="80">
        <v>0.2</v>
      </c>
      <c r="AO68" s="1" t="s">
        <v>1049</v>
      </c>
      <c r="AP68" s="143">
        <v>0.5</v>
      </c>
      <c r="AQ68" s="1" t="s">
        <v>511</v>
      </c>
      <c r="AR68" s="142">
        <v>9759</v>
      </c>
      <c r="AS68" s="142">
        <v>1951.8</v>
      </c>
      <c r="AT68" s="144">
        <v>1830</v>
      </c>
      <c r="AU68" s="4" t="s">
        <v>102</v>
      </c>
    </row>
    <row r="69" spans="1:47" x14ac:dyDescent="0.2">
      <c r="A69" s="174"/>
      <c r="B69" s="9" t="s">
        <v>3972</v>
      </c>
      <c r="C69" s="14" t="s">
        <v>1048</v>
      </c>
      <c r="D69" s="142" t="s">
        <v>106</v>
      </c>
      <c r="E69" s="80">
        <v>1</v>
      </c>
      <c r="F69" s="1" t="s">
        <v>452</v>
      </c>
      <c r="G69" s="1" t="s">
        <v>164</v>
      </c>
      <c r="H69" s="1" t="s">
        <v>164</v>
      </c>
      <c r="I69" s="143">
        <v>1</v>
      </c>
      <c r="J69" s="1" t="s">
        <v>452</v>
      </c>
      <c r="K69" s="142">
        <v>2042</v>
      </c>
      <c r="L69" s="142">
        <v>2042</v>
      </c>
      <c r="M69" s="142">
        <v>2042</v>
      </c>
      <c r="N69" s="14" t="s">
        <v>1047</v>
      </c>
      <c r="O69" s="142" t="s">
        <v>106</v>
      </c>
      <c r="P69" s="80">
        <v>1</v>
      </c>
      <c r="Q69" s="1" t="s">
        <v>452</v>
      </c>
      <c r="R69" s="1" t="s">
        <v>164</v>
      </c>
      <c r="S69" s="1" t="s">
        <v>164</v>
      </c>
      <c r="T69" s="143">
        <v>1</v>
      </c>
      <c r="U69" s="1" t="s">
        <v>452</v>
      </c>
      <c r="V69" s="142">
        <v>1899</v>
      </c>
      <c r="W69" s="142">
        <v>1899</v>
      </c>
      <c r="X69" s="142">
        <v>1899</v>
      </c>
      <c r="Y69" s="14" t="s">
        <v>1046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17014</v>
      </c>
      <c r="AH69" s="142">
        <v>1890.44</v>
      </c>
      <c r="AI69" s="142">
        <v>1916</v>
      </c>
      <c r="AJ69" s="14" t="s">
        <v>1045</v>
      </c>
      <c r="AK69" s="142" t="s">
        <v>106</v>
      </c>
      <c r="AL69" s="80">
        <v>0.9</v>
      </c>
      <c r="AM69" s="1" t="s">
        <v>951</v>
      </c>
      <c r="AN69" s="1" t="s">
        <v>164</v>
      </c>
      <c r="AO69" s="1" t="s">
        <v>164</v>
      </c>
      <c r="AP69" s="143">
        <v>0.9</v>
      </c>
      <c r="AQ69" s="1" t="s">
        <v>951</v>
      </c>
      <c r="AR69" s="142">
        <v>18704</v>
      </c>
      <c r="AS69" s="142">
        <v>2078.2199999999998</v>
      </c>
      <c r="AT69" s="144">
        <v>1839</v>
      </c>
      <c r="AU69" s="4" t="s">
        <v>102</v>
      </c>
    </row>
    <row r="70" spans="1:47" x14ac:dyDescent="0.2">
      <c r="A70" s="174"/>
      <c r="B70" s="9" t="s">
        <v>70</v>
      </c>
      <c r="C70" s="14" t="s">
        <v>1044</v>
      </c>
      <c r="D70" s="142" t="s">
        <v>106</v>
      </c>
      <c r="E70" s="80">
        <v>0</v>
      </c>
      <c r="F70" s="1" t="s">
        <v>169</v>
      </c>
      <c r="G70" s="80">
        <v>1</v>
      </c>
      <c r="H70" s="1" t="s">
        <v>452</v>
      </c>
      <c r="I70" s="143">
        <v>1</v>
      </c>
      <c r="J70" s="1" t="s">
        <v>452</v>
      </c>
      <c r="K70" s="142">
        <v>2065</v>
      </c>
      <c r="L70" s="142">
        <v>2065</v>
      </c>
      <c r="M70" s="142">
        <v>2065</v>
      </c>
      <c r="N70" s="14" t="s">
        <v>1043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1042</v>
      </c>
      <c r="Z70" s="142" t="s">
        <v>106</v>
      </c>
      <c r="AA70" s="80">
        <v>1</v>
      </c>
      <c r="AB70" s="1" t="s">
        <v>516</v>
      </c>
      <c r="AC70" s="80">
        <v>1</v>
      </c>
      <c r="AD70" s="1" t="s">
        <v>516</v>
      </c>
      <c r="AE70" s="143">
        <v>1</v>
      </c>
      <c r="AF70" s="1" t="s">
        <v>529</v>
      </c>
      <c r="AG70" s="142">
        <v>17963</v>
      </c>
      <c r="AH70" s="142">
        <v>1796.3</v>
      </c>
      <c r="AI70" s="142">
        <v>1771</v>
      </c>
      <c r="AJ70" s="14" t="s">
        <v>1041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4">
        <v>0</v>
      </c>
      <c r="AU70" s="4" t="s">
        <v>102</v>
      </c>
    </row>
    <row r="71" spans="1:47" x14ac:dyDescent="0.2">
      <c r="A71" s="174"/>
      <c r="B71" s="9" t="s">
        <v>71</v>
      </c>
      <c r="C71" s="14" t="s">
        <v>1040</v>
      </c>
      <c r="D71" s="142" t="s">
        <v>106</v>
      </c>
      <c r="E71" s="80">
        <v>1</v>
      </c>
      <c r="F71" s="1" t="s">
        <v>452</v>
      </c>
      <c r="G71" s="1" t="s">
        <v>164</v>
      </c>
      <c r="H71" s="1" t="s">
        <v>164</v>
      </c>
      <c r="I71" s="143">
        <v>1</v>
      </c>
      <c r="J71" s="1" t="s">
        <v>452</v>
      </c>
      <c r="K71" s="142">
        <v>1829</v>
      </c>
      <c r="L71" s="142">
        <v>1829</v>
      </c>
      <c r="M71" s="142">
        <v>1829</v>
      </c>
      <c r="N71" s="14" t="s">
        <v>1039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1038</v>
      </c>
      <c r="Z71" s="142" t="s">
        <v>106</v>
      </c>
      <c r="AA71" s="80">
        <v>1</v>
      </c>
      <c r="AB71" s="1" t="s">
        <v>529</v>
      </c>
      <c r="AC71" s="1" t="s">
        <v>164</v>
      </c>
      <c r="AD71" s="1" t="s">
        <v>164</v>
      </c>
      <c r="AE71" s="143">
        <v>1</v>
      </c>
      <c r="AF71" s="1" t="s">
        <v>529</v>
      </c>
      <c r="AG71" s="142">
        <v>17505</v>
      </c>
      <c r="AH71" s="142">
        <v>1750.5</v>
      </c>
      <c r="AI71" s="142">
        <v>1746</v>
      </c>
      <c r="AJ71" s="14" t="s">
        <v>1037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4">
        <v>0</v>
      </c>
      <c r="AU71" s="4" t="s">
        <v>102</v>
      </c>
    </row>
    <row r="72" spans="1:47" x14ac:dyDescent="0.2">
      <c r="A72" s="174"/>
      <c r="B72" s="9" t="s">
        <v>72</v>
      </c>
      <c r="C72" s="14" t="s">
        <v>1036</v>
      </c>
      <c r="D72" s="142" t="s">
        <v>106</v>
      </c>
      <c r="E72" s="80">
        <v>0</v>
      </c>
      <c r="F72" s="1" t="s">
        <v>169</v>
      </c>
      <c r="G72" s="80">
        <v>1</v>
      </c>
      <c r="H72" s="1" t="s">
        <v>452</v>
      </c>
      <c r="I72" s="143">
        <v>1</v>
      </c>
      <c r="J72" s="1" t="s">
        <v>452</v>
      </c>
      <c r="K72" s="142">
        <v>2545</v>
      </c>
      <c r="L72" s="142">
        <v>2545</v>
      </c>
      <c r="M72" s="142">
        <v>2545</v>
      </c>
      <c r="N72" s="14" t="s">
        <v>1035</v>
      </c>
      <c r="O72" s="142" t="s">
        <v>106</v>
      </c>
      <c r="P72" s="80">
        <v>0</v>
      </c>
      <c r="Q72" s="1" t="s">
        <v>169</v>
      </c>
      <c r="R72" s="80">
        <v>1</v>
      </c>
      <c r="S72" s="1" t="s">
        <v>452</v>
      </c>
      <c r="T72" s="143">
        <v>1</v>
      </c>
      <c r="U72" s="1" t="s">
        <v>452</v>
      </c>
      <c r="V72" s="142">
        <v>3007</v>
      </c>
      <c r="W72" s="142">
        <v>3007</v>
      </c>
      <c r="X72" s="142">
        <v>3007</v>
      </c>
      <c r="Y72" s="14" t="s">
        <v>1034</v>
      </c>
      <c r="Z72" s="142" t="s">
        <v>106</v>
      </c>
      <c r="AA72" s="80">
        <v>1</v>
      </c>
      <c r="AB72" s="1" t="s">
        <v>516</v>
      </c>
      <c r="AC72" s="80">
        <v>1</v>
      </c>
      <c r="AD72" s="1" t="s">
        <v>516</v>
      </c>
      <c r="AE72" s="143">
        <v>1</v>
      </c>
      <c r="AF72" s="1" t="s">
        <v>529</v>
      </c>
      <c r="AG72" s="142">
        <v>17325</v>
      </c>
      <c r="AH72" s="142">
        <v>1732.5</v>
      </c>
      <c r="AI72" s="142">
        <v>1697.5</v>
      </c>
      <c r="AJ72" s="14" t="s">
        <v>1033</v>
      </c>
      <c r="AK72" s="142" t="s">
        <v>106</v>
      </c>
      <c r="AL72" s="80">
        <v>1</v>
      </c>
      <c r="AM72" s="1" t="s">
        <v>516</v>
      </c>
      <c r="AN72" s="80">
        <v>1</v>
      </c>
      <c r="AO72" s="1" t="s">
        <v>516</v>
      </c>
      <c r="AP72" s="143">
        <v>1</v>
      </c>
      <c r="AQ72" s="1" t="s">
        <v>529</v>
      </c>
      <c r="AR72" s="142">
        <v>19644</v>
      </c>
      <c r="AS72" s="142">
        <v>1964.4</v>
      </c>
      <c r="AT72" s="144">
        <v>1784</v>
      </c>
      <c r="AU72" s="4" t="s">
        <v>102</v>
      </c>
    </row>
    <row r="73" spans="1:47" x14ac:dyDescent="0.2">
      <c r="A73" s="174"/>
      <c r="B73" s="9" t="s">
        <v>73</v>
      </c>
      <c r="C73" s="14" t="s">
        <v>1032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1868</v>
      </c>
      <c r="L73" s="142">
        <v>1868</v>
      </c>
      <c r="M73" s="142">
        <v>1868</v>
      </c>
      <c r="N73" s="14" t="s">
        <v>1031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1846</v>
      </c>
      <c r="W73" s="142">
        <v>1846</v>
      </c>
      <c r="X73" s="142">
        <v>1846</v>
      </c>
      <c r="Y73" s="14" t="s">
        <v>1030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17696</v>
      </c>
      <c r="AH73" s="142">
        <v>1769.6</v>
      </c>
      <c r="AI73" s="142">
        <v>1787.5</v>
      </c>
      <c r="AJ73" s="14" t="s">
        <v>1029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19709</v>
      </c>
      <c r="AS73" s="142">
        <v>1970.9</v>
      </c>
      <c r="AT73" s="144">
        <v>1729</v>
      </c>
      <c r="AU73" s="4" t="s">
        <v>102</v>
      </c>
    </row>
    <row r="74" spans="1:47" x14ac:dyDescent="0.2">
      <c r="A74" s="174"/>
      <c r="B74" s="9" t="s">
        <v>74</v>
      </c>
      <c r="C74" s="14" t="s">
        <v>1028</v>
      </c>
      <c r="D74" s="142" t="s">
        <v>106</v>
      </c>
      <c r="E74" s="80">
        <v>0</v>
      </c>
      <c r="F74" s="1" t="s">
        <v>169</v>
      </c>
      <c r="G74" s="80">
        <v>1</v>
      </c>
      <c r="H74" s="1" t="s">
        <v>452</v>
      </c>
      <c r="I74" s="143">
        <v>1</v>
      </c>
      <c r="J74" s="1" t="s">
        <v>452</v>
      </c>
      <c r="K74" s="142">
        <v>1897</v>
      </c>
      <c r="L74" s="142">
        <v>1897</v>
      </c>
      <c r="M74" s="142">
        <v>1897</v>
      </c>
      <c r="N74" s="14" t="s">
        <v>1027</v>
      </c>
      <c r="O74" s="142" t="s">
        <v>106</v>
      </c>
      <c r="P74" s="80">
        <v>0</v>
      </c>
      <c r="Q74" s="1" t="s">
        <v>169</v>
      </c>
      <c r="R74" s="80">
        <v>1</v>
      </c>
      <c r="S74" s="1" t="s">
        <v>452</v>
      </c>
      <c r="T74" s="143">
        <v>1</v>
      </c>
      <c r="U74" s="1" t="s">
        <v>452</v>
      </c>
      <c r="V74" s="142">
        <v>1926</v>
      </c>
      <c r="W74" s="142">
        <v>1926</v>
      </c>
      <c r="X74" s="142">
        <v>1926</v>
      </c>
      <c r="Y74" s="14" t="s">
        <v>1026</v>
      </c>
      <c r="Z74" s="142" t="s">
        <v>106</v>
      </c>
      <c r="AA74" s="80">
        <v>0.8</v>
      </c>
      <c r="AB74" s="1" t="s">
        <v>506</v>
      </c>
      <c r="AC74" s="80">
        <v>1</v>
      </c>
      <c r="AD74" s="1" t="s">
        <v>516</v>
      </c>
      <c r="AE74" s="143">
        <v>0.9</v>
      </c>
      <c r="AF74" s="1" t="s">
        <v>951</v>
      </c>
      <c r="AG74" s="142">
        <v>15844</v>
      </c>
      <c r="AH74" s="142">
        <v>1760.44</v>
      </c>
      <c r="AI74" s="142">
        <v>1717</v>
      </c>
      <c r="AJ74" s="14" t="s">
        <v>1025</v>
      </c>
      <c r="AK74" s="142" t="s">
        <v>106</v>
      </c>
      <c r="AL74" s="80">
        <v>0.8</v>
      </c>
      <c r="AM74" s="1" t="s">
        <v>506</v>
      </c>
      <c r="AN74" s="80">
        <v>1</v>
      </c>
      <c r="AO74" s="1" t="s">
        <v>516</v>
      </c>
      <c r="AP74" s="143">
        <v>0.9</v>
      </c>
      <c r="AQ74" s="1" t="s">
        <v>951</v>
      </c>
      <c r="AR74" s="142">
        <v>16181</v>
      </c>
      <c r="AS74" s="142">
        <v>1797.89</v>
      </c>
      <c r="AT74" s="144">
        <v>1744</v>
      </c>
      <c r="AU74" s="4" t="s">
        <v>102</v>
      </c>
    </row>
    <row r="75" spans="1:47" x14ac:dyDescent="0.2">
      <c r="A75" s="174"/>
      <c r="B75" s="9" t="s">
        <v>75</v>
      </c>
      <c r="C75" s="14" t="s">
        <v>1024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1023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1022</v>
      </c>
      <c r="Z75" s="142" t="s">
        <v>106</v>
      </c>
      <c r="AA75" s="80">
        <v>0.6</v>
      </c>
      <c r="AB75" s="1" t="s">
        <v>963</v>
      </c>
      <c r="AC75" s="1" t="s">
        <v>164</v>
      </c>
      <c r="AD75" s="1" t="s">
        <v>164</v>
      </c>
      <c r="AE75" s="143">
        <v>0.6</v>
      </c>
      <c r="AF75" s="1" t="s">
        <v>963</v>
      </c>
      <c r="AG75" s="142">
        <v>10981</v>
      </c>
      <c r="AH75" s="142">
        <v>1830.17</v>
      </c>
      <c r="AI75" s="142">
        <v>1788</v>
      </c>
      <c r="AJ75" s="14" t="s">
        <v>1021</v>
      </c>
      <c r="AK75" s="142" t="s">
        <v>106</v>
      </c>
      <c r="AL75" s="80">
        <v>0.6</v>
      </c>
      <c r="AM75" s="1" t="s">
        <v>963</v>
      </c>
      <c r="AN75" s="1" t="s">
        <v>164</v>
      </c>
      <c r="AO75" s="1" t="s">
        <v>164</v>
      </c>
      <c r="AP75" s="143">
        <v>0.6</v>
      </c>
      <c r="AQ75" s="1" t="s">
        <v>963</v>
      </c>
      <c r="AR75" s="142">
        <v>11168</v>
      </c>
      <c r="AS75" s="142">
        <v>1861.33</v>
      </c>
      <c r="AT75" s="144">
        <v>1827.5</v>
      </c>
      <c r="AU75" s="4" t="s">
        <v>102</v>
      </c>
    </row>
    <row r="76" spans="1:47" x14ac:dyDescent="0.2">
      <c r="A76" s="174"/>
      <c r="B76" s="9" t="s">
        <v>160</v>
      </c>
      <c r="C76" s="14" t="s">
        <v>1020</v>
      </c>
      <c r="D76" s="142" t="s">
        <v>106</v>
      </c>
      <c r="E76" s="80">
        <v>1</v>
      </c>
      <c r="F76" s="1" t="s">
        <v>452</v>
      </c>
      <c r="G76" s="1" t="s">
        <v>164</v>
      </c>
      <c r="H76" s="1" t="s">
        <v>164</v>
      </c>
      <c r="I76" s="143">
        <v>1</v>
      </c>
      <c r="J76" s="1" t="s">
        <v>452</v>
      </c>
      <c r="K76" s="142">
        <v>1866</v>
      </c>
      <c r="L76" s="142">
        <v>1866</v>
      </c>
      <c r="M76" s="142">
        <v>1866</v>
      </c>
      <c r="N76" s="14" t="s">
        <v>1019</v>
      </c>
      <c r="O76" s="142" t="s">
        <v>106</v>
      </c>
      <c r="P76" s="80">
        <v>1</v>
      </c>
      <c r="Q76" s="1" t="s">
        <v>452</v>
      </c>
      <c r="R76" s="1" t="s">
        <v>164</v>
      </c>
      <c r="S76" s="1" t="s">
        <v>164</v>
      </c>
      <c r="T76" s="143">
        <v>1</v>
      </c>
      <c r="U76" s="1" t="s">
        <v>452</v>
      </c>
      <c r="V76" s="142">
        <v>1870</v>
      </c>
      <c r="W76" s="142">
        <v>1870</v>
      </c>
      <c r="X76" s="142">
        <v>1870</v>
      </c>
      <c r="Y76" s="14" t="s">
        <v>1018</v>
      </c>
      <c r="Z76" s="142" t="s">
        <v>106</v>
      </c>
      <c r="AA76" s="80">
        <v>1</v>
      </c>
      <c r="AB76" s="1" t="s">
        <v>529</v>
      </c>
      <c r="AC76" s="1" t="s">
        <v>164</v>
      </c>
      <c r="AD76" s="1" t="s">
        <v>164</v>
      </c>
      <c r="AE76" s="143">
        <v>1</v>
      </c>
      <c r="AF76" s="1" t="s">
        <v>529</v>
      </c>
      <c r="AG76" s="142">
        <v>17199</v>
      </c>
      <c r="AH76" s="142">
        <v>1719.9</v>
      </c>
      <c r="AI76" s="142">
        <v>1717.5</v>
      </c>
      <c r="AJ76" s="14" t="s">
        <v>1017</v>
      </c>
      <c r="AK76" s="142" t="s">
        <v>106</v>
      </c>
      <c r="AL76" s="80">
        <v>1</v>
      </c>
      <c r="AM76" s="1" t="s">
        <v>529</v>
      </c>
      <c r="AN76" s="1" t="s">
        <v>164</v>
      </c>
      <c r="AO76" s="1" t="s">
        <v>164</v>
      </c>
      <c r="AP76" s="143">
        <v>1</v>
      </c>
      <c r="AQ76" s="1" t="s">
        <v>529</v>
      </c>
      <c r="AR76" s="142">
        <v>17440</v>
      </c>
      <c r="AS76" s="142">
        <v>1744</v>
      </c>
      <c r="AT76" s="144">
        <v>1730.5</v>
      </c>
      <c r="AU76" s="4" t="s">
        <v>103</v>
      </c>
    </row>
    <row r="77" spans="1:47" x14ac:dyDescent="0.2">
      <c r="A77" s="174"/>
      <c r="B77" s="9" t="s">
        <v>76</v>
      </c>
      <c r="C77" s="14" t="s">
        <v>1016</v>
      </c>
      <c r="D77" s="142" t="s">
        <v>106</v>
      </c>
      <c r="E77" s="80">
        <v>1</v>
      </c>
      <c r="F77" s="1" t="s">
        <v>452</v>
      </c>
      <c r="G77" s="1" t="s">
        <v>164</v>
      </c>
      <c r="H77" s="1" t="s">
        <v>164</v>
      </c>
      <c r="I77" s="143">
        <v>1</v>
      </c>
      <c r="J77" s="1" t="s">
        <v>452</v>
      </c>
      <c r="K77" s="142">
        <v>1900</v>
      </c>
      <c r="L77" s="142">
        <v>1900</v>
      </c>
      <c r="M77" s="142">
        <v>1900</v>
      </c>
      <c r="N77" s="14" t="s">
        <v>1015</v>
      </c>
      <c r="O77" s="142" t="s">
        <v>106</v>
      </c>
      <c r="P77" s="80">
        <v>1</v>
      </c>
      <c r="Q77" s="1" t="s">
        <v>452</v>
      </c>
      <c r="R77" s="1" t="s">
        <v>164</v>
      </c>
      <c r="S77" s="1" t="s">
        <v>164</v>
      </c>
      <c r="T77" s="143">
        <v>1</v>
      </c>
      <c r="U77" s="1" t="s">
        <v>452</v>
      </c>
      <c r="V77" s="142">
        <v>1747</v>
      </c>
      <c r="W77" s="142">
        <v>1747</v>
      </c>
      <c r="X77" s="142">
        <v>1747</v>
      </c>
      <c r="Y77" s="14" t="s">
        <v>1014</v>
      </c>
      <c r="Z77" s="142" t="s">
        <v>106</v>
      </c>
      <c r="AA77" s="80">
        <v>1</v>
      </c>
      <c r="AB77" s="1" t="s">
        <v>529</v>
      </c>
      <c r="AC77" s="1" t="s">
        <v>164</v>
      </c>
      <c r="AD77" s="1" t="s">
        <v>164</v>
      </c>
      <c r="AE77" s="143">
        <v>1</v>
      </c>
      <c r="AF77" s="1" t="s">
        <v>529</v>
      </c>
      <c r="AG77" s="142">
        <v>17759</v>
      </c>
      <c r="AH77" s="142">
        <v>1775.9</v>
      </c>
      <c r="AI77" s="142">
        <v>1793</v>
      </c>
      <c r="AJ77" s="14" t="s">
        <v>1013</v>
      </c>
      <c r="AK77" s="142" t="s">
        <v>106</v>
      </c>
      <c r="AL77" s="80">
        <v>1</v>
      </c>
      <c r="AM77" s="1" t="s">
        <v>529</v>
      </c>
      <c r="AN77" s="1" t="s">
        <v>164</v>
      </c>
      <c r="AO77" s="1" t="s">
        <v>164</v>
      </c>
      <c r="AP77" s="143">
        <v>1</v>
      </c>
      <c r="AQ77" s="1" t="s">
        <v>529</v>
      </c>
      <c r="AR77" s="142">
        <v>20562</v>
      </c>
      <c r="AS77" s="142">
        <v>2056.1999999999998</v>
      </c>
      <c r="AT77" s="144">
        <v>1792</v>
      </c>
      <c r="AU77" s="4" t="s">
        <v>103</v>
      </c>
    </row>
    <row r="78" spans="1:47" x14ac:dyDescent="0.2">
      <c r="A78" s="174"/>
      <c r="B78" s="9" t="s">
        <v>161</v>
      </c>
      <c r="C78" s="14" t="s">
        <v>1012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1011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1010</v>
      </c>
      <c r="Z78" s="142" t="s">
        <v>106</v>
      </c>
      <c r="AA78" s="80">
        <v>0.3</v>
      </c>
      <c r="AB78" s="1" t="s">
        <v>1004</v>
      </c>
      <c r="AC78" s="1" t="s">
        <v>164</v>
      </c>
      <c r="AD78" s="1" t="s">
        <v>164</v>
      </c>
      <c r="AE78" s="143">
        <v>0.3</v>
      </c>
      <c r="AF78" s="1" t="s">
        <v>1004</v>
      </c>
      <c r="AG78" s="142">
        <v>42126</v>
      </c>
      <c r="AH78" s="142">
        <v>14042</v>
      </c>
      <c r="AI78" s="142">
        <v>9451</v>
      </c>
      <c r="AJ78" s="14" t="s">
        <v>1009</v>
      </c>
      <c r="AK78" s="142" t="s">
        <v>106</v>
      </c>
      <c r="AL78" s="80">
        <v>0.25</v>
      </c>
      <c r="AM78" s="1" t="s">
        <v>1008</v>
      </c>
      <c r="AN78" s="1" t="s">
        <v>164</v>
      </c>
      <c r="AO78" s="1" t="s">
        <v>164</v>
      </c>
      <c r="AP78" s="143">
        <v>0.25</v>
      </c>
      <c r="AQ78" s="1" t="s">
        <v>1008</v>
      </c>
      <c r="AR78" s="142">
        <v>179710</v>
      </c>
      <c r="AS78" s="142">
        <v>35942</v>
      </c>
      <c r="AT78" s="144">
        <v>10946</v>
      </c>
      <c r="AU78" s="4" t="s">
        <v>103</v>
      </c>
    </row>
    <row r="79" spans="1:47" x14ac:dyDescent="0.2">
      <c r="A79" s="174"/>
      <c r="B79" s="9" t="s">
        <v>77</v>
      </c>
      <c r="C79" s="14" t="s">
        <v>1007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1006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1005</v>
      </c>
      <c r="Z79" s="142" t="s">
        <v>106</v>
      </c>
      <c r="AA79" s="80">
        <v>0.3</v>
      </c>
      <c r="AB79" s="1" t="s">
        <v>1004</v>
      </c>
      <c r="AC79" s="1" t="s">
        <v>164</v>
      </c>
      <c r="AD79" s="1" t="s">
        <v>164</v>
      </c>
      <c r="AE79" s="143">
        <v>0.3</v>
      </c>
      <c r="AF79" s="1" t="s">
        <v>1004</v>
      </c>
      <c r="AG79" s="142">
        <v>104484</v>
      </c>
      <c r="AH79" s="142">
        <v>34828</v>
      </c>
      <c r="AI79" s="142">
        <v>12344</v>
      </c>
      <c r="AJ79" s="14" t="s">
        <v>1003</v>
      </c>
      <c r="AK79" s="142" t="s">
        <v>106</v>
      </c>
      <c r="AL79" s="80">
        <v>0.3</v>
      </c>
      <c r="AM79" s="1" t="s">
        <v>1111</v>
      </c>
      <c r="AN79" s="1" t="s">
        <v>164</v>
      </c>
      <c r="AO79" s="1" t="s">
        <v>164</v>
      </c>
      <c r="AP79" s="143">
        <v>0.3</v>
      </c>
      <c r="AQ79" s="1" t="s">
        <v>1111</v>
      </c>
      <c r="AR79" s="142">
        <v>91272</v>
      </c>
      <c r="AS79" s="142">
        <v>15212</v>
      </c>
      <c r="AT79" s="144">
        <v>7723</v>
      </c>
      <c r="AU79" s="4" t="s">
        <v>103</v>
      </c>
    </row>
    <row r="80" spans="1:47" x14ac:dyDescent="0.2">
      <c r="A80" s="174"/>
      <c r="B80" s="9" t="s">
        <v>162</v>
      </c>
      <c r="C80" s="14" t="s">
        <v>1002</v>
      </c>
      <c r="D80" s="142" t="s">
        <v>106</v>
      </c>
      <c r="E80" s="80">
        <v>1</v>
      </c>
      <c r="F80" s="1" t="s">
        <v>452</v>
      </c>
      <c r="G80" s="1" t="s">
        <v>164</v>
      </c>
      <c r="H80" s="1" t="s">
        <v>164</v>
      </c>
      <c r="I80" s="143">
        <v>1</v>
      </c>
      <c r="J80" s="1" t="s">
        <v>452</v>
      </c>
      <c r="K80" s="142">
        <v>2047</v>
      </c>
      <c r="L80" s="142">
        <v>2047</v>
      </c>
      <c r="M80" s="142">
        <v>2047</v>
      </c>
      <c r="N80" s="14" t="s">
        <v>1001</v>
      </c>
      <c r="O80" s="142" t="s">
        <v>106</v>
      </c>
      <c r="P80" s="80">
        <v>1</v>
      </c>
      <c r="Q80" s="1" t="s">
        <v>452</v>
      </c>
      <c r="R80" s="1" t="s">
        <v>164</v>
      </c>
      <c r="S80" s="1" t="s">
        <v>164</v>
      </c>
      <c r="T80" s="143">
        <v>1</v>
      </c>
      <c r="U80" s="1" t="s">
        <v>452</v>
      </c>
      <c r="V80" s="142">
        <v>1843</v>
      </c>
      <c r="W80" s="142">
        <v>1843</v>
      </c>
      <c r="X80" s="142">
        <v>1843</v>
      </c>
      <c r="Y80" s="14" t="s">
        <v>1000</v>
      </c>
      <c r="Z80" s="142" t="s">
        <v>106</v>
      </c>
      <c r="AA80" s="80">
        <v>1</v>
      </c>
      <c r="AB80" s="1" t="s">
        <v>529</v>
      </c>
      <c r="AC80" s="1" t="s">
        <v>164</v>
      </c>
      <c r="AD80" s="1" t="s">
        <v>164</v>
      </c>
      <c r="AE80" s="143">
        <v>1</v>
      </c>
      <c r="AF80" s="1" t="s">
        <v>529</v>
      </c>
      <c r="AG80" s="142">
        <v>17256</v>
      </c>
      <c r="AH80" s="142">
        <v>1725.6</v>
      </c>
      <c r="AI80" s="142">
        <v>1731</v>
      </c>
      <c r="AJ80" s="14" t="s">
        <v>999</v>
      </c>
      <c r="AK80" s="142" t="s">
        <v>106</v>
      </c>
      <c r="AL80" s="80">
        <v>1</v>
      </c>
      <c r="AM80" s="1" t="s">
        <v>529</v>
      </c>
      <c r="AN80" s="1" t="s">
        <v>164</v>
      </c>
      <c r="AO80" s="1" t="s">
        <v>164</v>
      </c>
      <c r="AP80" s="143">
        <v>1</v>
      </c>
      <c r="AQ80" s="1" t="s">
        <v>529</v>
      </c>
      <c r="AR80" s="142">
        <v>17894</v>
      </c>
      <c r="AS80" s="142">
        <v>1789.4</v>
      </c>
      <c r="AT80" s="144">
        <v>1755</v>
      </c>
      <c r="AU80" s="4" t="s">
        <v>103</v>
      </c>
    </row>
    <row r="81" spans="1:47" x14ac:dyDescent="0.2">
      <c r="A81" s="174"/>
      <c r="B81" s="9" t="s">
        <v>78</v>
      </c>
      <c r="C81" s="14" t="s">
        <v>998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1811</v>
      </c>
      <c r="L81" s="142">
        <v>1811</v>
      </c>
      <c r="M81" s="142">
        <v>1811</v>
      </c>
      <c r="N81" s="14" t="s">
        <v>997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1875</v>
      </c>
      <c r="W81" s="142">
        <v>1875</v>
      </c>
      <c r="X81" s="142">
        <v>1875</v>
      </c>
      <c r="Y81" s="14" t="s">
        <v>996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17712</v>
      </c>
      <c r="AH81" s="142">
        <v>1771.2</v>
      </c>
      <c r="AI81" s="142">
        <v>1766.5</v>
      </c>
      <c r="AJ81" s="14" t="s">
        <v>995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17859</v>
      </c>
      <c r="AS81" s="142">
        <v>1785.9</v>
      </c>
      <c r="AT81" s="144">
        <v>1765</v>
      </c>
      <c r="AU81" s="4" t="s">
        <v>103</v>
      </c>
    </row>
    <row r="82" spans="1:47" x14ac:dyDescent="0.2">
      <c r="A82" s="174"/>
      <c r="B82" s="9" t="s">
        <v>79</v>
      </c>
      <c r="C82" s="14" t="s">
        <v>994</v>
      </c>
      <c r="D82" s="142" t="s">
        <v>106</v>
      </c>
      <c r="E82" s="80">
        <v>0</v>
      </c>
      <c r="F82" s="1" t="s">
        <v>169</v>
      </c>
      <c r="G82" s="80">
        <v>1</v>
      </c>
      <c r="H82" s="1" t="s">
        <v>452</v>
      </c>
      <c r="I82" s="143">
        <v>1</v>
      </c>
      <c r="J82" s="1" t="s">
        <v>452</v>
      </c>
      <c r="K82" s="142">
        <v>29534</v>
      </c>
      <c r="L82" s="142">
        <v>29534</v>
      </c>
      <c r="M82" s="142">
        <v>29534</v>
      </c>
      <c r="N82" s="14" t="s">
        <v>993</v>
      </c>
      <c r="O82" s="142" t="s">
        <v>106</v>
      </c>
      <c r="P82" s="80">
        <v>0</v>
      </c>
      <c r="Q82" s="1" t="s">
        <v>169</v>
      </c>
      <c r="R82" s="80">
        <v>1</v>
      </c>
      <c r="S82" s="1" t="s">
        <v>452</v>
      </c>
      <c r="T82" s="143">
        <v>1</v>
      </c>
      <c r="U82" s="1" t="s">
        <v>452</v>
      </c>
      <c r="V82" s="142">
        <v>12146</v>
      </c>
      <c r="W82" s="142">
        <v>12146</v>
      </c>
      <c r="X82" s="142">
        <v>12146</v>
      </c>
      <c r="Y82" s="14" t="s">
        <v>992</v>
      </c>
      <c r="Z82" s="142" t="s">
        <v>106</v>
      </c>
      <c r="AA82" s="80">
        <v>1</v>
      </c>
      <c r="AB82" s="1" t="s">
        <v>516</v>
      </c>
      <c r="AC82" s="80">
        <v>0</v>
      </c>
      <c r="AD82" s="1" t="s">
        <v>218</v>
      </c>
      <c r="AE82" s="143">
        <v>0.5</v>
      </c>
      <c r="AF82" s="1" t="s">
        <v>511</v>
      </c>
      <c r="AG82" s="142">
        <v>8604</v>
      </c>
      <c r="AH82" s="142">
        <v>1720.8</v>
      </c>
      <c r="AI82" s="142">
        <v>1719</v>
      </c>
      <c r="AJ82" s="14" t="s">
        <v>991</v>
      </c>
      <c r="AK82" s="142" t="s">
        <v>106</v>
      </c>
      <c r="AL82" s="80">
        <v>1</v>
      </c>
      <c r="AM82" s="1" t="s">
        <v>516</v>
      </c>
      <c r="AN82" s="80">
        <v>0</v>
      </c>
      <c r="AO82" s="1" t="s">
        <v>218</v>
      </c>
      <c r="AP82" s="143">
        <v>0.5</v>
      </c>
      <c r="AQ82" s="1" t="s">
        <v>511</v>
      </c>
      <c r="AR82" s="142">
        <v>8720</v>
      </c>
      <c r="AS82" s="142">
        <v>1744</v>
      </c>
      <c r="AT82" s="144">
        <v>1742</v>
      </c>
      <c r="AU82" s="4" t="s">
        <v>102</v>
      </c>
    </row>
    <row r="83" spans="1:47" x14ac:dyDescent="0.2">
      <c r="A83" s="174"/>
      <c r="B83" s="9" t="s">
        <v>80</v>
      </c>
      <c r="C83" s="14" t="s">
        <v>990</v>
      </c>
      <c r="D83" s="142" t="s">
        <v>106</v>
      </c>
      <c r="E83" s="80">
        <v>1</v>
      </c>
      <c r="F83" s="1" t="s">
        <v>452</v>
      </c>
      <c r="G83" s="1" t="s">
        <v>164</v>
      </c>
      <c r="H83" s="1" t="s">
        <v>164</v>
      </c>
      <c r="I83" s="143">
        <v>1</v>
      </c>
      <c r="J83" s="1" t="s">
        <v>452</v>
      </c>
      <c r="K83" s="142">
        <v>15477</v>
      </c>
      <c r="L83" s="142">
        <v>15477</v>
      </c>
      <c r="M83" s="142">
        <v>15477</v>
      </c>
      <c r="N83" s="14" t="s">
        <v>989</v>
      </c>
      <c r="O83" s="142" t="s">
        <v>106</v>
      </c>
      <c r="P83" s="80">
        <v>1</v>
      </c>
      <c r="Q83" s="1" t="s">
        <v>452</v>
      </c>
      <c r="R83" s="1" t="s">
        <v>164</v>
      </c>
      <c r="S83" s="1" t="s">
        <v>164</v>
      </c>
      <c r="T83" s="143">
        <v>1</v>
      </c>
      <c r="U83" s="1" t="s">
        <v>452</v>
      </c>
      <c r="V83" s="142">
        <v>18625</v>
      </c>
      <c r="W83" s="142">
        <v>18625</v>
      </c>
      <c r="X83" s="142">
        <v>18625</v>
      </c>
      <c r="Y83" s="14" t="s">
        <v>988</v>
      </c>
      <c r="Z83" s="142" t="s">
        <v>106</v>
      </c>
      <c r="AA83" s="80">
        <v>1</v>
      </c>
      <c r="AB83" s="1" t="s">
        <v>529</v>
      </c>
      <c r="AC83" s="1" t="s">
        <v>164</v>
      </c>
      <c r="AD83" s="1" t="s">
        <v>164</v>
      </c>
      <c r="AE83" s="143">
        <v>1</v>
      </c>
      <c r="AF83" s="1" t="s">
        <v>529</v>
      </c>
      <c r="AG83" s="142">
        <v>17160</v>
      </c>
      <c r="AH83" s="142">
        <v>1716</v>
      </c>
      <c r="AI83" s="142">
        <v>1709</v>
      </c>
      <c r="AJ83" s="14" t="s">
        <v>987</v>
      </c>
      <c r="AK83" s="142" t="s">
        <v>106</v>
      </c>
      <c r="AL83" s="80">
        <v>1</v>
      </c>
      <c r="AM83" s="1" t="s">
        <v>529</v>
      </c>
      <c r="AN83" s="1" t="s">
        <v>164</v>
      </c>
      <c r="AO83" s="1" t="s">
        <v>164</v>
      </c>
      <c r="AP83" s="143">
        <v>1</v>
      </c>
      <c r="AQ83" s="1" t="s">
        <v>529</v>
      </c>
      <c r="AR83" s="142">
        <v>18655</v>
      </c>
      <c r="AS83" s="142">
        <v>1865.5</v>
      </c>
      <c r="AT83" s="144">
        <v>1755.5</v>
      </c>
      <c r="AU83" s="4" t="s">
        <v>102</v>
      </c>
    </row>
    <row r="84" spans="1:47" x14ac:dyDescent="0.2">
      <c r="A84" s="174"/>
      <c r="B84" s="9" t="s">
        <v>81</v>
      </c>
      <c r="C84" s="14" t="s">
        <v>986</v>
      </c>
      <c r="D84" s="142" t="s">
        <v>106</v>
      </c>
      <c r="E84" s="80">
        <v>0</v>
      </c>
      <c r="F84" s="1" t="s">
        <v>169</v>
      </c>
      <c r="G84" s="80">
        <v>1</v>
      </c>
      <c r="H84" s="1" t="s">
        <v>452</v>
      </c>
      <c r="I84" s="143">
        <v>1</v>
      </c>
      <c r="J84" s="1" t="s">
        <v>452</v>
      </c>
      <c r="K84" s="142">
        <v>10448</v>
      </c>
      <c r="L84" s="142">
        <v>10448</v>
      </c>
      <c r="M84" s="142">
        <v>10448</v>
      </c>
      <c r="N84" s="14" t="s">
        <v>985</v>
      </c>
      <c r="O84" s="142" t="s">
        <v>106</v>
      </c>
      <c r="P84" s="80">
        <v>0</v>
      </c>
      <c r="Q84" s="1" t="s">
        <v>169</v>
      </c>
      <c r="R84" s="80">
        <v>1</v>
      </c>
      <c r="S84" s="1" t="s">
        <v>452</v>
      </c>
      <c r="T84" s="143">
        <v>1</v>
      </c>
      <c r="U84" s="1" t="s">
        <v>452</v>
      </c>
      <c r="V84" s="142">
        <v>10250</v>
      </c>
      <c r="W84" s="142">
        <v>10250</v>
      </c>
      <c r="X84" s="142">
        <v>10250</v>
      </c>
      <c r="Y84" s="14" t="s">
        <v>984</v>
      </c>
      <c r="Z84" s="142" t="s">
        <v>106</v>
      </c>
      <c r="AA84" s="80">
        <v>1</v>
      </c>
      <c r="AB84" s="1" t="s">
        <v>516</v>
      </c>
      <c r="AC84" s="80">
        <v>0.4</v>
      </c>
      <c r="AD84" s="1" t="s">
        <v>974</v>
      </c>
      <c r="AE84" s="143">
        <v>0.7</v>
      </c>
      <c r="AF84" s="1" t="s">
        <v>973</v>
      </c>
      <c r="AG84" s="142">
        <v>15461</v>
      </c>
      <c r="AH84" s="142">
        <v>2208.71</v>
      </c>
      <c r="AI84" s="142">
        <v>2196</v>
      </c>
      <c r="AJ84" s="14" t="s">
        <v>983</v>
      </c>
      <c r="AK84" s="142" t="s">
        <v>106</v>
      </c>
      <c r="AL84" s="80">
        <v>1</v>
      </c>
      <c r="AM84" s="1" t="s">
        <v>516</v>
      </c>
      <c r="AN84" s="80">
        <v>0.4</v>
      </c>
      <c r="AO84" s="1" t="s">
        <v>974</v>
      </c>
      <c r="AP84" s="143">
        <v>0.7</v>
      </c>
      <c r="AQ84" s="1" t="s">
        <v>973</v>
      </c>
      <c r="AR84" s="142">
        <v>15740</v>
      </c>
      <c r="AS84" s="142">
        <v>2248.5700000000002</v>
      </c>
      <c r="AT84" s="144">
        <v>2181</v>
      </c>
      <c r="AU84" s="4" t="s">
        <v>102</v>
      </c>
    </row>
    <row r="85" spans="1:47" x14ac:dyDescent="0.2">
      <c r="A85" s="174"/>
      <c r="B85" s="9" t="s">
        <v>82</v>
      </c>
      <c r="C85" s="14" t="s">
        <v>982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1968</v>
      </c>
      <c r="L85" s="142">
        <v>1968</v>
      </c>
      <c r="M85" s="142">
        <v>1968</v>
      </c>
      <c r="N85" s="14" t="s">
        <v>981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1847</v>
      </c>
      <c r="W85" s="142">
        <v>1847</v>
      </c>
      <c r="X85" s="142">
        <v>1847</v>
      </c>
      <c r="Y85" s="14" t="s">
        <v>980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17547</v>
      </c>
      <c r="AH85" s="142">
        <v>1754.7</v>
      </c>
      <c r="AI85" s="142">
        <v>1733</v>
      </c>
      <c r="AJ85" s="14" t="s">
        <v>979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18416</v>
      </c>
      <c r="AS85" s="142">
        <v>1841.6</v>
      </c>
      <c r="AT85" s="144">
        <v>1834</v>
      </c>
      <c r="AU85" s="4" t="s">
        <v>102</v>
      </c>
    </row>
    <row r="86" spans="1:47" x14ac:dyDescent="0.2">
      <c r="A86" s="174"/>
      <c r="B86" s="9" t="s">
        <v>83</v>
      </c>
      <c r="C86" s="14" t="s">
        <v>978</v>
      </c>
      <c r="D86" s="142" t="s">
        <v>106</v>
      </c>
      <c r="E86" s="80">
        <v>0</v>
      </c>
      <c r="F86" s="1" t="s">
        <v>169</v>
      </c>
      <c r="G86" s="80">
        <v>0</v>
      </c>
      <c r="H86" s="1" t="s">
        <v>163</v>
      </c>
      <c r="I86" s="143">
        <v>0</v>
      </c>
      <c r="J86" s="1" t="s">
        <v>163</v>
      </c>
      <c r="K86" s="142">
        <v>0</v>
      </c>
      <c r="L86" s="142">
        <v>0</v>
      </c>
      <c r="M86" s="142">
        <v>0</v>
      </c>
      <c r="N86" s="14" t="s">
        <v>977</v>
      </c>
      <c r="O86" s="142" t="s">
        <v>106</v>
      </c>
      <c r="P86" s="80">
        <v>0</v>
      </c>
      <c r="Q86" s="1" t="s">
        <v>169</v>
      </c>
      <c r="R86" s="80">
        <v>0</v>
      </c>
      <c r="S86" s="1" t="s">
        <v>163</v>
      </c>
      <c r="T86" s="143">
        <v>0</v>
      </c>
      <c r="U86" s="1" t="s">
        <v>163</v>
      </c>
      <c r="V86" s="142">
        <v>0</v>
      </c>
      <c r="W86" s="142">
        <v>0</v>
      </c>
      <c r="X86" s="142">
        <v>0</v>
      </c>
      <c r="Y86" s="14" t="s">
        <v>976</v>
      </c>
      <c r="Z86" s="142" t="s">
        <v>106</v>
      </c>
      <c r="AA86" s="80">
        <v>1</v>
      </c>
      <c r="AB86" s="1" t="s">
        <v>516</v>
      </c>
      <c r="AC86" s="80">
        <v>0.4</v>
      </c>
      <c r="AD86" s="1" t="s">
        <v>974</v>
      </c>
      <c r="AE86" s="143">
        <v>0.7</v>
      </c>
      <c r="AF86" s="1" t="s">
        <v>973</v>
      </c>
      <c r="AG86" s="142">
        <v>83363</v>
      </c>
      <c r="AH86" s="142">
        <v>11909</v>
      </c>
      <c r="AI86" s="142">
        <v>1836</v>
      </c>
      <c r="AJ86" s="14" t="s">
        <v>975</v>
      </c>
      <c r="AK86" s="142" t="s">
        <v>106</v>
      </c>
      <c r="AL86" s="80">
        <v>1</v>
      </c>
      <c r="AM86" s="1" t="s">
        <v>516</v>
      </c>
      <c r="AN86" s="80">
        <v>0.4</v>
      </c>
      <c r="AO86" s="1" t="s">
        <v>974</v>
      </c>
      <c r="AP86" s="143">
        <v>0.7</v>
      </c>
      <c r="AQ86" s="1" t="s">
        <v>973</v>
      </c>
      <c r="AR86" s="142">
        <v>76266</v>
      </c>
      <c r="AS86" s="142">
        <v>10895.14</v>
      </c>
      <c r="AT86" s="144">
        <v>1878</v>
      </c>
      <c r="AU86" s="4" t="s">
        <v>102</v>
      </c>
    </row>
    <row r="87" spans="1:47" x14ac:dyDescent="0.2">
      <c r="A87" s="174"/>
      <c r="B87" s="9" t="s">
        <v>84</v>
      </c>
      <c r="C87" s="14" t="s">
        <v>972</v>
      </c>
      <c r="D87" s="142" t="s">
        <v>106</v>
      </c>
      <c r="E87" s="80">
        <v>1</v>
      </c>
      <c r="F87" s="1" t="s">
        <v>452</v>
      </c>
      <c r="G87" s="1" t="s">
        <v>164</v>
      </c>
      <c r="H87" s="1" t="s">
        <v>164</v>
      </c>
      <c r="I87" s="143">
        <v>1</v>
      </c>
      <c r="J87" s="1" t="s">
        <v>452</v>
      </c>
      <c r="K87" s="142">
        <v>6500</v>
      </c>
      <c r="L87" s="142">
        <v>6500</v>
      </c>
      <c r="M87" s="142">
        <v>6500</v>
      </c>
      <c r="N87" s="14" t="s">
        <v>971</v>
      </c>
      <c r="O87" s="142" t="s">
        <v>106</v>
      </c>
      <c r="P87" s="80">
        <v>1</v>
      </c>
      <c r="Q87" s="1" t="s">
        <v>452</v>
      </c>
      <c r="R87" s="1" t="s">
        <v>164</v>
      </c>
      <c r="S87" s="1" t="s">
        <v>164</v>
      </c>
      <c r="T87" s="143">
        <v>1</v>
      </c>
      <c r="U87" s="1" t="s">
        <v>452</v>
      </c>
      <c r="V87" s="142">
        <v>7684</v>
      </c>
      <c r="W87" s="142">
        <v>7684</v>
      </c>
      <c r="X87" s="142">
        <v>7684</v>
      </c>
      <c r="Y87" s="14" t="s">
        <v>970</v>
      </c>
      <c r="Z87" s="142" t="s">
        <v>106</v>
      </c>
      <c r="AA87" s="80">
        <v>1</v>
      </c>
      <c r="AB87" s="1" t="s">
        <v>529</v>
      </c>
      <c r="AC87" s="1" t="s">
        <v>164</v>
      </c>
      <c r="AD87" s="1" t="s">
        <v>164</v>
      </c>
      <c r="AE87" s="143">
        <v>1</v>
      </c>
      <c r="AF87" s="1" t="s">
        <v>529</v>
      </c>
      <c r="AG87" s="142">
        <v>26095</v>
      </c>
      <c r="AH87" s="142">
        <v>2609.5</v>
      </c>
      <c r="AI87" s="142">
        <v>2582</v>
      </c>
      <c r="AJ87" s="14" t="s">
        <v>969</v>
      </c>
      <c r="AK87" s="142" t="s">
        <v>106</v>
      </c>
      <c r="AL87" s="80">
        <v>1</v>
      </c>
      <c r="AM87" s="1" t="s">
        <v>529</v>
      </c>
      <c r="AN87" s="1" t="s">
        <v>164</v>
      </c>
      <c r="AO87" s="1" t="s">
        <v>164</v>
      </c>
      <c r="AP87" s="143">
        <v>1</v>
      </c>
      <c r="AQ87" s="1" t="s">
        <v>529</v>
      </c>
      <c r="AR87" s="142">
        <v>27242</v>
      </c>
      <c r="AS87" s="142">
        <v>2724.2</v>
      </c>
      <c r="AT87" s="144">
        <v>2840.5</v>
      </c>
      <c r="AU87" s="4" t="s">
        <v>102</v>
      </c>
    </row>
    <row r="88" spans="1:47" x14ac:dyDescent="0.2">
      <c r="A88" s="174"/>
      <c r="B88" s="9" t="s">
        <v>85</v>
      </c>
      <c r="C88" s="14" t="s">
        <v>968</v>
      </c>
      <c r="D88" s="142" t="s">
        <v>106</v>
      </c>
      <c r="E88" s="80">
        <v>0</v>
      </c>
      <c r="F88" s="1" t="s">
        <v>169</v>
      </c>
      <c r="G88" s="80">
        <v>1</v>
      </c>
      <c r="H88" s="1" t="s">
        <v>452</v>
      </c>
      <c r="I88" s="143">
        <v>1</v>
      </c>
      <c r="J88" s="1" t="s">
        <v>452</v>
      </c>
      <c r="K88" s="142">
        <v>1777</v>
      </c>
      <c r="L88" s="142">
        <v>1777</v>
      </c>
      <c r="M88" s="142">
        <v>1777</v>
      </c>
      <c r="N88" s="14" t="s">
        <v>967</v>
      </c>
      <c r="O88" s="142" t="s">
        <v>106</v>
      </c>
      <c r="P88" s="80">
        <v>0</v>
      </c>
      <c r="Q88" s="1" t="s">
        <v>169</v>
      </c>
      <c r="R88" s="80">
        <v>1</v>
      </c>
      <c r="S88" s="1" t="s">
        <v>452</v>
      </c>
      <c r="T88" s="143">
        <v>1</v>
      </c>
      <c r="U88" s="1" t="s">
        <v>452</v>
      </c>
      <c r="V88" s="142">
        <v>1789</v>
      </c>
      <c r="W88" s="142">
        <v>1789</v>
      </c>
      <c r="X88" s="142">
        <v>1789</v>
      </c>
      <c r="Y88" s="14" t="s">
        <v>966</v>
      </c>
      <c r="Z88" s="142" t="s">
        <v>106</v>
      </c>
      <c r="AA88" s="80">
        <v>0.6</v>
      </c>
      <c r="AB88" s="1" t="s">
        <v>964</v>
      </c>
      <c r="AC88" s="80">
        <v>0.6</v>
      </c>
      <c r="AD88" s="1" t="s">
        <v>964</v>
      </c>
      <c r="AE88" s="143">
        <v>0.6</v>
      </c>
      <c r="AF88" s="1" t="s">
        <v>963</v>
      </c>
      <c r="AG88" s="142">
        <v>10698</v>
      </c>
      <c r="AH88" s="142">
        <v>1783</v>
      </c>
      <c r="AI88" s="142">
        <v>1779.5</v>
      </c>
      <c r="AJ88" s="14" t="s">
        <v>965</v>
      </c>
      <c r="AK88" s="142" t="s">
        <v>106</v>
      </c>
      <c r="AL88" s="80">
        <v>0.6</v>
      </c>
      <c r="AM88" s="1" t="s">
        <v>964</v>
      </c>
      <c r="AN88" s="80">
        <v>0.6</v>
      </c>
      <c r="AO88" s="1" t="s">
        <v>964</v>
      </c>
      <c r="AP88" s="143">
        <v>0.6</v>
      </c>
      <c r="AQ88" s="1" t="s">
        <v>963</v>
      </c>
      <c r="AR88" s="142">
        <v>10620</v>
      </c>
      <c r="AS88" s="142">
        <v>1770</v>
      </c>
      <c r="AT88" s="144">
        <v>1771</v>
      </c>
      <c r="AU88" s="4" t="s">
        <v>102</v>
      </c>
    </row>
    <row r="89" spans="1:47" x14ac:dyDescent="0.2">
      <c r="A89" s="174"/>
      <c r="B89" s="9" t="s">
        <v>86</v>
      </c>
      <c r="C89" s="14" t="s">
        <v>962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3124</v>
      </c>
      <c r="L89" s="142">
        <v>3124</v>
      </c>
      <c r="M89" s="142">
        <v>3124</v>
      </c>
      <c r="N89" s="14" t="s">
        <v>961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3731</v>
      </c>
      <c r="W89" s="142">
        <v>3731</v>
      </c>
      <c r="X89" s="142">
        <v>3731</v>
      </c>
      <c r="Y89" s="14" t="s">
        <v>960</v>
      </c>
      <c r="Z89" s="142" t="s">
        <v>106</v>
      </c>
      <c r="AA89" s="80">
        <v>1</v>
      </c>
      <c r="AB89" s="1" t="s">
        <v>529</v>
      </c>
      <c r="AC89" s="1" t="s">
        <v>164</v>
      </c>
      <c r="AD89" s="1" t="s">
        <v>164</v>
      </c>
      <c r="AE89" s="143">
        <v>1</v>
      </c>
      <c r="AF89" s="1" t="s">
        <v>529</v>
      </c>
      <c r="AG89" s="142">
        <v>20649</v>
      </c>
      <c r="AH89" s="142">
        <v>2064.9</v>
      </c>
      <c r="AI89" s="142">
        <v>1780</v>
      </c>
      <c r="AJ89" s="14" t="s">
        <v>959</v>
      </c>
      <c r="AK89" s="142" t="s">
        <v>106</v>
      </c>
      <c r="AL89" s="80">
        <v>1</v>
      </c>
      <c r="AM89" s="1" t="s">
        <v>529</v>
      </c>
      <c r="AN89" s="1" t="s">
        <v>164</v>
      </c>
      <c r="AO89" s="1" t="s">
        <v>164</v>
      </c>
      <c r="AP89" s="143">
        <v>1</v>
      </c>
      <c r="AQ89" s="1" t="s">
        <v>529</v>
      </c>
      <c r="AR89" s="142">
        <v>23101</v>
      </c>
      <c r="AS89" s="142">
        <v>2310.1</v>
      </c>
      <c r="AT89" s="144">
        <v>1830.5</v>
      </c>
      <c r="AU89" s="4" t="s">
        <v>102</v>
      </c>
    </row>
    <row r="90" spans="1:47" x14ac:dyDescent="0.2">
      <c r="A90" s="174"/>
      <c r="B90" s="9" t="s">
        <v>87</v>
      </c>
      <c r="C90" s="14" t="s">
        <v>958</v>
      </c>
      <c r="D90" s="142" t="s">
        <v>106</v>
      </c>
      <c r="E90" s="80">
        <v>0</v>
      </c>
      <c r="F90" s="1" t="s">
        <v>169</v>
      </c>
      <c r="G90" s="80">
        <v>1</v>
      </c>
      <c r="H90" s="1" t="s">
        <v>452</v>
      </c>
      <c r="I90" s="143">
        <v>1</v>
      </c>
      <c r="J90" s="1" t="s">
        <v>452</v>
      </c>
      <c r="K90" s="142">
        <v>2951</v>
      </c>
      <c r="L90" s="142">
        <v>2951</v>
      </c>
      <c r="M90" s="142">
        <v>2951</v>
      </c>
      <c r="N90" s="14" t="s">
        <v>957</v>
      </c>
      <c r="O90" s="142" t="s">
        <v>106</v>
      </c>
      <c r="P90" s="80">
        <v>0</v>
      </c>
      <c r="Q90" s="1" t="s">
        <v>169</v>
      </c>
      <c r="R90" s="80">
        <v>1</v>
      </c>
      <c r="S90" s="1" t="s">
        <v>452</v>
      </c>
      <c r="T90" s="143">
        <v>1</v>
      </c>
      <c r="U90" s="1" t="s">
        <v>452</v>
      </c>
      <c r="V90" s="142">
        <v>2490</v>
      </c>
      <c r="W90" s="142">
        <v>2490</v>
      </c>
      <c r="X90" s="142">
        <v>2490</v>
      </c>
      <c r="Y90" s="14" t="s">
        <v>956</v>
      </c>
      <c r="Z90" s="142" t="s">
        <v>106</v>
      </c>
      <c r="AA90" s="80">
        <v>1</v>
      </c>
      <c r="AB90" s="1" t="s">
        <v>516</v>
      </c>
      <c r="AC90" s="80">
        <v>1</v>
      </c>
      <c r="AD90" s="1" t="s">
        <v>516</v>
      </c>
      <c r="AE90" s="143">
        <v>1</v>
      </c>
      <c r="AF90" s="1" t="s">
        <v>529</v>
      </c>
      <c r="AG90" s="142">
        <v>355647</v>
      </c>
      <c r="AH90" s="142">
        <v>35564.699999999997</v>
      </c>
      <c r="AI90" s="142">
        <v>3996</v>
      </c>
      <c r="AJ90" s="14" t="s">
        <v>955</v>
      </c>
      <c r="AK90" s="142" t="s">
        <v>106</v>
      </c>
      <c r="AL90" s="80">
        <v>1</v>
      </c>
      <c r="AM90" s="1" t="s">
        <v>516</v>
      </c>
      <c r="AN90" s="80">
        <v>1</v>
      </c>
      <c r="AO90" s="1" t="s">
        <v>516</v>
      </c>
      <c r="AP90" s="143">
        <v>1</v>
      </c>
      <c r="AQ90" s="1" t="s">
        <v>529</v>
      </c>
      <c r="AR90" s="142">
        <v>325211</v>
      </c>
      <c r="AS90" s="142">
        <v>32521.1</v>
      </c>
      <c r="AT90" s="144">
        <v>5118.5</v>
      </c>
      <c r="AU90" s="4" t="s">
        <v>98</v>
      </c>
    </row>
    <row r="91" spans="1:47" x14ac:dyDescent="0.2">
      <c r="A91" s="174"/>
      <c r="B91" s="9" t="s">
        <v>88</v>
      </c>
      <c r="C91" s="14" t="s">
        <v>954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953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952</v>
      </c>
      <c r="Z91" s="142" t="s">
        <v>106</v>
      </c>
      <c r="AA91" s="80">
        <v>0.9</v>
      </c>
      <c r="AB91" s="1" t="s">
        <v>951</v>
      </c>
      <c r="AC91" s="1" t="s">
        <v>164</v>
      </c>
      <c r="AD91" s="1" t="s">
        <v>164</v>
      </c>
      <c r="AE91" s="143">
        <v>0.9</v>
      </c>
      <c r="AF91" s="1" t="s">
        <v>951</v>
      </c>
      <c r="AG91" s="142">
        <v>839719</v>
      </c>
      <c r="AH91" s="142">
        <v>93302.11</v>
      </c>
      <c r="AI91" s="142">
        <v>88044</v>
      </c>
      <c r="AJ91" s="14" t="s">
        <v>950</v>
      </c>
      <c r="AK91" s="142" t="s">
        <v>106</v>
      </c>
      <c r="AL91" s="80">
        <v>1</v>
      </c>
      <c r="AM91" s="1" t="s">
        <v>529</v>
      </c>
      <c r="AN91" s="1" t="s">
        <v>164</v>
      </c>
      <c r="AO91" s="1" t="s">
        <v>164</v>
      </c>
      <c r="AP91" s="143">
        <v>1</v>
      </c>
      <c r="AQ91" s="1" t="s">
        <v>529</v>
      </c>
      <c r="AR91" s="142">
        <v>943947</v>
      </c>
      <c r="AS91" s="142">
        <v>94394.7</v>
      </c>
      <c r="AT91" s="144">
        <v>54545.5</v>
      </c>
      <c r="AU91" s="4" t="s">
        <v>98</v>
      </c>
    </row>
    <row r="92" spans="1:47" x14ac:dyDescent="0.2">
      <c r="A92" s="174"/>
      <c r="B92" s="9" t="s">
        <v>89</v>
      </c>
      <c r="C92" s="14" t="s">
        <v>949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1918</v>
      </c>
      <c r="L92" s="142">
        <v>1918</v>
      </c>
      <c r="M92" s="142">
        <v>1918</v>
      </c>
      <c r="N92" s="14" t="s">
        <v>948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2070</v>
      </c>
      <c r="W92" s="142">
        <v>2070</v>
      </c>
      <c r="X92" s="142">
        <v>2070</v>
      </c>
      <c r="Y92" s="14" t="s">
        <v>947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17114</v>
      </c>
      <c r="AH92" s="142">
        <v>1711.4</v>
      </c>
      <c r="AI92" s="142">
        <v>1702.5</v>
      </c>
      <c r="AJ92" s="14" t="s">
        <v>946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17480</v>
      </c>
      <c r="AS92" s="142">
        <v>1748</v>
      </c>
      <c r="AT92" s="144">
        <v>1730</v>
      </c>
    </row>
    <row r="93" spans="1:47" x14ac:dyDescent="0.2">
      <c r="A93" s="174"/>
      <c r="B93" s="9" t="s">
        <v>90</v>
      </c>
      <c r="C93" s="14" t="s">
        <v>945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1835</v>
      </c>
      <c r="L93" s="142">
        <v>1835</v>
      </c>
      <c r="M93" s="142">
        <v>1835</v>
      </c>
      <c r="N93" s="14" t="s">
        <v>944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1895</v>
      </c>
      <c r="W93" s="142">
        <v>1895</v>
      </c>
      <c r="X93" s="142">
        <v>1895</v>
      </c>
      <c r="Y93" s="14" t="s">
        <v>943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17026</v>
      </c>
      <c r="AH93" s="142">
        <v>1702.6</v>
      </c>
      <c r="AI93" s="142">
        <v>1704</v>
      </c>
      <c r="AJ93" s="14" t="s">
        <v>942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20608</v>
      </c>
      <c r="AS93" s="142">
        <v>2060.8000000000002</v>
      </c>
      <c r="AT93" s="144">
        <v>1732</v>
      </c>
    </row>
    <row r="94" spans="1:47" x14ac:dyDescent="0.2">
      <c r="A94" s="174"/>
      <c r="B94" s="9" t="s">
        <v>91</v>
      </c>
      <c r="C94" s="14" t="s">
        <v>941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940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1789</v>
      </c>
      <c r="W94" s="142">
        <v>1789</v>
      </c>
      <c r="X94" s="142">
        <v>1789</v>
      </c>
      <c r="Y94" s="14" t="s">
        <v>938</v>
      </c>
      <c r="Z94" s="142" t="s">
        <v>106</v>
      </c>
      <c r="AA94" s="80">
        <v>0</v>
      </c>
      <c r="AB94" s="1" t="s">
        <v>218</v>
      </c>
      <c r="AC94" s="80">
        <v>1</v>
      </c>
      <c r="AD94" s="1" t="s">
        <v>516</v>
      </c>
      <c r="AE94" s="143">
        <v>0.5</v>
      </c>
      <c r="AF94" s="1" t="s">
        <v>511</v>
      </c>
      <c r="AG94" s="142">
        <v>12879</v>
      </c>
      <c r="AH94" s="142">
        <v>2575.8000000000002</v>
      </c>
      <c r="AI94" s="142">
        <v>2590</v>
      </c>
      <c r="AJ94" s="14" t="s">
        <v>937</v>
      </c>
      <c r="AK94" s="142" t="s">
        <v>106</v>
      </c>
      <c r="AL94" s="80">
        <v>0.5</v>
      </c>
      <c r="AM94" s="1" t="s">
        <v>936</v>
      </c>
      <c r="AN94" s="80">
        <v>1</v>
      </c>
      <c r="AO94" s="1" t="s">
        <v>529</v>
      </c>
      <c r="AP94" s="143">
        <v>0.66669999999999996</v>
      </c>
      <c r="AQ94" s="1" t="s">
        <v>935</v>
      </c>
      <c r="AR94" s="142">
        <v>54961</v>
      </c>
      <c r="AS94" s="142">
        <v>2748.05</v>
      </c>
      <c r="AT94" s="144">
        <v>2186.5</v>
      </c>
      <c r="AU94" s="4" t="s">
        <v>93</v>
      </c>
    </row>
    <row r="95" spans="1:47" s="5" customFormat="1" ht="21" thickBot="1" x14ac:dyDescent="0.25">
      <c r="A95" s="175"/>
      <c r="B95" s="11" t="s">
        <v>92</v>
      </c>
      <c r="C95" s="36" t="s">
        <v>934</v>
      </c>
      <c r="D95" s="145" t="s">
        <v>106</v>
      </c>
      <c r="E95" s="146">
        <v>0</v>
      </c>
      <c r="F95" s="139" t="s">
        <v>163</v>
      </c>
      <c r="G95" s="139" t="s">
        <v>164</v>
      </c>
      <c r="H95" s="139" t="s">
        <v>164</v>
      </c>
      <c r="I95" s="147">
        <v>0</v>
      </c>
      <c r="J95" s="139" t="s">
        <v>163</v>
      </c>
      <c r="K95" s="145">
        <v>0</v>
      </c>
      <c r="L95" s="145">
        <v>0</v>
      </c>
      <c r="M95" s="145">
        <v>0</v>
      </c>
      <c r="N95" s="36" t="s">
        <v>933</v>
      </c>
      <c r="O95" s="145" t="s">
        <v>106</v>
      </c>
      <c r="P95" s="146">
        <v>0.33329999999999999</v>
      </c>
      <c r="Q95" s="139" t="s">
        <v>932</v>
      </c>
      <c r="R95" s="139" t="s">
        <v>164</v>
      </c>
      <c r="S95" s="139" t="s">
        <v>164</v>
      </c>
      <c r="T95" s="147">
        <v>0.33329999999999999</v>
      </c>
      <c r="U95" s="139" t="s">
        <v>932</v>
      </c>
      <c r="V95" s="145">
        <v>1957</v>
      </c>
      <c r="W95" s="145">
        <v>1957</v>
      </c>
      <c r="X95" s="145">
        <v>1957</v>
      </c>
      <c r="Y95" s="36" t="s">
        <v>931</v>
      </c>
      <c r="Z95" s="145" t="s">
        <v>106</v>
      </c>
      <c r="AA95" s="146">
        <v>0.2</v>
      </c>
      <c r="AB95" s="139" t="s">
        <v>930</v>
      </c>
      <c r="AC95" s="139" t="s">
        <v>164</v>
      </c>
      <c r="AD95" s="139" t="s">
        <v>164</v>
      </c>
      <c r="AE95" s="147">
        <v>0.2</v>
      </c>
      <c r="AF95" s="139" t="s">
        <v>930</v>
      </c>
      <c r="AG95" s="145">
        <v>3587</v>
      </c>
      <c r="AH95" s="145">
        <v>1793.5</v>
      </c>
      <c r="AI95" s="145">
        <v>1793.5</v>
      </c>
      <c r="AJ95" s="36" t="s">
        <v>929</v>
      </c>
      <c r="AK95" s="145" t="s">
        <v>106</v>
      </c>
      <c r="AL95" s="146">
        <v>0.4667</v>
      </c>
      <c r="AM95" s="139" t="s">
        <v>928</v>
      </c>
      <c r="AN95" s="139" t="s">
        <v>164</v>
      </c>
      <c r="AO95" s="139" t="s">
        <v>164</v>
      </c>
      <c r="AP95" s="147">
        <v>0.4667</v>
      </c>
      <c r="AQ95" s="139" t="s">
        <v>928</v>
      </c>
      <c r="AR95" s="145">
        <v>30105</v>
      </c>
      <c r="AS95" s="145">
        <v>2150.36</v>
      </c>
      <c r="AT95" s="148">
        <v>1797.5</v>
      </c>
      <c r="AU95" s="46" t="s">
        <v>93</v>
      </c>
    </row>
    <row r="96" spans="1:47" ht="19.5" customHeight="1" x14ac:dyDescent="0.2">
      <c r="A96" s="168" t="s">
        <v>101</v>
      </c>
      <c r="B96" s="76" t="s">
        <v>10</v>
      </c>
      <c r="C96" s="14" t="s">
        <v>261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260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259</v>
      </c>
      <c r="Z96" s="142" t="s">
        <v>106</v>
      </c>
      <c r="AA96" s="80">
        <v>0</v>
      </c>
      <c r="AB96" s="1" t="s">
        <v>218</v>
      </c>
      <c r="AC96" s="80">
        <v>0</v>
      </c>
      <c r="AD96" s="1" t="s">
        <v>218</v>
      </c>
      <c r="AE96" s="143">
        <v>0</v>
      </c>
      <c r="AF96" s="1" t="s">
        <v>213</v>
      </c>
      <c r="AG96" s="142">
        <v>0</v>
      </c>
      <c r="AH96" s="142">
        <v>0</v>
      </c>
      <c r="AI96" s="142">
        <v>0</v>
      </c>
      <c r="AJ96" s="14" t="s">
        <v>258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4">
        <v>0</v>
      </c>
      <c r="AU96" s="4" t="s">
        <v>96</v>
      </c>
    </row>
    <row r="97" spans="1:47" x14ac:dyDescent="0.2">
      <c r="A97" s="168"/>
      <c r="B97" s="76" t="s">
        <v>11</v>
      </c>
      <c r="C97" s="14" t="s">
        <v>257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256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255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254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4">
        <v>0</v>
      </c>
      <c r="AU97" s="4" t="s">
        <v>96</v>
      </c>
    </row>
    <row r="98" spans="1:47" x14ac:dyDescent="0.2">
      <c r="A98" s="168"/>
      <c r="B98" s="76" t="s">
        <v>22</v>
      </c>
      <c r="C98" s="14" t="s">
        <v>253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252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251</v>
      </c>
      <c r="Z98" s="142" t="s">
        <v>106</v>
      </c>
      <c r="AA98" s="80">
        <v>0</v>
      </c>
      <c r="AB98" s="1" t="s">
        <v>218</v>
      </c>
      <c r="AC98" s="80">
        <v>0</v>
      </c>
      <c r="AD98" s="1" t="s">
        <v>218</v>
      </c>
      <c r="AE98" s="143">
        <v>0</v>
      </c>
      <c r="AF98" s="1" t="s">
        <v>213</v>
      </c>
      <c r="AG98" s="142">
        <v>0</v>
      </c>
      <c r="AH98" s="142">
        <v>0</v>
      </c>
      <c r="AI98" s="142">
        <v>0</v>
      </c>
      <c r="AJ98" s="14" t="s">
        <v>250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4">
        <v>0</v>
      </c>
      <c r="AU98" s="4" t="s">
        <v>96</v>
      </c>
    </row>
    <row r="99" spans="1:47" x14ac:dyDescent="0.2">
      <c r="A99" s="168"/>
      <c r="B99" s="76" t="s">
        <v>23</v>
      </c>
      <c r="C99" s="14" t="s">
        <v>249</v>
      </c>
      <c r="D99" s="142" t="s">
        <v>106</v>
      </c>
      <c r="E99" s="80">
        <v>0</v>
      </c>
      <c r="F99" s="1" t="s">
        <v>163</v>
      </c>
      <c r="G99" s="1" t="s">
        <v>164</v>
      </c>
      <c r="H99" s="1" t="s">
        <v>164</v>
      </c>
      <c r="I99" s="143">
        <v>0</v>
      </c>
      <c r="J99" s="1" t="s">
        <v>163</v>
      </c>
      <c r="K99" s="142">
        <v>0</v>
      </c>
      <c r="L99" s="142">
        <v>0</v>
      </c>
      <c r="M99" s="142">
        <v>0</v>
      </c>
      <c r="N99" s="14" t="s">
        <v>248</v>
      </c>
      <c r="O99" s="142" t="s">
        <v>106</v>
      </c>
      <c r="P99" s="80">
        <v>0</v>
      </c>
      <c r="Q99" s="1" t="s">
        <v>163</v>
      </c>
      <c r="R99" s="1" t="s">
        <v>164</v>
      </c>
      <c r="S99" s="1" t="s">
        <v>164</v>
      </c>
      <c r="T99" s="143">
        <v>0</v>
      </c>
      <c r="U99" s="1" t="s">
        <v>163</v>
      </c>
      <c r="V99" s="142">
        <v>0</v>
      </c>
      <c r="W99" s="142">
        <v>0</v>
      </c>
      <c r="X99" s="142">
        <v>0</v>
      </c>
      <c r="Y99" s="14" t="s">
        <v>247</v>
      </c>
      <c r="Z99" s="142" t="s">
        <v>106</v>
      </c>
      <c r="AA99" s="80">
        <v>0</v>
      </c>
      <c r="AB99" s="1" t="s">
        <v>213</v>
      </c>
      <c r="AC99" s="1" t="s">
        <v>164</v>
      </c>
      <c r="AD99" s="1" t="s">
        <v>164</v>
      </c>
      <c r="AE99" s="143">
        <v>0</v>
      </c>
      <c r="AF99" s="1" t="s">
        <v>213</v>
      </c>
      <c r="AG99" s="142">
        <v>0</v>
      </c>
      <c r="AH99" s="142">
        <v>0</v>
      </c>
      <c r="AI99" s="142">
        <v>0</v>
      </c>
      <c r="AJ99" s="14" t="s">
        <v>246</v>
      </c>
      <c r="AK99" s="142" t="s">
        <v>106</v>
      </c>
      <c r="AL99" s="80">
        <v>0</v>
      </c>
      <c r="AM99" s="1" t="s">
        <v>213</v>
      </c>
      <c r="AN99" s="1" t="s">
        <v>164</v>
      </c>
      <c r="AO99" s="1" t="s">
        <v>164</v>
      </c>
      <c r="AP99" s="143">
        <v>0</v>
      </c>
      <c r="AQ99" s="1" t="s">
        <v>213</v>
      </c>
      <c r="AR99" s="142">
        <v>0</v>
      </c>
      <c r="AS99" s="142">
        <v>0</v>
      </c>
      <c r="AT99" s="144">
        <v>0</v>
      </c>
      <c r="AU99" s="4" t="s">
        <v>96</v>
      </c>
    </row>
    <row r="100" spans="1:47" x14ac:dyDescent="0.2">
      <c r="A100" s="168"/>
      <c r="B100" s="76" t="s">
        <v>24</v>
      </c>
      <c r="C100" s="14" t="s">
        <v>245</v>
      </c>
      <c r="D100" s="142" t="s">
        <v>106</v>
      </c>
      <c r="E100" s="80">
        <v>0</v>
      </c>
      <c r="F100" s="1" t="s">
        <v>169</v>
      </c>
      <c r="G100" s="80">
        <v>0</v>
      </c>
      <c r="H100" s="1" t="s">
        <v>163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244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243</v>
      </c>
      <c r="Z100" s="142" t="s">
        <v>106</v>
      </c>
      <c r="AA100" s="80">
        <v>0</v>
      </c>
      <c r="AB100" s="1" t="s">
        <v>169</v>
      </c>
      <c r="AC100" s="80">
        <v>0</v>
      </c>
      <c r="AD100" s="1" t="s">
        <v>213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242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4">
        <v>0</v>
      </c>
      <c r="AU100" s="4" t="s">
        <v>96</v>
      </c>
    </row>
    <row r="101" spans="1:47" x14ac:dyDescent="0.2">
      <c r="A101" s="168"/>
      <c r="B101" s="76" t="s">
        <v>25</v>
      </c>
      <c r="C101" s="14" t="s">
        <v>241</v>
      </c>
      <c r="D101" s="142" t="s">
        <v>106</v>
      </c>
      <c r="E101" s="80">
        <v>0</v>
      </c>
      <c r="F101" s="1" t="s">
        <v>163</v>
      </c>
      <c r="G101" s="1" t="s">
        <v>164</v>
      </c>
      <c r="H101" s="1" t="s">
        <v>164</v>
      </c>
      <c r="I101" s="143">
        <v>0</v>
      </c>
      <c r="J101" s="1" t="s">
        <v>163</v>
      </c>
      <c r="K101" s="142">
        <v>0</v>
      </c>
      <c r="L101" s="142">
        <v>0</v>
      </c>
      <c r="M101" s="142">
        <v>0</v>
      </c>
      <c r="N101" s="14" t="s">
        <v>240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239</v>
      </c>
      <c r="Z101" s="142" t="s">
        <v>106</v>
      </c>
      <c r="AA101" s="80">
        <v>0</v>
      </c>
      <c r="AB101" s="1" t="s">
        <v>213</v>
      </c>
      <c r="AC101" s="1" t="s">
        <v>164</v>
      </c>
      <c r="AD101" s="1" t="s">
        <v>164</v>
      </c>
      <c r="AE101" s="143">
        <v>0</v>
      </c>
      <c r="AF101" s="1" t="s">
        <v>213</v>
      </c>
      <c r="AG101" s="142">
        <v>0</v>
      </c>
      <c r="AH101" s="142">
        <v>0</v>
      </c>
      <c r="AI101" s="142">
        <v>0</v>
      </c>
      <c r="AJ101" s="14" t="s">
        <v>238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4">
        <v>0</v>
      </c>
      <c r="AU101" s="4" t="s">
        <v>96</v>
      </c>
    </row>
    <row r="102" spans="1:47" x14ac:dyDescent="0.2">
      <c r="A102" s="168"/>
      <c r="B102" s="76" t="s">
        <v>130</v>
      </c>
      <c r="C102" s="14" t="s">
        <v>237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236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235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234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4">
        <v>0</v>
      </c>
      <c r="AU102" s="4" t="s">
        <v>96</v>
      </c>
    </row>
    <row r="103" spans="1:47" x14ac:dyDescent="0.2">
      <c r="A103" s="168"/>
      <c r="B103" s="76" t="s">
        <v>131</v>
      </c>
      <c r="C103" s="14" t="s">
        <v>233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233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232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231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4">
        <v>0</v>
      </c>
      <c r="AU103" s="4" t="s">
        <v>96</v>
      </c>
    </row>
    <row r="104" spans="1:47" x14ac:dyDescent="0.2">
      <c r="A104" s="168"/>
      <c r="B104" s="76" t="s">
        <v>33</v>
      </c>
      <c r="C104" s="14" t="s">
        <v>230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229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228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227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4">
        <v>0</v>
      </c>
      <c r="AU104" s="4" t="s">
        <v>96</v>
      </c>
    </row>
    <row r="105" spans="1:47" x14ac:dyDescent="0.2">
      <c r="A105" s="168"/>
      <c r="B105" s="76" t="s">
        <v>34</v>
      </c>
      <c r="C105" s="14" t="s">
        <v>226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225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224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223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4">
        <v>0</v>
      </c>
      <c r="AU105" s="4" t="s">
        <v>96</v>
      </c>
    </row>
    <row r="106" spans="1:47" x14ac:dyDescent="0.2">
      <c r="A106" s="168"/>
      <c r="B106" s="76" t="s">
        <v>132</v>
      </c>
      <c r="C106" s="14" t="s">
        <v>222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221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220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219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4">
        <v>0</v>
      </c>
      <c r="AU106" s="4" t="s">
        <v>96</v>
      </c>
    </row>
    <row r="107" spans="1:47" x14ac:dyDescent="0.2">
      <c r="A107" s="168"/>
      <c r="B107" s="76" t="s">
        <v>133</v>
      </c>
      <c r="C107" s="14" t="s">
        <v>217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216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215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214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4">
        <v>0</v>
      </c>
      <c r="AU107" s="4" t="s">
        <v>96</v>
      </c>
    </row>
    <row r="108" spans="1:47" x14ac:dyDescent="0.2">
      <c r="A108" s="168"/>
      <c r="B108" s="76" t="s">
        <v>134</v>
      </c>
      <c r="C108" s="14" t="s">
        <v>212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211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210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209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4">
        <v>0</v>
      </c>
      <c r="AU108" s="4" t="s">
        <v>96</v>
      </c>
    </row>
    <row r="109" spans="1:47" x14ac:dyDescent="0.2">
      <c r="A109" s="168"/>
      <c r="B109" s="76" t="s">
        <v>135</v>
      </c>
      <c r="C109" s="14" t="s">
        <v>208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207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206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205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4">
        <v>0</v>
      </c>
      <c r="AU109" s="4" t="s">
        <v>96</v>
      </c>
    </row>
    <row r="110" spans="1:47" x14ac:dyDescent="0.2">
      <c r="A110" s="168"/>
      <c r="B110" s="76" t="s">
        <v>60</v>
      </c>
      <c r="C110" s="14" t="s">
        <v>204</v>
      </c>
      <c r="D110" s="142" t="s">
        <v>106</v>
      </c>
      <c r="E110" s="80">
        <v>0</v>
      </c>
      <c r="F110" s="1" t="s">
        <v>169</v>
      </c>
      <c r="G110" s="80">
        <v>0</v>
      </c>
      <c r="H110" s="1" t="s">
        <v>163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203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202</v>
      </c>
      <c r="Z110" s="142" t="s">
        <v>106</v>
      </c>
      <c r="AA110" s="80">
        <v>0</v>
      </c>
      <c r="AB110" s="1" t="s">
        <v>169</v>
      </c>
      <c r="AC110" s="80">
        <v>0</v>
      </c>
      <c r="AD110" s="1" t="s">
        <v>163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201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4">
        <v>0</v>
      </c>
      <c r="AU110" s="4" t="s">
        <v>96</v>
      </c>
    </row>
    <row r="111" spans="1:47" x14ac:dyDescent="0.2">
      <c r="A111" s="168"/>
      <c r="B111" s="76" t="s">
        <v>61</v>
      </c>
      <c r="C111" s="14" t="s">
        <v>200</v>
      </c>
      <c r="D111" s="142" t="s">
        <v>106</v>
      </c>
      <c r="E111" s="80">
        <v>0</v>
      </c>
      <c r="F111" s="1" t="s">
        <v>163</v>
      </c>
      <c r="G111" s="1" t="s">
        <v>164</v>
      </c>
      <c r="H111" s="1" t="s">
        <v>164</v>
      </c>
      <c r="I111" s="143">
        <v>0</v>
      </c>
      <c r="J111" s="1" t="s">
        <v>163</v>
      </c>
      <c r="K111" s="142">
        <v>0</v>
      </c>
      <c r="L111" s="142">
        <v>0</v>
      </c>
      <c r="M111" s="142">
        <v>0</v>
      </c>
      <c r="N111" s="14" t="s">
        <v>199</v>
      </c>
      <c r="O111" s="142" t="s">
        <v>106</v>
      </c>
      <c r="P111" s="80">
        <v>0</v>
      </c>
      <c r="Q111" s="1" t="s">
        <v>163</v>
      </c>
      <c r="R111" s="1" t="s">
        <v>164</v>
      </c>
      <c r="S111" s="1" t="s">
        <v>164</v>
      </c>
      <c r="T111" s="143">
        <v>0</v>
      </c>
      <c r="U111" s="1" t="s">
        <v>163</v>
      </c>
      <c r="V111" s="142">
        <v>0</v>
      </c>
      <c r="W111" s="142">
        <v>0</v>
      </c>
      <c r="X111" s="142">
        <v>0</v>
      </c>
      <c r="Y111" s="14" t="s">
        <v>198</v>
      </c>
      <c r="Z111" s="142" t="s">
        <v>106</v>
      </c>
      <c r="AA111" s="80">
        <v>0</v>
      </c>
      <c r="AB111" s="1" t="s">
        <v>163</v>
      </c>
      <c r="AC111" s="1" t="s">
        <v>164</v>
      </c>
      <c r="AD111" s="1" t="s">
        <v>164</v>
      </c>
      <c r="AE111" s="143">
        <v>0</v>
      </c>
      <c r="AF111" s="1" t="s">
        <v>163</v>
      </c>
      <c r="AG111" s="142">
        <v>0</v>
      </c>
      <c r="AH111" s="142">
        <v>0</v>
      </c>
      <c r="AI111" s="142">
        <v>0</v>
      </c>
      <c r="AJ111" s="14" t="s">
        <v>197</v>
      </c>
      <c r="AK111" s="142" t="s">
        <v>106</v>
      </c>
      <c r="AL111" s="80">
        <v>0</v>
      </c>
      <c r="AM111" s="1" t="s">
        <v>163</v>
      </c>
      <c r="AN111" s="1" t="s">
        <v>164</v>
      </c>
      <c r="AO111" s="1" t="s">
        <v>164</v>
      </c>
      <c r="AP111" s="143">
        <v>0</v>
      </c>
      <c r="AQ111" s="1" t="s">
        <v>163</v>
      </c>
      <c r="AR111" s="142">
        <v>0</v>
      </c>
      <c r="AS111" s="142">
        <v>0</v>
      </c>
      <c r="AT111" s="144">
        <v>0</v>
      </c>
      <c r="AU111" s="4" t="s">
        <v>96</v>
      </c>
    </row>
    <row r="112" spans="1:47" x14ac:dyDescent="0.2">
      <c r="A112" s="168"/>
      <c r="B112" s="76" t="s">
        <v>136</v>
      </c>
      <c r="C112" s="14" t="s">
        <v>196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195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194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194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4">
        <v>0</v>
      </c>
      <c r="AU112" s="4" t="s">
        <v>96</v>
      </c>
    </row>
    <row r="113" spans="1:47" x14ac:dyDescent="0.2">
      <c r="A113" s="168"/>
      <c r="B113" s="76" t="s">
        <v>137</v>
      </c>
      <c r="C113" s="14" t="s">
        <v>193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192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191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190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4">
        <v>0</v>
      </c>
      <c r="AU113" s="4" t="s">
        <v>96</v>
      </c>
    </row>
    <row r="114" spans="1:47" x14ac:dyDescent="0.2">
      <c r="A114" s="168"/>
      <c r="B114" s="76" t="s">
        <v>138</v>
      </c>
      <c r="C114" s="14" t="s">
        <v>189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188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187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186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4">
        <v>0</v>
      </c>
      <c r="AU114" s="4" t="s">
        <v>96</v>
      </c>
    </row>
    <row r="115" spans="1:47" x14ac:dyDescent="0.2">
      <c r="A115" s="168"/>
      <c r="B115" s="76" t="s">
        <v>139</v>
      </c>
      <c r="C115" s="14" t="s">
        <v>185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184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183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182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4">
        <v>0</v>
      </c>
      <c r="AU115" s="4" t="s">
        <v>96</v>
      </c>
    </row>
    <row r="116" spans="1:47" x14ac:dyDescent="0.2">
      <c r="A116" s="168"/>
      <c r="B116" s="76" t="s">
        <v>140</v>
      </c>
      <c r="C116" s="14" t="s">
        <v>181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180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179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178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4">
        <v>0</v>
      </c>
      <c r="AU116" s="4" t="s">
        <v>96</v>
      </c>
    </row>
    <row r="117" spans="1:47" x14ac:dyDescent="0.2">
      <c r="A117" s="168"/>
      <c r="B117" s="76" t="s">
        <v>141</v>
      </c>
      <c r="C117" s="14" t="s">
        <v>177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176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175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174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4">
        <v>0</v>
      </c>
      <c r="AU117" s="4" t="s">
        <v>96</v>
      </c>
    </row>
    <row r="118" spans="1:47" x14ac:dyDescent="0.2">
      <c r="A118" s="168"/>
      <c r="B118" s="76" t="s">
        <v>142</v>
      </c>
      <c r="C118" s="14" t="s">
        <v>173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172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171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170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4">
        <v>0</v>
      </c>
      <c r="AU118" s="4" t="s">
        <v>96</v>
      </c>
    </row>
    <row r="119" spans="1:47" x14ac:dyDescent="0.2">
      <c r="A119" s="168"/>
      <c r="B119" s="76" t="s">
        <v>143</v>
      </c>
      <c r="C119" s="14" t="s">
        <v>168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167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166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165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4">
        <v>0</v>
      </c>
      <c r="AU119" s="4" t="s">
        <v>96</v>
      </c>
    </row>
  </sheetData>
  <mergeCells count="16">
    <mergeCell ref="A96:A119"/>
    <mergeCell ref="A1:A2"/>
    <mergeCell ref="B1:B2"/>
    <mergeCell ref="C1:M1"/>
    <mergeCell ref="N1:X1"/>
    <mergeCell ref="A3:A95"/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9BAF-A28D-42E7-BF30-338000841B66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9"/>
      <c r="B1" s="171" t="s">
        <v>95</v>
      </c>
      <c r="C1" s="163" t="s">
        <v>114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3" t="s">
        <v>115</v>
      </c>
      <c r="O1" s="164"/>
      <c r="P1" s="164"/>
      <c r="Q1" s="164"/>
      <c r="R1" s="164"/>
      <c r="S1" s="164"/>
      <c r="T1" s="164"/>
      <c r="U1" s="164"/>
      <c r="V1" s="164"/>
      <c r="W1" s="164"/>
      <c r="X1" s="165"/>
      <c r="Y1" s="163" t="s">
        <v>152</v>
      </c>
      <c r="Z1" s="164"/>
      <c r="AA1" s="164"/>
      <c r="AB1" s="164"/>
      <c r="AC1" s="164"/>
      <c r="AD1" s="164"/>
      <c r="AE1" s="164"/>
      <c r="AF1" s="164"/>
      <c r="AG1" s="164"/>
      <c r="AH1" s="164"/>
      <c r="AI1" s="165"/>
      <c r="AJ1" s="163" t="s">
        <v>153</v>
      </c>
      <c r="AK1" s="164"/>
      <c r="AL1" s="164"/>
      <c r="AM1" s="164"/>
      <c r="AN1" s="164"/>
      <c r="AO1" s="164"/>
      <c r="AP1" s="164"/>
      <c r="AQ1" s="164"/>
      <c r="AR1" s="164"/>
      <c r="AS1" s="164"/>
      <c r="AT1" s="165"/>
      <c r="AU1" s="66"/>
    </row>
    <row r="2" spans="1:47" s="5" customFormat="1" ht="21" thickBot="1" x14ac:dyDescent="0.25">
      <c r="A2" s="170"/>
      <c r="B2" s="172"/>
      <c r="C2" s="66" t="s">
        <v>154</v>
      </c>
      <c r="D2" s="166" t="s">
        <v>158</v>
      </c>
      <c r="E2" s="167"/>
      <c r="F2" s="167"/>
      <c r="G2" s="167"/>
      <c r="H2" s="167"/>
      <c r="I2" s="166" t="s">
        <v>159</v>
      </c>
      <c r="J2" s="167"/>
      <c r="K2" s="68" t="s">
        <v>157</v>
      </c>
      <c r="L2" s="77" t="s">
        <v>156</v>
      </c>
      <c r="M2" s="68" t="s">
        <v>155</v>
      </c>
      <c r="N2" s="66" t="s">
        <v>154</v>
      </c>
      <c r="O2" s="166" t="s">
        <v>158</v>
      </c>
      <c r="P2" s="167"/>
      <c r="Q2" s="167"/>
      <c r="R2" s="167"/>
      <c r="S2" s="167"/>
      <c r="T2" s="166" t="s">
        <v>159</v>
      </c>
      <c r="U2" s="167"/>
      <c r="V2" s="68" t="s">
        <v>157</v>
      </c>
      <c r="W2" s="68" t="s">
        <v>156</v>
      </c>
      <c r="X2" s="68" t="s">
        <v>155</v>
      </c>
      <c r="Y2" s="66" t="s">
        <v>154</v>
      </c>
      <c r="Z2" s="166" t="s">
        <v>158</v>
      </c>
      <c r="AA2" s="167"/>
      <c r="AB2" s="167"/>
      <c r="AC2" s="167"/>
      <c r="AD2" s="167"/>
      <c r="AE2" s="166" t="s">
        <v>159</v>
      </c>
      <c r="AF2" s="167"/>
      <c r="AG2" s="68" t="s">
        <v>157</v>
      </c>
      <c r="AH2" s="68" t="s">
        <v>156</v>
      </c>
      <c r="AI2" s="68" t="s">
        <v>155</v>
      </c>
      <c r="AJ2" s="66" t="s">
        <v>154</v>
      </c>
      <c r="AK2" s="166" t="s">
        <v>158</v>
      </c>
      <c r="AL2" s="167"/>
      <c r="AM2" s="167"/>
      <c r="AN2" s="167"/>
      <c r="AO2" s="167"/>
      <c r="AP2" s="166" t="s">
        <v>159</v>
      </c>
      <c r="AQ2" s="167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3" t="s">
        <v>100</v>
      </c>
      <c r="B3" s="9" t="s">
        <v>0</v>
      </c>
      <c r="C3" s="1" t="s">
        <v>1723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3856</v>
      </c>
      <c r="L3" s="142">
        <v>3856</v>
      </c>
      <c r="M3" s="142">
        <v>3856</v>
      </c>
      <c r="N3" s="14" t="s">
        <v>1722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3844</v>
      </c>
      <c r="W3" s="142">
        <v>3844</v>
      </c>
      <c r="X3" s="142">
        <v>3844</v>
      </c>
      <c r="Y3" s="14" t="s">
        <v>1721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35674</v>
      </c>
      <c r="AH3" s="142">
        <v>3567.4</v>
      </c>
      <c r="AI3" s="142">
        <v>3761</v>
      </c>
      <c r="AJ3" s="14" t="s">
        <v>1720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36022</v>
      </c>
      <c r="AS3" s="142">
        <v>3602.2</v>
      </c>
      <c r="AT3" s="142">
        <v>3794</v>
      </c>
    </row>
    <row r="4" spans="1:47" x14ac:dyDescent="0.2">
      <c r="A4" s="174"/>
      <c r="B4" s="9" t="s">
        <v>1</v>
      </c>
      <c r="C4" s="1" t="s">
        <v>1719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3816</v>
      </c>
      <c r="L4" s="142">
        <v>3816</v>
      </c>
      <c r="M4" s="142">
        <v>3816</v>
      </c>
      <c r="N4" s="14" t="s">
        <v>1718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3934</v>
      </c>
      <c r="W4" s="142">
        <v>3934</v>
      </c>
      <c r="X4" s="142">
        <v>3934</v>
      </c>
      <c r="Y4" s="14" t="s">
        <v>1717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35723</v>
      </c>
      <c r="AH4" s="142">
        <v>3572.3</v>
      </c>
      <c r="AI4" s="142">
        <v>3772.5</v>
      </c>
      <c r="AJ4" s="14" t="s">
        <v>1716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36095</v>
      </c>
      <c r="AS4" s="142">
        <v>3609.5</v>
      </c>
      <c r="AT4" s="142">
        <v>3801</v>
      </c>
    </row>
    <row r="5" spans="1:47" x14ac:dyDescent="0.2">
      <c r="A5" s="174"/>
      <c r="B5" s="9" t="s">
        <v>2</v>
      </c>
      <c r="C5" s="1" t="s">
        <v>1715</v>
      </c>
      <c r="D5" s="142" t="s">
        <v>106</v>
      </c>
      <c r="E5" s="80">
        <v>0</v>
      </c>
      <c r="F5" s="1" t="s">
        <v>169</v>
      </c>
      <c r="G5" s="80">
        <v>0</v>
      </c>
      <c r="H5" s="1" t="s">
        <v>163</v>
      </c>
      <c r="I5" s="143">
        <v>0</v>
      </c>
      <c r="J5" s="1" t="s">
        <v>163</v>
      </c>
      <c r="K5" s="142">
        <v>0</v>
      </c>
      <c r="L5" s="142">
        <v>0</v>
      </c>
      <c r="M5" s="142">
        <v>0</v>
      </c>
      <c r="N5" s="14" t="s">
        <v>1714</v>
      </c>
      <c r="O5" s="142" t="s">
        <v>106</v>
      </c>
      <c r="P5" s="80">
        <v>0</v>
      </c>
      <c r="Q5" s="1" t="s">
        <v>169</v>
      </c>
      <c r="R5" s="80">
        <v>1</v>
      </c>
      <c r="S5" s="1" t="s">
        <v>452</v>
      </c>
      <c r="T5" s="143">
        <v>1</v>
      </c>
      <c r="U5" s="1" t="s">
        <v>452</v>
      </c>
      <c r="V5" s="142">
        <v>41539</v>
      </c>
      <c r="W5" s="142">
        <v>41539</v>
      </c>
      <c r="X5" s="142">
        <v>41539</v>
      </c>
      <c r="Y5" s="14" t="s">
        <v>1713</v>
      </c>
      <c r="Z5" s="142" t="s">
        <v>106</v>
      </c>
      <c r="AA5" s="80">
        <v>1</v>
      </c>
      <c r="AB5" s="1" t="s">
        <v>516</v>
      </c>
      <c r="AC5" s="80">
        <v>1</v>
      </c>
      <c r="AD5" s="1" t="s">
        <v>516</v>
      </c>
      <c r="AE5" s="143">
        <v>1</v>
      </c>
      <c r="AF5" s="1" t="s">
        <v>529</v>
      </c>
      <c r="AG5" s="142">
        <v>36053</v>
      </c>
      <c r="AH5" s="142">
        <v>3605.3</v>
      </c>
      <c r="AI5" s="142">
        <v>3799</v>
      </c>
      <c r="AJ5" s="14" t="s">
        <v>1712</v>
      </c>
      <c r="AK5" s="142" t="s">
        <v>106</v>
      </c>
      <c r="AL5" s="80">
        <v>1</v>
      </c>
      <c r="AM5" s="1" t="s">
        <v>516</v>
      </c>
      <c r="AN5" s="80">
        <v>1</v>
      </c>
      <c r="AO5" s="1" t="s">
        <v>516</v>
      </c>
      <c r="AP5" s="143">
        <v>1</v>
      </c>
      <c r="AQ5" s="1" t="s">
        <v>529</v>
      </c>
      <c r="AR5" s="142">
        <v>36344</v>
      </c>
      <c r="AS5" s="142">
        <v>3634.4</v>
      </c>
      <c r="AT5" s="142">
        <v>3835</v>
      </c>
    </row>
    <row r="6" spans="1:47" x14ac:dyDescent="0.2">
      <c r="A6" s="174"/>
      <c r="B6" s="9" t="s">
        <v>3</v>
      </c>
      <c r="C6" s="1" t="s">
        <v>1711</v>
      </c>
      <c r="D6" s="142" t="s">
        <v>106</v>
      </c>
      <c r="E6" s="80">
        <v>0</v>
      </c>
      <c r="F6" s="1" t="s">
        <v>163</v>
      </c>
      <c r="G6" s="1" t="s">
        <v>164</v>
      </c>
      <c r="H6" s="1" t="s">
        <v>164</v>
      </c>
      <c r="I6" s="143">
        <v>0</v>
      </c>
      <c r="J6" s="1" t="s">
        <v>163</v>
      </c>
      <c r="K6" s="142">
        <v>0</v>
      </c>
      <c r="L6" s="142">
        <v>0</v>
      </c>
      <c r="M6" s="142">
        <v>0</v>
      </c>
      <c r="N6" s="14" t="s">
        <v>1710</v>
      </c>
      <c r="O6" s="142" t="s">
        <v>106</v>
      </c>
      <c r="P6" s="80">
        <v>0</v>
      </c>
      <c r="Q6" s="1" t="s">
        <v>163</v>
      </c>
      <c r="R6" s="1" t="s">
        <v>164</v>
      </c>
      <c r="S6" s="1" t="s">
        <v>164</v>
      </c>
      <c r="T6" s="143">
        <v>0</v>
      </c>
      <c r="U6" s="1" t="s">
        <v>163</v>
      </c>
      <c r="V6" s="142">
        <v>0</v>
      </c>
      <c r="W6" s="142">
        <v>0</v>
      </c>
      <c r="X6" s="142">
        <v>0</v>
      </c>
      <c r="Y6" s="14" t="s">
        <v>1709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25595</v>
      </c>
      <c r="AH6" s="142">
        <v>2559.5</v>
      </c>
      <c r="AI6" s="142">
        <v>1771.5</v>
      </c>
      <c r="AJ6" s="14" t="s">
        <v>1708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26086</v>
      </c>
      <c r="AS6" s="142">
        <v>2608.6</v>
      </c>
      <c r="AT6" s="142">
        <v>1813</v>
      </c>
    </row>
    <row r="7" spans="1:47" x14ac:dyDescent="0.2">
      <c r="A7" s="174"/>
      <c r="B7" s="9" t="s">
        <v>4</v>
      </c>
      <c r="C7" s="1" t="s">
        <v>1707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1706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1705</v>
      </c>
      <c r="Z7" s="142" t="s">
        <v>106</v>
      </c>
      <c r="AA7" s="80">
        <v>0.6</v>
      </c>
      <c r="AB7" s="1" t="s">
        <v>964</v>
      </c>
      <c r="AC7" s="80">
        <v>1</v>
      </c>
      <c r="AD7" s="1" t="s">
        <v>516</v>
      </c>
      <c r="AE7" s="143">
        <v>0.8</v>
      </c>
      <c r="AF7" s="1" t="s">
        <v>1077</v>
      </c>
      <c r="AG7" s="142">
        <v>38956</v>
      </c>
      <c r="AH7" s="142">
        <v>4869.5</v>
      </c>
      <c r="AI7" s="142">
        <v>5856.5</v>
      </c>
      <c r="AJ7" s="14" t="s">
        <v>1704</v>
      </c>
      <c r="AK7" s="142" t="s">
        <v>106</v>
      </c>
      <c r="AL7" s="80">
        <v>0.6</v>
      </c>
      <c r="AM7" s="1" t="s">
        <v>963</v>
      </c>
      <c r="AN7" s="80">
        <v>1</v>
      </c>
      <c r="AO7" s="1" t="s">
        <v>1325</v>
      </c>
      <c r="AP7" s="143">
        <v>0.75</v>
      </c>
      <c r="AQ7" s="1" t="s">
        <v>1261</v>
      </c>
      <c r="AR7" s="142">
        <v>73720</v>
      </c>
      <c r="AS7" s="142">
        <v>4914.67</v>
      </c>
      <c r="AT7" s="142">
        <v>5949</v>
      </c>
    </row>
    <row r="8" spans="1:47" x14ac:dyDescent="0.2">
      <c r="A8" s="174"/>
      <c r="B8" s="9" t="s">
        <v>5</v>
      </c>
      <c r="C8" s="1" t="s">
        <v>1703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1702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1701</v>
      </c>
      <c r="Z8" s="142" t="s">
        <v>106</v>
      </c>
      <c r="AA8" s="80">
        <v>0.8</v>
      </c>
      <c r="AB8" s="1" t="s">
        <v>1077</v>
      </c>
      <c r="AC8" s="1" t="s">
        <v>164</v>
      </c>
      <c r="AD8" s="1" t="s">
        <v>164</v>
      </c>
      <c r="AE8" s="143">
        <v>0.8</v>
      </c>
      <c r="AF8" s="1" t="s">
        <v>1077</v>
      </c>
      <c r="AG8" s="142">
        <v>31476</v>
      </c>
      <c r="AH8" s="142">
        <v>3934.5</v>
      </c>
      <c r="AI8" s="142">
        <v>3886.5</v>
      </c>
      <c r="AJ8" s="14" t="s">
        <v>1700</v>
      </c>
      <c r="AK8" s="142" t="s">
        <v>106</v>
      </c>
      <c r="AL8" s="80">
        <v>0.8</v>
      </c>
      <c r="AM8" s="1" t="s">
        <v>1320</v>
      </c>
      <c r="AN8" s="1" t="s">
        <v>164</v>
      </c>
      <c r="AO8" s="1" t="s">
        <v>164</v>
      </c>
      <c r="AP8" s="143">
        <v>0.8</v>
      </c>
      <c r="AQ8" s="1" t="s">
        <v>1320</v>
      </c>
      <c r="AR8" s="142">
        <v>61528</v>
      </c>
      <c r="AS8" s="142">
        <v>3845.5</v>
      </c>
      <c r="AT8" s="142">
        <v>3954</v>
      </c>
    </row>
    <row r="9" spans="1:47" x14ac:dyDescent="0.2">
      <c r="A9" s="174"/>
      <c r="B9" s="9" t="s">
        <v>6</v>
      </c>
      <c r="C9" s="1" t="s">
        <v>1699</v>
      </c>
      <c r="D9" s="142" t="s">
        <v>106</v>
      </c>
      <c r="E9" s="80">
        <v>0</v>
      </c>
      <c r="F9" s="1" t="s">
        <v>169</v>
      </c>
      <c r="G9" s="80">
        <v>0</v>
      </c>
      <c r="H9" s="1" t="s">
        <v>163</v>
      </c>
      <c r="I9" s="143">
        <v>0</v>
      </c>
      <c r="J9" s="1" t="s">
        <v>163</v>
      </c>
      <c r="K9" s="142">
        <v>0</v>
      </c>
      <c r="L9" s="142">
        <v>0</v>
      </c>
      <c r="M9" s="142">
        <v>0</v>
      </c>
      <c r="N9" s="14" t="s">
        <v>1698</v>
      </c>
      <c r="O9" s="142" t="s">
        <v>106</v>
      </c>
      <c r="P9" s="80">
        <v>0</v>
      </c>
      <c r="Q9" s="1" t="s">
        <v>169</v>
      </c>
      <c r="R9" s="80">
        <v>0</v>
      </c>
      <c r="S9" s="1" t="s">
        <v>939</v>
      </c>
      <c r="T9" s="143">
        <v>0</v>
      </c>
      <c r="U9" s="1" t="s">
        <v>939</v>
      </c>
      <c r="V9" s="142">
        <v>0</v>
      </c>
      <c r="W9" s="142">
        <v>0</v>
      </c>
      <c r="X9" s="142">
        <v>0</v>
      </c>
      <c r="Y9" s="14" t="s">
        <v>1697</v>
      </c>
      <c r="Z9" s="142" t="s">
        <v>106</v>
      </c>
      <c r="AA9" s="80">
        <v>0.6</v>
      </c>
      <c r="AB9" s="1" t="s">
        <v>964</v>
      </c>
      <c r="AC9" s="80">
        <v>1</v>
      </c>
      <c r="AD9" s="1" t="s">
        <v>516</v>
      </c>
      <c r="AE9" s="143">
        <v>0.8</v>
      </c>
      <c r="AF9" s="1" t="s">
        <v>1077</v>
      </c>
      <c r="AG9" s="142">
        <v>114229</v>
      </c>
      <c r="AH9" s="142">
        <v>14278.62</v>
      </c>
      <c r="AI9" s="142">
        <v>10061.5</v>
      </c>
      <c r="AJ9" s="14" t="s">
        <v>1696</v>
      </c>
      <c r="AK9" s="142" t="s">
        <v>106</v>
      </c>
      <c r="AL9" s="80">
        <v>0.6</v>
      </c>
      <c r="AM9" s="1" t="s">
        <v>963</v>
      </c>
      <c r="AN9" s="80">
        <v>0.9</v>
      </c>
      <c r="AO9" s="1" t="s">
        <v>951</v>
      </c>
      <c r="AP9" s="143">
        <v>0.75</v>
      </c>
      <c r="AQ9" s="1" t="s">
        <v>1261</v>
      </c>
      <c r="AR9" s="142">
        <v>483238</v>
      </c>
      <c r="AS9" s="142">
        <v>32215.87</v>
      </c>
      <c r="AT9" s="142">
        <v>10209</v>
      </c>
    </row>
    <row r="10" spans="1:47" x14ac:dyDescent="0.2">
      <c r="A10" s="174"/>
      <c r="B10" s="9" t="s">
        <v>7</v>
      </c>
      <c r="C10" s="1" t="s">
        <v>1695</v>
      </c>
      <c r="D10" s="142" t="s">
        <v>106</v>
      </c>
      <c r="E10" s="80">
        <v>0</v>
      </c>
      <c r="F10" s="1" t="s">
        <v>163</v>
      </c>
      <c r="G10" s="1" t="s">
        <v>164</v>
      </c>
      <c r="H10" s="1" t="s">
        <v>164</v>
      </c>
      <c r="I10" s="143">
        <v>0</v>
      </c>
      <c r="J10" s="1" t="s">
        <v>163</v>
      </c>
      <c r="K10" s="142">
        <v>0</v>
      </c>
      <c r="L10" s="142">
        <v>0</v>
      </c>
      <c r="M10" s="142">
        <v>0</v>
      </c>
      <c r="N10" s="14" t="s">
        <v>1694</v>
      </c>
      <c r="O10" s="142" t="s">
        <v>106</v>
      </c>
      <c r="P10" s="80">
        <v>0</v>
      </c>
      <c r="Q10" s="1" t="s">
        <v>939</v>
      </c>
      <c r="R10" s="1" t="s">
        <v>164</v>
      </c>
      <c r="S10" s="1" t="s">
        <v>164</v>
      </c>
      <c r="T10" s="143">
        <v>0</v>
      </c>
      <c r="U10" s="1" t="s">
        <v>939</v>
      </c>
      <c r="V10" s="142">
        <v>0</v>
      </c>
      <c r="W10" s="142">
        <v>0</v>
      </c>
      <c r="X10" s="142">
        <v>0</v>
      </c>
      <c r="Y10" s="14" t="s">
        <v>1693</v>
      </c>
      <c r="Z10" s="142" t="s">
        <v>106</v>
      </c>
      <c r="AA10" s="80">
        <v>0.7</v>
      </c>
      <c r="AB10" s="1" t="s">
        <v>973</v>
      </c>
      <c r="AC10" s="1" t="s">
        <v>164</v>
      </c>
      <c r="AD10" s="1" t="s">
        <v>164</v>
      </c>
      <c r="AE10" s="143">
        <v>0.7</v>
      </c>
      <c r="AF10" s="1" t="s">
        <v>973</v>
      </c>
      <c r="AG10" s="142">
        <v>60113</v>
      </c>
      <c r="AH10" s="142">
        <v>8587.57</v>
      </c>
      <c r="AI10" s="142">
        <v>10687</v>
      </c>
      <c r="AJ10" s="14" t="s">
        <v>1692</v>
      </c>
      <c r="AK10" s="142" t="s">
        <v>106</v>
      </c>
      <c r="AL10" s="80">
        <v>0.75</v>
      </c>
      <c r="AM10" s="1" t="s">
        <v>1261</v>
      </c>
      <c r="AN10" s="1" t="s">
        <v>164</v>
      </c>
      <c r="AO10" s="1" t="s">
        <v>164</v>
      </c>
      <c r="AP10" s="143">
        <v>0.75</v>
      </c>
      <c r="AQ10" s="1" t="s">
        <v>1261</v>
      </c>
      <c r="AR10" s="142">
        <v>203270</v>
      </c>
      <c r="AS10" s="142">
        <v>13551.33</v>
      </c>
      <c r="AT10" s="142">
        <v>10531</v>
      </c>
    </row>
    <row r="11" spans="1:47" x14ac:dyDescent="0.2">
      <c r="A11" s="174"/>
      <c r="B11" s="9" t="s">
        <v>8</v>
      </c>
      <c r="C11" s="1" t="s">
        <v>1691</v>
      </c>
      <c r="D11" s="142" t="s">
        <v>106</v>
      </c>
      <c r="E11" s="80">
        <v>0</v>
      </c>
      <c r="F11" s="1" t="s">
        <v>169</v>
      </c>
      <c r="G11" s="80">
        <v>1</v>
      </c>
      <c r="H11" s="1" t="s">
        <v>452</v>
      </c>
      <c r="I11" s="143">
        <v>1</v>
      </c>
      <c r="J11" s="1" t="s">
        <v>452</v>
      </c>
      <c r="K11" s="142">
        <v>4353</v>
      </c>
      <c r="L11" s="142">
        <v>4353</v>
      </c>
      <c r="M11" s="142">
        <v>4353</v>
      </c>
      <c r="N11" s="14" t="s">
        <v>1690</v>
      </c>
      <c r="O11" s="142" t="s">
        <v>106</v>
      </c>
      <c r="P11" s="80">
        <v>0</v>
      </c>
      <c r="Q11" s="1" t="s">
        <v>163</v>
      </c>
      <c r="R11" s="80">
        <v>0</v>
      </c>
      <c r="S11" s="1" t="s">
        <v>163</v>
      </c>
      <c r="T11" s="143">
        <v>0</v>
      </c>
      <c r="U11" s="1" t="s">
        <v>939</v>
      </c>
      <c r="V11" s="142">
        <v>0</v>
      </c>
      <c r="W11" s="142">
        <v>0</v>
      </c>
      <c r="X11" s="142">
        <v>0</v>
      </c>
      <c r="Y11" s="14" t="s">
        <v>1689</v>
      </c>
      <c r="Z11" s="142" t="s">
        <v>106</v>
      </c>
      <c r="AA11" s="80">
        <v>1</v>
      </c>
      <c r="AB11" s="1" t="s">
        <v>516</v>
      </c>
      <c r="AC11" s="80">
        <v>0.2</v>
      </c>
      <c r="AD11" s="1" t="s">
        <v>1049</v>
      </c>
      <c r="AE11" s="143">
        <v>0.6</v>
      </c>
      <c r="AF11" s="1" t="s">
        <v>963</v>
      </c>
      <c r="AG11" s="142">
        <v>14296</v>
      </c>
      <c r="AH11" s="142">
        <v>2382.67</v>
      </c>
      <c r="AI11" s="142">
        <v>2026.5</v>
      </c>
      <c r="AJ11" s="14" t="s">
        <v>1688</v>
      </c>
      <c r="AK11" s="142" t="s">
        <v>106</v>
      </c>
      <c r="AL11" s="80">
        <v>0</v>
      </c>
      <c r="AM11" s="1" t="s">
        <v>1305</v>
      </c>
      <c r="AN11" s="80">
        <v>0</v>
      </c>
      <c r="AO11" s="1" t="s">
        <v>218</v>
      </c>
      <c r="AP11" s="143">
        <v>0</v>
      </c>
      <c r="AQ11" s="1" t="s">
        <v>1176</v>
      </c>
      <c r="AR11" s="142">
        <v>0</v>
      </c>
      <c r="AS11" s="142">
        <v>0</v>
      </c>
      <c r="AT11" s="142">
        <v>0</v>
      </c>
      <c r="AU11" s="4" t="s">
        <v>98</v>
      </c>
    </row>
    <row r="12" spans="1:47" x14ac:dyDescent="0.2">
      <c r="A12" s="174"/>
      <c r="B12" s="9" t="s">
        <v>9</v>
      </c>
      <c r="C12" s="1" t="s">
        <v>1687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1686</v>
      </c>
      <c r="O12" s="142" t="s">
        <v>106</v>
      </c>
      <c r="P12" s="80">
        <v>0</v>
      </c>
      <c r="Q12" s="1" t="s">
        <v>939</v>
      </c>
      <c r="R12" s="1" t="s">
        <v>164</v>
      </c>
      <c r="S12" s="1" t="s">
        <v>164</v>
      </c>
      <c r="T12" s="143">
        <v>0</v>
      </c>
      <c r="U12" s="1" t="s">
        <v>939</v>
      </c>
      <c r="V12" s="142">
        <v>0</v>
      </c>
      <c r="W12" s="142">
        <v>0</v>
      </c>
      <c r="X12" s="142">
        <v>0</v>
      </c>
      <c r="Y12" s="14" t="s">
        <v>1685</v>
      </c>
      <c r="Z12" s="142" t="s">
        <v>106</v>
      </c>
      <c r="AA12" s="80">
        <v>0.6</v>
      </c>
      <c r="AB12" s="1" t="s">
        <v>963</v>
      </c>
      <c r="AC12" s="1" t="s">
        <v>164</v>
      </c>
      <c r="AD12" s="1" t="s">
        <v>164</v>
      </c>
      <c r="AE12" s="143">
        <v>0.6</v>
      </c>
      <c r="AF12" s="1" t="s">
        <v>963</v>
      </c>
      <c r="AG12" s="142">
        <v>14244</v>
      </c>
      <c r="AH12" s="142">
        <v>2374</v>
      </c>
      <c r="AI12" s="142">
        <v>2045.5</v>
      </c>
      <c r="AJ12" s="14" t="s">
        <v>1684</v>
      </c>
      <c r="AK12" s="142" t="s">
        <v>106</v>
      </c>
      <c r="AL12" s="80">
        <v>0</v>
      </c>
      <c r="AM12" s="1" t="s">
        <v>1176</v>
      </c>
      <c r="AN12" s="1" t="s">
        <v>164</v>
      </c>
      <c r="AO12" s="1" t="s">
        <v>164</v>
      </c>
      <c r="AP12" s="143">
        <v>0</v>
      </c>
      <c r="AQ12" s="1" t="s">
        <v>1176</v>
      </c>
      <c r="AR12" s="142">
        <v>0</v>
      </c>
      <c r="AS12" s="142">
        <v>0</v>
      </c>
      <c r="AT12" s="142">
        <v>0</v>
      </c>
      <c r="AU12" s="4" t="s">
        <v>98</v>
      </c>
    </row>
    <row r="13" spans="1:47" x14ac:dyDescent="0.2">
      <c r="A13" s="174"/>
      <c r="B13" s="9" t="s">
        <v>12</v>
      </c>
      <c r="C13" s="1" t="s">
        <v>1683</v>
      </c>
      <c r="D13" s="142" t="s">
        <v>106</v>
      </c>
      <c r="E13" s="80">
        <v>0</v>
      </c>
      <c r="F13" s="1" t="s">
        <v>169</v>
      </c>
      <c r="G13" s="80">
        <v>0</v>
      </c>
      <c r="H13" s="1" t="s">
        <v>163</v>
      </c>
      <c r="I13" s="143">
        <v>0</v>
      </c>
      <c r="J13" s="1" t="s">
        <v>163</v>
      </c>
      <c r="K13" s="142">
        <v>0</v>
      </c>
      <c r="L13" s="142">
        <v>0</v>
      </c>
      <c r="M13" s="142">
        <v>0</v>
      </c>
      <c r="N13" s="14" t="s">
        <v>1682</v>
      </c>
      <c r="O13" s="142" t="s">
        <v>106</v>
      </c>
      <c r="P13" s="80">
        <v>0</v>
      </c>
      <c r="Q13" s="1" t="s">
        <v>169</v>
      </c>
      <c r="R13" s="80">
        <v>0</v>
      </c>
      <c r="S13" s="1" t="s">
        <v>163</v>
      </c>
      <c r="T13" s="143">
        <v>0</v>
      </c>
      <c r="U13" s="1" t="s">
        <v>163</v>
      </c>
      <c r="V13" s="142">
        <v>0</v>
      </c>
      <c r="W13" s="142">
        <v>0</v>
      </c>
      <c r="X13" s="142">
        <v>0</v>
      </c>
      <c r="Y13" s="14" t="s">
        <v>1681</v>
      </c>
      <c r="Z13" s="142" t="s">
        <v>106</v>
      </c>
      <c r="AA13" s="80">
        <v>0</v>
      </c>
      <c r="AB13" s="1" t="s">
        <v>218</v>
      </c>
      <c r="AC13" s="80">
        <v>0</v>
      </c>
      <c r="AD13" s="1" t="s">
        <v>218</v>
      </c>
      <c r="AE13" s="143">
        <v>0</v>
      </c>
      <c r="AF13" s="1" t="s">
        <v>213</v>
      </c>
      <c r="AG13" s="142">
        <v>0</v>
      </c>
      <c r="AH13" s="142">
        <v>0</v>
      </c>
      <c r="AI13" s="142">
        <v>0</v>
      </c>
      <c r="AJ13" s="14" t="s">
        <v>1680</v>
      </c>
      <c r="AK13" s="142" t="s">
        <v>106</v>
      </c>
      <c r="AL13" s="80">
        <v>0</v>
      </c>
      <c r="AM13" s="1" t="s">
        <v>218</v>
      </c>
      <c r="AN13" s="80">
        <v>0</v>
      </c>
      <c r="AO13" s="1" t="s">
        <v>218</v>
      </c>
      <c r="AP13" s="143">
        <v>0</v>
      </c>
      <c r="AQ13" s="1" t="s">
        <v>213</v>
      </c>
      <c r="AR13" s="142">
        <v>0</v>
      </c>
      <c r="AS13" s="142">
        <v>0</v>
      </c>
      <c r="AT13" s="142">
        <v>0</v>
      </c>
      <c r="AU13" s="4" t="s">
        <v>97</v>
      </c>
    </row>
    <row r="14" spans="1:47" x14ac:dyDescent="0.2">
      <c r="A14" s="174"/>
      <c r="B14" s="9" t="s">
        <v>13</v>
      </c>
      <c r="C14" s="1" t="s">
        <v>1679</v>
      </c>
      <c r="D14" s="142" t="s">
        <v>106</v>
      </c>
      <c r="E14" s="80">
        <v>0</v>
      </c>
      <c r="F14" s="1" t="s">
        <v>163</v>
      </c>
      <c r="G14" s="1" t="s">
        <v>164</v>
      </c>
      <c r="H14" s="1" t="s">
        <v>164</v>
      </c>
      <c r="I14" s="143">
        <v>0</v>
      </c>
      <c r="J14" s="1" t="s">
        <v>163</v>
      </c>
      <c r="K14" s="142">
        <v>0</v>
      </c>
      <c r="L14" s="142">
        <v>0</v>
      </c>
      <c r="M14" s="142">
        <v>0</v>
      </c>
      <c r="N14" s="14" t="s">
        <v>1678</v>
      </c>
      <c r="O14" s="142" t="s">
        <v>106</v>
      </c>
      <c r="P14" s="80">
        <v>0</v>
      </c>
      <c r="Q14" s="1" t="s">
        <v>163</v>
      </c>
      <c r="R14" s="1" t="s">
        <v>164</v>
      </c>
      <c r="S14" s="1" t="s">
        <v>164</v>
      </c>
      <c r="T14" s="143">
        <v>0</v>
      </c>
      <c r="U14" s="1" t="s">
        <v>163</v>
      </c>
      <c r="V14" s="142">
        <v>0</v>
      </c>
      <c r="W14" s="142">
        <v>0</v>
      </c>
      <c r="X14" s="142">
        <v>0</v>
      </c>
      <c r="Y14" s="14" t="s">
        <v>1677</v>
      </c>
      <c r="Z14" s="142" t="s">
        <v>106</v>
      </c>
      <c r="AA14" s="80">
        <v>0</v>
      </c>
      <c r="AB14" s="1" t="s">
        <v>213</v>
      </c>
      <c r="AC14" s="1" t="s">
        <v>164</v>
      </c>
      <c r="AD14" s="1" t="s">
        <v>164</v>
      </c>
      <c r="AE14" s="143">
        <v>0</v>
      </c>
      <c r="AF14" s="1" t="s">
        <v>213</v>
      </c>
      <c r="AG14" s="142">
        <v>0</v>
      </c>
      <c r="AH14" s="142">
        <v>0</v>
      </c>
      <c r="AI14" s="142">
        <v>0</v>
      </c>
      <c r="AJ14" s="14" t="s">
        <v>1676</v>
      </c>
      <c r="AK14" s="142" t="s">
        <v>106</v>
      </c>
      <c r="AL14" s="80">
        <v>0</v>
      </c>
      <c r="AM14" s="1" t="s">
        <v>213</v>
      </c>
      <c r="AN14" s="1" t="s">
        <v>164</v>
      </c>
      <c r="AO14" s="1" t="s">
        <v>164</v>
      </c>
      <c r="AP14" s="143">
        <v>0</v>
      </c>
      <c r="AQ14" s="1" t="s">
        <v>213</v>
      </c>
      <c r="AR14" s="142">
        <v>0</v>
      </c>
      <c r="AS14" s="142">
        <v>0</v>
      </c>
      <c r="AT14" s="142">
        <v>0</v>
      </c>
      <c r="AU14" s="4" t="s">
        <v>97</v>
      </c>
    </row>
    <row r="15" spans="1:47" x14ac:dyDescent="0.2">
      <c r="A15" s="174"/>
      <c r="B15" s="9" t="s">
        <v>14</v>
      </c>
      <c r="C15" s="1" t="s">
        <v>1675</v>
      </c>
      <c r="D15" s="142" t="s">
        <v>106</v>
      </c>
      <c r="E15" s="80">
        <v>0</v>
      </c>
      <c r="F15" s="1" t="s">
        <v>169</v>
      </c>
      <c r="G15" s="80">
        <v>0</v>
      </c>
      <c r="H15" s="1" t="s">
        <v>163</v>
      </c>
      <c r="I15" s="143">
        <v>0</v>
      </c>
      <c r="J15" s="1" t="s">
        <v>163</v>
      </c>
      <c r="K15" s="142">
        <v>0</v>
      </c>
      <c r="L15" s="142">
        <v>0</v>
      </c>
      <c r="M15" s="142">
        <v>0</v>
      </c>
      <c r="N15" s="14" t="s">
        <v>1674</v>
      </c>
      <c r="O15" s="142" t="s">
        <v>106</v>
      </c>
      <c r="P15" s="80">
        <v>0</v>
      </c>
      <c r="Q15" s="1" t="s">
        <v>169</v>
      </c>
      <c r="R15" s="80">
        <v>0</v>
      </c>
      <c r="S15" s="1" t="s">
        <v>163</v>
      </c>
      <c r="T15" s="143">
        <v>0</v>
      </c>
      <c r="U15" s="1" t="s">
        <v>163</v>
      </c>
      <c r="V15" s="142">
        <v>0</v>
      </c>
      <c r="W15" s="142">
        <v>0</v>
      </c>
      <c r="X15" s="142">
        <v>0</v>
      </c>
      <c r="Y15" s="14" t="s">
        <v>1673</v>
      </c>
      <c r="Z15" s="142" t="s">
        <v>106</v>
      </c>
      <c r="AA15" s="80">
        <v>0</v>
      </c>
      <c r="AB15" s="1" t="s">
        <v>218</v>
      </c>
      <c r="AC15" s="80">
        <v>0</v>
      </c>
      <c r="AD15" s="1" t="s">
        <v>218</v>
      </c>
      <c r="AE15" s="143">
        <v>0</v>
      </c>
      <c r="AF15" s="1" t="s">
        <v>213</v>
      </c>
      <c r="AG15" s="142">
        <v>0</v>
      </c>
      <c r="AH15" s="142">
        <v>0</v>
      </c>
      <c r="AI15" s="142">
        <v>0</v>
      </c>
      <c r="AJ15" s="14" t="s">
        <v>1672</v>
      </c>
      <c r="AK15" s="142" t="s">
        <v>106</v>
      </c>
      <c r="AL15" s="80">
        <v>0</v>
      </c>
      <c r="AM15" s="1" t="s">
        <v>218</v>
      </c>
      <c r="AN15" s="80">
        <v>0</v>
      </c>
      <c r="AO15" s="1" t="s">
        <v>218</v>
      </c>
      <c r="AP15" s="143">
        <v>0</v>
      </c>
      <c r="AQ15" s="1" t="s">
        <v>213</v>
      </c>
      <c r="AR15" s="142">
        <v>0</v>
      </c>
      <c r="AS15" s="142">
        <v>0</v>
      </c>
      <c r="AT15" s="142">
        <v>0</v>
      </c>
      <c r="AU15" s="4" t="s">
        <v>97</v>
      </c>
    </row>
    <row r="16" spans="1:47" x14ac:dyDescent="0.2">
      <c r="A16" s="174"/>
      <c r="B16" s="9" t="s">
        <v>15</v>
      </c>
      <c r="C16" s="1" t="s">
        <v>1671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1670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1669</v>
      </c>
      <c r="Z16" s="142" t="s">
        <v>106</v>
      </c>
      <c r="AA16" s="80">
        <v>0</v>
      </c>
      <c r="AB16" s="1" t="s">
        <v>213</v>
      </c>
      <c r="AC16" s="1" t="s">
        <v>164</v>
      </c>
      <c r="AD16" s="1" t="s">
        <v>164</v>
      </c>
      <c r="AE16" s="143">
        <v>0</v>
      </c>
      <c r="AF16" s="1" t="s">
        <v>213</v>
      </c>
      <c r="AG16" s="142">
        <v>0</v>
      </c>
      <c r="AH16" s="142">
        <v>0</v>
      </c>
      <c r="AI16" s="142">
        <v>0</v>
      </c>
      <c r="AJ16" s="14" t="s">
        <v>1668</v>
      </c>
      <c r="AK16" s="142" t="s">
        <v>106</v>
      </c>
      <c r="AL16" s="80">
        <v>0</v>
      </c>
      <c r="AM16" s="1" t="s">
        <v>213</v>
      </c>
      <c r="AN16" s="1" t="s">
        <v>164</v>
      </c>
      <c r="AO16" s="1" t="s">
        <v>164</v>
      </c>
      <c r="AP16" s="143">
        <v>0</v>
      </c>
      <c r="AQ16" s="1" t="s">
        <v>213</v>
      </c>
      <c r="AR16" s="142">
        <v>0</v>
      </c>
      <c r="AS16" s="142">
        <v>0</v>
      </c>
      <c r="AT16" s="142">
        <v>0</v>
      </c>
      <c r="AU16" s="4" t="s">
        <v>97</v>
      </c>
    </row>
    <row r="17" spans="1:47" x14ac:dyDescent="0.2">
      <c r="A17" s="174"/>
      <c r="B17" s="9" t="s">
        <v>16</v>
      </c>
      <c r="C17" s="1" t="s">
        <v>1667</v>
      </c>
      <c r="D17" s="142" t="s">
        <v>106</v>
      </c>
      <c r="E17" s="80">
        <v>0</v>
      </c>
      <c r="F17" s="1" t="s">
        <v>169</v>
      </c>
      <c r="G17" s="80">
        <v>0</v>
      </c>
      <c r="H17" s="1" t="s">
        <v>163</v>
      </c>
      <c r="I17" s="143">
        <v>0</v>
      </c>
      <c r="J17" s="1" t="s">
        <v>163</v>
      </c>
      <c r="K17" s="142">
        <v>0</v>
      </c>
      <c r="L17" s="142">
        <v>0</v>
      </c>
      <c r="M17" s="142">
        <v>0</v>
      </c>
      <c r="N17" s="14" t="s">
        <v>1666</v>
      </c>
      <c r="O17" s="142" t="s">
        <v>106</v>
      </c>
      <c r="P17" s="80">
        <v>0</v>
      </c>
      <c r="Q17" s="1" t="s">
        <v>169</v>
      </c>
      <c r="R17" s="80">
        <v>0</v>
      </c>
      <c r="S17" s="1" t="s">
        <v>163</v>
      </c>
      <c r="T17" s="143">
        <v>0</v>
      </c>
      <c r="U17" s="1" t="s">
        <v>163</v>
      </c>
      <c r="V17" s="142">
        <v>0</v>
      </c>
      <c r="W17" s="142">
        <v>0</v>
      </c>
      <c r="X17" s="142">
        <v>0</v>
      </c>
      <c r="Y17" s="14" t="s">
        <v>1665</v>
      </c>
      <c r="Z17" s="142" t="s">
        <v>106</v>
      </c>
      <c r="AA17" s="80">
        <v>0</v>
      </c>
      <c r="AB17" s="1" t="s">
        <v>218</v>
      </c>
      <c r="AC17" s="80">
        <v>0</v>
      </c>
      <c r="AD17" s="1" t="s">
        <v>218</v>
      </c>
      <c r="AE17" s="143">
        <v>0</v>
      </c>
      <c r="AF17" s="1" t="s">
        <v>213</v>
      </c>
      <c r="AG17" s="142">
        <v>0</v>
      </c>
      <c r="AH17" s="142">
        <v>0</v>
      </c>
      <c r="AI17" s="142">
        <v>0</v>
      </c>
      <c r="AJ17" s="14" t="s">
        <v>1664</v>
      </c>
      <c r="AK17" s="142" t="s">
        <v>106</v>
      </c>
      <c r="AL17" s="80">
        <v>0</v>
      </c>
      <c r="AM17" s="1" t="s">
        <v>218</v>
      </c>
      <c r="AN17" s="80">
        <v>0</v>
      </c>
      <c r="AO17" s="1" t="s">
        <v>218</v>
      </c>
      <c r="AP17" s="143">
        <v>0</v>
      </c>
      <c r="AQ17" s="1" t="s">
        <v>213</v>
      </c>
      <c r="AR17" s="142">
        <v>0</v>
      </c>
      <c r="AS17" s="142">
        <v>0</v>
      </c>
      <c r="AT17" s="142">
        <v>0</v>
      </c>
      <c r="AU17" s="4" t="s">
        <v>97</v>
      </c>
    </row>
    <row r="18" spans="1:47" x14ac:dyDescent="0.2">
      <c r="A18" s="174"/>
      <c r="B18" s="9" t="s">
        <v>17</v>
      </c>
      <c r="C18" s="1" t="s">
        <v>1663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1662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1661</v>
      </c>
      <c r="Z18" s="142" t="s">
        <v>106</v>
      </c>
      <c r="AA18" s="80">
        <v>0</v>
      </c>
      <c r="AB18" s="1" t="s">
        <v>213</v>
      </c>
      <c r="AC18" s="1" t="s">
        <v>164</v>
      </c>
      <c r="AD18" s="1" t="s">
        <v>164</v>
      </c>
      <c r="AE18" s="143">
        <v>0</v>
      </c>
      <c r="AF18" s="1" t="s">
        <v>213</v>
      </c>
      <c r="AG18" s="142">
        <v>0</v>
      </c>
      <c r="AH18" s="142">
        <v>0</v>
      </c>
      <c r="AI18" s="142">
        <v>0</v>
      </c>
      <c r="AJ18" s="14" t="s">
        <v>1660</v>
      </c>
      <c r="AK18" s="142" t="s">
        <v>106</v>
      </c>
      <c r="AL18" s="80">
        <v>0</v>
      </c>
      <c r="AM18" s="1" t="s">
        <v>213</v>
      </c>
      <c r="AN18" s="1" t="s">
        <v>164</v>
      </c>
      <c r="AO18" s="1" t="s">
        <v>164</v>
      </c>
      <c r="AP18" s="143">
        <v>0</v>
      </c>
      <c r="AQ18" s="1" t="s">
        <v>213</v>
      </c>
      <c r="AR18" s="142">
        <v>0</v>
      </c>
      <c r="AS18" s="142">
        <v>0</v>
      </c>
      <c r="AT18" s="142">
        <v>0</v>
      </c>
      <c r="AU18" s="4" t="s">
        <v>97</v>
      </c>
    </row>
    <row r="19" spans="1:47" x14ac:dyDescent="0.2">
      <c r="A19" s="174"/>
      <c r="B19" s="9" t="s">
        <v>18</v>
      </c>
      <c r="C19" s="1" t="s">
        <v>1659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1658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3917</v>
      </c>
      <c r="W19" s="142">
        <v>3917</v>
      </c>
      <c r="X19" s="142">
        <v>3917</v>
      </c>
      <c r="Y19" s="14" t="s">
        <v>1657</v>
      </c>
      <c r="Z19" s="142" t="s">
        <v>106</v>
      </c>
      <c r="AA19" s="80">
        <v>0</v>
      </c>
      <c r="AB19" s="1" t="s">
        <v>218</v>
      </c>
      <c r="AC19" s="80">
        <v>0</v>
      </c>
      <c r="AD19" s="1" t="s">
        <v>218</v>
      </c>
      <c r="AE19" s="143">
        <v>0</v>
      </c>
      <c r="AF19" s="1" t="s">
        <v>213</v>
      </c>
      <c r="AG19" s="142">
        <v>0</v>
      </c>
      <c r="AH19" s="142">
        <v>0</v>
      </c>
      <c r="AI19" s="142">
        <v>0</v>
      </c>
      <c r="AJ19" s="14" t="s">
        <v>1656</v>
      </c>
      <c r="AK19" s="142" t="s">
        <v>106</v>
      </c>
      <c r="AL19" s="80">
        <v>0</v>
      </c>
      <c r="AM19" s="1" t="s">
        <v>1305</v>
      </c>
      <c r="AN19" s="80">
        <v>0</v>
      </c>
      <c r="AO19" s="1" t="s">
        <v>218</v>
      </c>
      <c r="AP19" s="143">
        <v>0</v>
      </c>
      <c r="AQ19" s="1" t="s">
        <v>1176</v>
      </c>
      <c r="AR19" s="142">
        <v>0</v>
      </c>
      <c r="AS19" s="142">
        <v>0</v>
      </c>
      <c r="AT19" s="142">
        <v>0</v>
      </c>
      <c r="AU19" s="4" t="s">
        <v>99</v>
      </c>
    </row>
    <row r="20" spans="1:47" x14ac:dyDescent="0.2">
      <c r="A20" s="174"/>
      <c r="B20" s="9" t="s">
        <v>19</v>
      </c>
      <c r="C20" s="1" t="s">
        <v>1655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1654</v>
      </c>
      <c r="O20" s="142" t="s">
        <v>106</v>
      </c>
      <c r="P20" s="80">
        <v>0.5</v>
      </c>
      <c r="Q20" s="1" t="s">
        <v>1108</v>
      </c>
      <c r="R20" s="1" t="s">
        <v>164</v>
      </c>
      <c r="S20" s="1" t="s">
        <v>164</v>
      </c>
      <c r="T20" s="143">
        <v>0.5</v>
      </c>
      <c r="U20" s="1" t="s">
        <v>1108</v>
      </c>
      <c r="V20" s="142">
        <v>3932</v>
      </c>
      <c r="W20" s="142">
        <v>3932</v>
      </c>
      <c r="X20" s="142">
        <v>3932</v>
      </c>
      <c r="Y20" s="14" t="s">
        <v>1653</v>
      </c>
      <c r="Z20" s="142" t="s">
        <v>106</v>
      </c>
      <c r="AA20" s="80">
        <v>0</v>
      </c>
      <c r="AB20" s="1" t="s">
        <v>213</v>
      </c>
      <c r="AC20" s="1" t="s">
        <v>164</v>
      </c>
      <c r="AD20" s="1" t="s">
        <v>164</v>
      </c>
      <c r="AE20" s="143">
        <v>0</v>
      </c>
      <c r="AF20" s="1" t="s">
        <v>213</v>
      </c>
      <c r="AG20" s="142">
        <v>0</v>
      </c>
      <c r="AH20" s="142">
        <v>0</v>
      </c>
      <c r="AI20" s="142">
        <v>0</v>
      </c>
      <c r="AJ20" s="14" t="s">
        <v>1652</v>
      </c>
      <c r="AK20" s="142" t="s">
        <v>106</v>
      </c>
      <c r="AL20" s="80">
        <v>0</v>
      </c>
      <c r="AM20" s="1" t="s">
        <v>1176</v>
      </c>
      <c r="AN20" s="1" t="s">
        <v>164</v>
      </c>
      <c r="AO20" s="1" t="s">
        <v>164</v>
      </c>
      <c r="AP20" s="143">
        <v>0</v>
      </c>
      <c r="AQ20" s="1" t="s">
        <v>1176</v>
      </c>
      <c r="AR20" s="142">
        <v>0</v>
      </c>
      <c r="AS20" s="142">
        <v>0</v>
      </c>
      <c r="AT20" s="142">
        <v>0</v>
      </c>
      <c r="AU20" s="4" t="s">
        <v>99</v>
      </c>
    </row>
    <row r="21" spans="1:47" x14ac:dyDescent="0.2">
      <c r="A21" s="174"/>
      <c r="B21" s="9" t="s">
        <v>20</v>
      </c>
      <c r="C21" s="1" t="s">
        <v>1651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1650</v>
      </c>
      <c r="O21" s="142" t="s">
        <v>106</v>
      </c>
      <c r="P21" s="80">
        <v>1</v>
      </c>
      <c r="Q21" s="1" t="s">
        <v>452</v>
      </c>
      <c r="R21" s="80">
        <v>0</v>
      </c>
      <c r="S21" s="1" t="s">
        <v>163</v>
      </c>
      <c r="T21" s="143">
        <v>0.5</v>
      </c>
      <c r="U21" s="1" t="s">
        <v>1108</v>
      </c>
      <c r="V21" s="142">
        <v>3828</v>
      </c>
      <c r="W21" s="142">
        <v>3828</v>
      </c>
      <c r="X21" s="142">
        <v>3828</v>
      </c>
      <c r="Y21" s="14" t="s">
        <v>1649</v>
      </c>
      <c r="Z21" s="142" t="s">
        <v>106</v>
      </c>
      <c r="AA21" s="80">
        <v>0</v>
      </c>
      <c r="AB21" s="1" t="s">
        <v>218</v>
      </c>
      <c r="AC21" s="80">
        <v>1</v>
      </c>
      <c r="AD21" s="1" t="s">
        <v>516</v>
      </c>
      <c r="AE21" s="143">
        <v>0.5</v>
      </c>
      <c r="AF21" s="1" t="s">
        <v>511</v>
      </c>
      <c r="AG21" s="142">
        <v>32760</v>
      </c>
      <c r="AH21" s="142">
        <v>6552</v>
      </c>
      <c r="AI21" s="142">
        <v>6474</v>
      </c>
      <c r="AJ21" s="14" t="s">
        <v>1648</v>
      </c>
      <c r="AK21" s="142" t="s">
        <v>106</v>
      </c>
      <c r="AL21" s="80">
        <v>0.6</v>
      </c>
      <c r="AM21" s="1" t="s">
        <v>1647</v>
      </c>
      <c r="AN21" s="80">
        <v>1</v>
      </c>
      <c r="AO21" s="1" t="s">
        <v>516</v>
      </c>
      <c r="AP21" s="143">
        <v>0.7</v>
      </c>
      <c r="AQ21" s="1" t="s">
        <v>1646</v>
      </c>
      <c r="AR21" s="142">
        <v>66912</v>
      </c>
      <c r="AS21" s="142">
        <v>4779.43</v>
      </c>
      <c r="AT21" s="142">
        <v>3825</v>
      </c>
      <c r="AU21" s="4" t="s">
        <v>93</v>
      </c>
    </row>
    <row r="22" spans="1:47" x14ac:dyDescent="0.2">
      <c r="A22" s="174"/>
      <c r="B22" s="9" t="s">
        <v>21</v>
      </c>
      <c r="C22" s="1" t="s">
        <v>1645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6181</v>
      </c>
      <c r="L22" s="142">
        <v>6181</v>
      </c>
      <c r="M22" s="142">
        <v>6181</v>
      </c>
      <c r="N22" s="14" t="s">
        <v>1644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10043</v>
      </c>
      <c r="W22" s="142">
        <v>5021.5</v>
      </c>
      <c r="X22" s="142">
        <v>5021.5</v>
      </c>
      <c r="Y22" s="14" t="s">
        <v>1643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60707</v>
      </c>
      <c r="AH22" s="142">
        <v>6070.7</v>
      </c>
      <c r="AI22" s="142">
        <v>6087.5</v>
      </c>
      <c r="AJ22" s="14" t="s">
        <v>1642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99476</v>
      </c>
      <c r="AS22" s="142">
        <v>4973.8</v>
      </c>
      <c r="AT22" s="142">
        <v>4949.5</v>
      </c>
      <c r="AU22" s="4" t="s">
        <v>93</v>
      </c>
    </row>
    <row r="23" spans="1:47" x14ac:dyDescent="0.2">
      <c r="A23" s="174"/>
      <c r="B23" s="9" t="s">
        <v>26</v>
      </c>
      <c r="C23" s="1" t="s">
        <v>1641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1640</v>
      </c>
      <c r="O23" s="142" t="s">
        <v>106</v>
      </c>
      <c r="P23" s="80">
        <v>1</v>
      </c>
      <c r="Q23" s="1" t="s">
        <v>452</v>
      </c>
      <c r="R23" s="80">
        <v>0.33329999999999999</v>
      </c>
      <c r="S23" s="1" t="s">
        <v>932</v>
      </c>
      <c r="T23" s="143">
        <v>0.5</v>
      </c>
      <c r="U23" s="1" t="s">
        <v>1113</v>
      </c>
      <c r="V23" s="142">
        <v>45175</v>
      </c>
      <c r="W23" s="142">
        <v>22587.5</v>
      </c>
      <c r="X23" s="142">
        <v>22587.5</v>
      </c>
      <c r="Y23" s="14" t="s">
        <v>1639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1638</v>
      </c>
      <c r="AK23" s="142" t="s">
        <v>106</v>
      </c>
      <c r="AL23" s="80">
        <v>0</v>
      </c>
      <c r="AM23" s="1" t="s">
        <v>1637</v>
      </c>
      <c r="AN23" s="80">
        <v>0</v>
      </c>
      <c r="AO23" s="1" t="s">
        <v>1250</v>
      </c>
      <c r="AP23" s="143">
        <v>0</v>
      </c>
      <c r="AQ23" s="1" t="s">
        <v>1175</v>
      </c>
      <c r="AR23" s="142">
        <v>0</v>
      </c>
      <c r="AS23" s="142">
        <v>0</v>
      </c>
      <c r="AT23" s="142">
        <v>0</v>
      </c>
      <c r="AU23" s="4" t="s">
        <v>99</v>
      </c>
    </row>
    <row r="24" spans="1:47" x14ac:dyDescent="0.2">
      <c r="A24" s="174"/>
      <c r="B24" s="9" t="s">
        <v>27</v>
      </c>
      <c r="C24" s="1" t="s">
        <v>1636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1635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3926</v>
      </c>
      <c r="W24" s="142">
        <v>3926</v>
      </c>
      <c r="X24" s="142">
        <v>3926</v>
      </c>
      <c r="Y24" s="14" t="s">
        <v>1634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1633</v>
      </c>
      <c r="AK24" s="142" t="s">
        <v>106</v>
      </c>
      <c r="AL24" s="80">
        <v>0</v>
      </c>
      <c r="AM24" s="1" t="s">
        <v>1175</v>
      </c>
      <c r="AN24" s="1" t="s">
        <v>164</v>
      </c>
      <c r="AO24" s="1" t="s">
        <v>164</v>
      </c>
      <c r="AP24" s="143">
        <v>0</v>
      </c>
      <c r="AQ24" s="1" t="s">
        <v>1175</v>
      </c>
      <c r="AR24" s="142">
        <v>0</v>
      </c>
      <c r="AS24" s="142">
        <v>0</v>
      </c>
      <c r="AT24" s="142">
        <v>0</v>
      </c>
      <c r="AU24" s="4" t="s">
        <v>99</v>
      </c>
    </row>
    <row r="25" spans="1:47" x14ac:dyDescent="0.2">
      <c r="A25" s="174"/>
      <c r="B25" s="9" t="s">
        <v>28</v>
      </c>
      <c r="C25" s="1" t="s">
        <v>1632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6383</v>
      </c>
      <c r="L25" s="142">
        <v>6383</v>
      </c>
      <c r="M25" s="142">
        <v>6383</v>
      </c>
      <c r="N25" s="14" t="s">
        <v>1631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12237</v>
      </c>
      <c r="W25" s="142">
        <v>6118.5</v>
      </c>
      <c r="X25" s="142">
        <v>6118.5</v>
      </c>
      <c r="Y25" s="14" t="s">
        <v>1630</v>
      </c>
      <c r="Z25" s="142" t="s">
        <v>106</v>
      </c>
      <c r="AA25" s="80">
        <v>0.2</v>
      </c>
      <c r="AB25" s="1" t="s">
        <v>1049</v>
      </c>
      <c r="AC25" s="80">
        <v>1</v>
      </c>
      <c r="AD25" s="1" t="s">
        <v>516</v>
      </c>
      <c r="AE25" s="143">
        <v>0.6</v>
      </c>
      <c r="AF25" s="1" t="s">
        <v>963</v>
      </c>
      <c r="AG25" s="142">
        <v>21240</v>
      </c>
      <c r="AH25" s="142">
        <v>3540</v>
      </c>
      <c r="AI25" s="142">
        <v>3857.5</v>
      </c>
      <c r="AJ25" s="14" t="s">
        <v>1629</v>
      </c>
      <c r="AK25" s="142" t="s">
        <v>106</v>
      </c>
      <c r="AL25" s="80">
        <v>0.2</v>
      </c>
      <c r="AM25" s="1" t="s">
        <v>930</v>
      </c>
      <c r="AN25" s="80">
        <v>1</v>
      </c>
      <c r="AO25" s="1" t="s">
        <v>529</v>
      </c>
      <c r="AP25" s="143">
        <v>0.6</v>
      </c>
      <c r="AQ25" s="1" t="s">
        <v>1239</v>
      </c>
      <c r="AR25" s="142">
        <v>42539</v>
      </c>
      <c r="AS25" s="142">
        <v>3544.92</v>
      </c>
      <c r="AT25" s="142">
        <v>3847.5</v>
      </c>
    </row>
    <row r="26" spans="1:47" x14ac:dyDescent="0.2">
      <c r="A26" s="174"/>
      <c r="B26" s="9" t="s">
        <v>112</v>
      </c>
      <c r="C26" s="1" t="s">
        <v>1628</v>
      </c>
      <c r="D26" s="142" t="s">
        <v>106</v>
      </c>
      <c r="E26" s="80">
        <v>0</v>
      </c>
      <c r="F26" s="1" t="s">
        <v>169</v>
      </c>
      <c r="G26" s="80">
        <v>0</v>
      </c>
      <c r="H26" s="1" t="s">
        <v>163</v>
      </c>
      <c r="I26" s="143">
        <v>0</v>
      </c>
      <c r="J26" s="1" t="s">
        <v>163</v>
      </c>
      <c r="K26" s="142">
        <v>0</v>
      </c>
      <c r="L26" s="142">
        <v>0</v>
      </c>
      <c r="M26" s="142">
        <v>0</v>
      </c>
      <c r="N26" s="14" t="s">
        <v>1627</v>
      </c>
      <c r="O26" s="142" t="s">
        <v>106</v>
      </c>
      <c r="P26" s="80">
        <v>0</v>
      </c>
      <c r="Q26" s="1" t="s">
        <v>169</v>
      </c>
      <c r="R26" s="80">
        <v>0</v>
      </c>
      <c r="S26" s="1" t="s">
        <v>939</v>
      </c>
      <c r="T26" s="143">
        <v>0</v>
      </c>
      <c r="U26" s="1" t="s">
        <v>939</v>
      </c>
      <c r="V26" s="142">
        <v>0</v>
      </c>
      <c r="W26" s="142">
        <v>0</v>
      </c>
      <c r="X26" s="142">
        <v>0</v>
      </c>
      <c r="Y26" s="14" t="s">
        <v>1626</v>
      </c>
      <c r="Z26" s="142" t="s">
        <v>106</v>
      </c>
      <c r="AA26" s="80">
        <v>0.2</v>
      </c>
      <c r="AB26" s="1" t="s">
        <v>1049</v>
      </c>
      <c r="AC26" s="80">
        <v>0</v>
      </c>
      <c r="AD26" s="1" t="s">
        <v>218</v>
      </c>
      <c r="AE26" s="143">
        <v>0.1</v>
      </c>
      <c r="AF26" s="1" t="s">
        <v>1235</v>
      </c>
      <c r="AG26" s="142">
        <v>1847</v>
      </c>
      <c r="AH26" s="142">
        <v>1847</v>
      </c>
      <c r="AI26" s="142">
        <v>1847</v>
      </c>
      <c r="AJ26" s="14" t="s">
        <v>1625</v>
      </c>
      <c r="AK26" s="142" t="s">
        <v>106</v>
      </c>
      <c r="AL26" s="80">
        <v>0.2</v>
      </c>
      <c r="AM26" s="1" t="s">
        <v>930</v>
      </c>
      <c r="AN26" s="80">
        <v>0</v>
      </c>
      <c r="AO26" s="1" t="s">
        <v>213</v>
      </c>
      <c r="AP26" s="143">
        <v>0.1</v>
      </c>
      <c r="AQ26" s="1" t="s">
        <v>1233</v>
      </c>
      <c r="AR26" s="142">
        <v>3872</v>
      </c>
      <c r="AS26" s="142">
        <v>1936</v>
      </c>
      <c r="AT26" s="142">
        <v>1936</v>
      </c>
    </row>
    <row r="27" spans="1:47" x14ac:dyDescent="0.2">
      <c r="A27" s="174"/>
      <c r="B27" s="9" t="s">
        <v>29</v>
      </c>
      <c r="C27" s="1" t="s">
        <v>1624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1623</v>
      </c>
      <c r="O27" s="142" t="s">
        <v>106</v>
      </c>
      <c r="P27" s="80">
        <v>1</v>
      </c>
      <c r="Q27" s="1" t="s">
        <v>452</v>
      </c>
      <c r="R27" s="80">
        <v>0</v>
      </c>
      <c r="S27" s="1" t="s">
        <v>939</v>
      </c>
      <c r="T27" s="143">
        <v>0.33329999999999999</v>
      </c>
      <c r="U27" s="1" t="s">
        <v>932</v>
      </c>
      <c r="V27" s="142">
        <v>3817</v>
      </c>
      <c r="W27" s="142">
        <v>3817</v>
      </c>
      <c r="X27" s="142">
        <v>3817</v>
      </c>
      <c r="Y27" s="14" t="s">
        <v>1622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1621</v>
      </c>
      <c r="AK27" s="142" t="s">
        <v>106</v>
      </c>
      <c r="AL27" s="80">
        <v>1</v>
      </c>
      <c r="AM27" s="1" t="s">
        <v>452</v>
      </c>
      <c r="AN27" s="80">
        <v>0</v>
      </c>
      <c r="AO27" s="1" t="s">
        <v>939</v>
      </c>
      <c r="AP27" s="143">
        <v>0.33329999999999999</v>
      </c>
      <c r="AQ27" s="1" t="s">
        <v>932</v>
      </c>
      <c r="AR27" s="142">
        <v>3823</v>
      </c>
      <c r="AS27" s="142">
        <v>3823</v>
      </c>
      <c r="AT27" s="142">
        <v>3823</v>
      </c>
      <c r="AU27" s="4" t="s">
        <v>99</v>
      </c>
    </row>
    <row r="28" spans="1:47" x14ac:dyDescent="0.2">
      <c r="A28" s="174"/>
      <c r="B28" s="9" t="s">
        <v>30</v>
      </c>
      <c r="C28" s="1" t="s">
        <v>1620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1619</v>
      </c>
      <c r="O28" s="142" t="s">
        <v>106</v>
      </c>
      <c r="P28" s="80">
        <v>0.33329999999999999</v>
      </c>
      <c r="Q28" s="1" t="s">
        <v>932</v>
      </c>
      <c r="R28" s="1" t="s">
        <v>164</v>
      </c>
      <c r="S28" s="1" t="s">
        <v>164</v>
      </c>
      <c r="T28" s="143">
        <v>0.33329999999999999</v>
      </c>
      <c r="U28" s="1" t="s">
        <v>932</v>
      </c>
      <c r="V28" s="142">
        <v>3868</v>
      </c>
      <c r="W28" s="142">
        <v>3868</v>
      </c>
      <c r="X28" s="142">
        <v>3868</v>
      </c>
      <c r="Y28" s="14" t="s">
        <v>1618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1617</v>
      </c>
      <c r="AK28" s="142" t="s">
        <v>106</v>
      </c>
      <c r="AL28" s="80">
        <v>0.33329999999999999</v>
      </c>
      <c r="AM28" s="1" t="s">
        <v>932</v>
      </c>
      <c r="AN28" s="1" t="s">
        <v>164</v>
      </c>
      <c r="AO28" s="1" t="s">
        <v>164</v>
      </c>
      <c r="AP28" s="143">
        <v>0.33329999999999999</v>
      </c>
      <c r="AQ28" s="1" t="s">
        <v>932</v>
      </c>
      <c r="AR28" s="142">
        <v>3937</v>
      </c>
      <c r="AS28" s="142">
        <v>3937</v>
      </c>
      <c r="AT28" s="142">
        <v>3937</v>
      </c>
      <c r="AU28" s="4" t="s">
        <v>99</v>
      </c>
    </row>
    <row r="29" spans="1:47" x14ac:dyDescent="0.2">
      <c r="A29" s="174"/>
      <c r="B29" s="9" t="s">
        <v>31</v>
      </c>
      <c r="C29" s="1" t="s">
        <v>1616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22206</v>
      </c>
      <c r="L29" s="142">
        <v>22206</v>
      </c>
      <c r="M29" s="142">
        <v>22206</v>
      </c>
      <c r="N29" s="14" t="s">
        <v>1615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22086</v>
      </c>
      <c r="W29" s="142">
        <v>22086</v>
      </c>
      <c r="X29" s="142">
        <v>22086</v>
      </c>
      <c r="Y29" s="14" t="s">
        <v>1614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58555</v>
      </c>
      <c r="AH29" s="142">
        <v>5855.5</v>
      </c>
      <c r="AI29" s="142">
        <v>5851.5</v>
      </c>
      <c r="AJ29" s="14" t="s">
        <v>1613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58295</v>
      </c>
      <c r="AS29" s="142">
        <v>5829.5</v>
      </c>
      <c r="AT29" s="142">
        <v>5831</v>
      </c>
    </row>
    <row r="30" spans="1:47" x14ac:dyDescent="0.2">
      <c r="A30" s="174"/>
      <c r="B30" s="9" t="s">
        <v>32</v>
      </c>
      <c r="C30" s="1" t="s">
        <v>1612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86436</v>
      </c>
      <c r="L30" s="142">
        <v>86436</v>
      </c>
      <c r="M30" s="142">
        <v>86436</v>
      </c>
      <c r="N30" s="14" t="s">
        <v>1611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101855</v>
      </c>
      <c r="W30" s="142">
        <v>101855</v>
      </c>
      <c r="X30" s="142">
        <v>101855</v>
      </c>
      <c r="Y30" s="14" t="s">
        <v>1610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38275</v>
      </c>
      <c r="AH30" s="142">
        <v>3827.5</v>
      </c>
      <c r="AI30" s="142">
        <v>3820</v>
      </c>
      <c r="AJ30" s="14" t="s">
        <v>1609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38342</v>
      </c>
      <c r="AS30" s="142">
        <v>3834.2</v>
      </c>
      <c r="AT30" s="142">
        <v>3808.5</v>
      </c>
    </row>
    <row r="31" spans="1:47" x14ac:dyDescent="0.2">
      <c r="A31" s="174"/>
      <c r="B31" s="9" t="s">
        <v>35</v>
      </c>
      <c r="C31" s="1" t="s">
        <v>1608</v>
      </c>
      <c r="D31" s="142" t="s">
        <v>106</v>
      </c>
      <c r="E31" s="80">
        <v>0</v>
      </c>
      <c r="F31" s="1" t="s">
        <v>169</v>
      </c>
      <c r="G31" s="80">
        <v>0</v>
      </c>
      <c r="H31" s="1" t="s">
        <v>163</v>
      </c>
      <c r="I31" s="143">
        <v>0</v>
      </c>
      <c r="J31" s="1" t="s">
        <v>163</v>
      </c>
      <c r="K31" s="142">
        <v>0</v>
      </c>
      <c r="L31" s="142">
        <v>0</v>
      </c>
      <c r="M31" s="142">
        <v>0</v>
      </c>
      <c r="N31" s="14" t="s">
        <v>1607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39139</v>
      </c>
      <c r="W31" s="142">
        <v>39139</v>
      </c>
      <c r="X31" s="142">
        <v>39139</v>
      </c>
      <c r="Y31" s="14" t="s">
        <v>1606</v>
      </c>
      <c r="Z31" s="142" t="s">
        <v>106</v>
      </c>
      <c r="AA31" s="80">
        <v>1</v>
      </c>
      <c r="AB31" s="1" t="s">
        <v>516</v>
      </c>
      <c r="AC31" s="80">
        <v>1</v>
      </c>
      <c r="AD31" s="1" t="s">
        <v>516</v>
      </c>
      <c r="AE31" s="143">
        <v>1</v>
      </c>
      <c r="AF31" s="1" t="s">
        <v>529</v>
      </c>
      <c r="AG31" s="142">
        <v>209608</v>
      </c>
      <c r="AH31" s="142">
        <v>20960.8</v>
      </c>
      <c r="AI31" s="142">
        <v>12591</v>
      </c>
      <c r="AJ31" s="14" t="s">
        <v>1605</v>
      </c>
      <c r="AK31" s="142" t="s">
        <v>106</v>
      </c>
      <c r="AL31" s="80">
        <v>1</v>
      </c>
      <c r="AM31" s="1" t="s">
        <v>516</v>
      </c>
      <c r="AN31" s="80">
        <v>0.8</v>
      </c>
      <c r="AO31" s="1" t="s">
        <v>506</v>
      </c>
      <c r="AP31" s="143">
        <v>0.9</v>
      </c>
      <c r="AQ31" s="1" t="s">
        <v>951</v>
      </c>
      <c r="AR31" s="142">
        <v>149842</v>
      </c>
      <c r="AS31" s="142">
        <v>16649.11</v>
      </c>
      <c r="AT31" s="142">
        <v>13188</v>
      </c>
      <c r="AU31" s="4" t="s">
        <v>102</v>
      </c>
    </row>
    <row r="32" spans="1:47" x14ac:dyDescent="0.2">
      <c r="A32" s="174"/>
      <c r="B32" s="9" t="s">
        <v>36</v>
      </c>
      <c r="C32" s="1" t="s">
        <v>1604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17469</v>
      </c>
      <c r="L32" s="142">
        <v>17469</v>
      </c>
      <c r="M32" s="142">
        <v>17469</v>
      </c>
      <c r="N32" s="14" t="s">
        <v>1603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12634</v>
      </c>
      <c r="W32" s="142">
        <v>12634</v>
      </c>
      <c r="X32" s="142">
        <v>12634</v>
      </c>
      <c r="Y32" s="14" t="s">
        <v>1602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82916</v>
      </c>
      <c r="AH32" s="142">
        <v>8291.6</v>
      </c>
      <c r="AI32" s="142">
        <v>8171.5</v>
      </c>
      <c r="AJ32" s="14" t="s">
        <v>1601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83059</v>
      </c>
      <c r="AS32" s="142">
        <v>8305.9</v>
      </c>
      <c r="AT32" s="142">
        <v>8206.5</v>
      </c>
      <c r="AU32" s="4" t="s">
        <v>102</v>
      </c>
    </row>
    <row r="33" spans="1:47" x14ac:dyDescent="0.2">
      <c r="A33" s="174"/>
      <c r="B33" s="9" t="s">
        <v>37</v>
      </c>
      <c r="C33" s="1" t="s">
        <v>1600</v>
      </c>
      <c r="D33" s="142" t="s">
        <v>106</v>
      </c>
      <c r="E33" s="80">
        <v>0</v>
      </c>
      <c r="F33" s="1" t="s">
        <v>169</v>
      </c>
      <c r="G33" s="80">
        <v>0</v>
      </c>
      <c r="H33" s="1" t="s">
        <v>163</v>
      </c>
      <c r="I33" s="143">
        <v>0</v>
      </c>
      <c r="J33" s="1" t="s">
        <v>163</v>
      </c>
      <c r="K33" s="142">
        <v>0</v>
      </c>
      <c r="L33" s="142">
        <v>0</v>
      </c>
      <c r="M33" s="142">
        <v>0</v>
      </c>
      <c r="N33" s="14" t="s">
        <v>1599</v>
      </c>
      <c r="O33" s="142" t="s">
        <v>106</v>
      </c>
      <c r="P33" s="80">
        <v>0</v>
      </c>
      <c r="Q33" s="1" t="s">
        <v>169</v>
      </c>
      <c r="R33" s="80">
        <v>1</v>
      </c>
      <c r="S33" s="1" t="s">
        <v>452</v>
      </c>
      <c r="T33" s="143">
        <v>1</v>
      </c>
      <c r="U33" s="1" t="s">
        <v>452</v>
      </c>
      <c r="V33" s="142">
        <v>1862</v>
      </c>
      <c r="W33" s="142">
        <v>1862</v>
      </c>
      <c r="X33" s="142">
        <v>1862</v>
      </c>
      <c r="Y33" s="14" t="s">
        <v>1598</v>
      </c>
      <c r="Z33" s="142" t="s">
        <v>106</v>
      </c>
      <c r="AA33" s="80">
        <v>1</v>
      </c>
      <c r="AB33" s="1" t="s">
        <v>516</v>
      </c>
      <c r="AC33" s="80">
        <v>0</v>
      </c>
      <c r="AD33" s="1" t="s">
        <v>218</v>
      </c>
      <c r="AE33" s="143">
        <v>0.5</v>
      </c>
      <c r="AF33" s="1" t="s">
        <v>511</v>
      </c>
      <c r="AG33" s="142">
        <v>50150</v>
      </c>
      <c r="AH33" s="142">
        <v>10030</v>
      </c>
      <c r="AI33" s="142">
        <v>10044</v>
      </c>
      <c r="AJ33" s="14" t="s">
        <v>1597</v>
      </c>
      <c r="AK33" s="142" t="s">
        <v>106</v>
      </c>
      <c r="AL33" s="80">
        <v>0.6</v>
      </c>
      <c r="AM33" s="1" t="s">
        <v>964</v>
      </c>
      <c r="AN33" s="80">
        <v>0.4</v>
      </c>
      <c r="AO33" s="1" t="s">
        <v>974</v>
      </c>
      <c r="AP33" s="143">
        <v>0.5</v>
      </c>
      <c r="AQ33" s="1" t="s">
        <v>511</v>
      </c>
      <c r="AR33" s="142">
        <v>8907</v>
      </c>
      <c r="AS33" s="142">
        <v>1781.4</v>
      </c>
      <c r="AT33" s="142">
        <v>1790</v>
      </c>
      <c r="AU33" s="4" t="s">
        <v>102</v>
      </c>
    </row>
    <row r="34" spans="1:47" x14ac:dyDescent="0.2">
      <c r="A34" s="174"/>
      <c r="B34" s="9" t="s">
        <v>38</v>
      </c>
      <c r="C34" s="1" t="s">
        <v>1596</v>
      </c>
      <c r="D34" s="142" t="s">
        <v>106</v>
      </c>
      <c r="E34" s="80">
        <v>1</v>
      </c>
      <c r="F34" s="1" t="s">
        <v>452</v>
      </c>
      <c r="G34" s="1" t="s">
        <v>164</v>
      </c>
      <c r="H34" s="1" t="s">
        <v>164</v>
      </c>
      <c r="I34" s="143">
        <v>1</v>
      </c>
      <c r="J34" s="1" t="s">
        <v>452</v>
      </c>
      <c r="K34" s="142">
        <v>13166</v>
      </c>
      <c r="L34" s="142">
        <v>13166</v>
      </c>
      <c r="M34" s="142">
        <v>13166</v>
      </c>
      <c r="N34" s="14" t="s">
        <v>1595</v>
      </c>
      <c r="O34" s="142" t="s">
        <v>106</v>
      </c>
      <c r="P34" s="80">
        <v>1</v>
      </c>
      <c r="Q34" s="1" t="s">
        <v>452</v>
      </c>
      <c r="R34" s="1" t="s">
        <v>164</v>
      </c>
      <c r="S34" s="1" t="s">
        <v>164</v>
      </c>
      <c r="T34" s="143">
        <v>1</v>
      </c>
      <c r="U34" s="1" t="s">
        <v>452</v>
      </c>
      <c r="V34" s="142">
        <v>1858</v>
      </c>
      <c r="W34" s="142">
        <v>1858</v>
      </c>
      <c r="X34" s="142">
        <v>1858</v>
      </c>
      <c r="Y34" s="14" t="s">
        <v>1594</v>
      </c>
      <c r="Z34" s="142" t="s">
        <v>106</v>
      </c>
      <c r="AA34" s="80">
        <v>1</v>
      </c>
      <c r="AB34" s="1" t="s">
        <v>529</v>
      </c>
      <c r="AC34" s="1" t="s">
        <v>164</v>
      </c>
      <c r="AD34" s="1" t="s">
        <v>164</v>
      </c>
      <c r="AE34" s="143">
        <v>1</v>
      </c>
      <c r="AF34" s="1" t="s">
        <v>529</v>
      </c>
      <c r="AG34" s="142">
        <v>131435</v>
      </c>
      <c r="AH34" s="142">
        <v>13143.5</v>
      </c>
      <c r="AI34" s="142">
        <v>13088</v>
      </c>
      <c r="AJ34" s="14" t="s">
        <v>1593</v>
      </c>
      <c r="AK34" s="142" t="s">
        <v>106</v>
      </c>
      <c r="AL34" s="80">
        <v>1</v>
      </c>
      <c r="AM34" s="1" t="s">
        <v>529</v>
      </c>
      <c r="AN34" s="1" t="s">
        <v>164</v>
      </c>
      <c r="AO34" s="1" t="s">
        <v>164</v>
      </c>
      <c r="AP34" s="143">
        <v>1</v>
      </c>
      <c r="AQ34" s="1" t="s">
        <v>529</v>
      </c>
      <c r="AR34" s="142">
        <v>17735</v>
      </c>
      <c r="AS34" s="142">
        <v>1773.5</v>
      </c>
      <c r="AT34" s="142">
        <v>1775</v>
      </c>
      <c r="AU34" s="4" t="s">
        <v>102</v>
      </c>
    </row>
    <row r="35" spans="1:47" x14ac:dyDescent="0.2">
      <c r="A35" s="174"/>
      <c r="B35" s="9" t="s">
        <v>39</v>
      </c>
      <c r="C35" s="1" t="s">
        <v>1592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7867</v>
      </c>
      <c r="L35" s="142">
        <v>7867</v>
      </c>
      <c r="M35" s="142">
        <v>7867</v>
      </c>
      <c r="N35" s="14" t="s">
        <v>1591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7817</v>
      </c>
      <c r="W35" s="142">
        <v>7817</v>
      </c>
      <c r="X35" s="142">
        <v>7817</v>
      </c>
      <c r="Y35" s="14" t="s">
        <v>1590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37942</v>
      </c>
      <c r="AH35" s="142">
        <v>3794.2</v>
      </c>
      <c r="AI35" s="142">
        <v>3781.5</v>
      </c>
      <c r="AJ35" s="14" t="s">
        <v>1589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37855</v>
      </c>
      <c r="AS35" s="142">
        <v>3785.5</v>
      </c>
      <c r="AT35" s="142">
        <v>3781</v>
      </c>
      <c r="AU35" s="4" t="s">
        <v>102</v>
      </c>
    </row>
    <row r="36" spans="1:47" x14ac:dyDescent="0.2">
      <c r="A36" s="174"/>
      <c r="B36" s="9" t="s">
        <v>40</v>
      </c>
      <c r="C36" s="1" t="s">
        <v>1588</v>
      </c>
      <c r="D36" s="142" t="s">
        <v>106</v>
      </c>
      <c r="E36" s="80">
        <v>0</v>
      </c>
      <c r="F36" s="1" t="s">
        <v>169</v>
      </c>
      <c r="G36" s="80">
        <v>1</v>
      </c>
      <c r="H36" s="1" t="s">
        <v>452</v>
      </c>
      <c r="I36" s="143">
        <v>1</v>
      </c>
      <c r="J36" s="1" t="s">
        <v>452</v>
      </c>
      <c r="K36" s="142">
        <v>3850</v>
      </c>
      <c r="L36" s="142">
        <v>3850</v>
      </c>
      <c r="M36" s="142">
        <v>3850</v>
      </c>
      <c r="N36" s="14" t="s">
        <v>1587</v>
      </c>
      <c r="O36" s="142" t="s">
        <v>106</v>
      </c>
      <c r="P36" s="80">
        <v>0</v>
      </c>
      <c r="Q36" s="1" t="s">
        <v>169</v>
      </c>
      <c r="R36" s="80">
        <v>1</v>
      </c>
      <c r="S36" s="1" t="s">
        <v>452</v>
      </c>
      <c r="T36" s="143">
        <v>1</v>
      </c>
      <c r="U36" s="1" t="s">
        <v>452</v>
      </c>
      <c r="V36" s="142">
        <v>3910</v>
      </c>
      <c r="W36" s="142">
        <v>3910</v>
      </c>
      <c r="X36" s="142">
        <v>3910</v>
      </c>
      <c r="Y36" s="14" t="s">
        <v>1586</v>
      </c>
      <c r="Z36" s="142" t="s">
        <v>106</v>
      </c>
      <c r="AA36" s="80">
        <v>1</v>
      </c>
      <c r="AB36" s="1" t="s">
        <v>516</v>
      </c>
      <c r="AC36" s="80">
        <v>1</v>
      </c>
      <c r="AD36" s="1" t="s">
        <v>516</v>
      </c>
      <c r="AE36" s="143">
        <v>1</v>
      </c>
      <c r="AF36" s="1" t="s">
        <v>529</v>
      </c>
      <c r="AG36" s="142">
        <v>20729</v>
      </c>
      <c r="AH36" s="142">
        <v>2072.9</v>
      </c>
      <c r="AI36" s="142">
        <v>1782</v>
      </c>
      <c r="AJ36" s="14" t="s">
        <v>1585</v>
      </c>
      <c r="AK36" s="142" t="s">
        <v>106</v>
      </c>
      <c r="AL36" s="80">
        <v>1</v>
      </c>
      <c r="AM36" s="1" t="s">
        <v>516</v>
      </c>
      <c r="AN36" s="80">
        <v>1</v>
      </c>
      <c r="AO36" s="1" t="s">
        <v>516</v>
      </c>
      <c r="AP36" s="143">
        <v>1</v>
      </c>
      <c r="AQ36" s="1" t="s">
        <v>529</v>
      </c>
      <c r="AR36" s="142">
        <v>18972</v>
      </c>
      <c r="AS36" s="142">
        <v>1897.2</v>
      </c>
      <c r="AT36" s="142">
        <v>1794</v>
      </c>
    </row>
    <row r="37" spans="1:47" x14ac:dyDescent="0.2">
      <c r="A37" s="174"/>
      <c r="B37" s="9" t="s">
        <v>41</v>
      </c>
      <c r="C37" s="1" t="s">
        <v>1584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3868</v>
      </c>
      <c r="L37" s="142">
        <v>3868</v>
      </c>
      <c r="M37" s="142">
        <v>3868</v>
      </c>
      <c r="N37" s="14" t="s">
        <v>1583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3869</v>
      </c>
      <c r="W37" s="142">
        <v>3869</v>
      </c>
      <c r="X37" s="142">
        <v>3869</v>
      </c>
      <c r="Y37" s="14" t="s">
        <v>1582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24049</v>
      </c>
      <c r="AH37" s="142">
        <v>2404.9</v>
      </c>
      <c r="AI37" s="142">
        <v>1805.5</v>
      </c>
      <c r="AJ37" s="14" t="s">
        <v>1581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24093</v>
      </c>
      <c r="AS37" s="142">
        <v>2409.3000000000002</v>
      </c>
      <c r="AT37" s="142">
        <v>1799.5</v>
      </c>
    </row>
    <row r="38" spans="1:47" x14ac:dyDescent="0.2">
      <c r="A38" s="174"/>
      <c r="B38" s="9" t="s">
        <v>42</v>
      </c>
      <c r="C38" s="1" t="s">
        <v>1580</v>
      </c>
      <c r="D38" s="142" t="s">
        <v>106</v>
      </c>
      <c r="E38" s="80">
        <v>0</v>
      </c>
      <c r="F38" s="1" t="s">
        <v>169</v>
      </c>
      <c r="G38" s="80">
        <v>0</v>
      </c>
      <c r="H38" s="1" t="s">
        <v>163</v>
      </c>
      <c r="I38" s="143">
        <v>0</v>
      </c>
      <c r="J38" s="1" t="s">
        <v>163</v>
      </c>
      <c r="K38" s="142">
        <v>0</v>
      </c>
      <c r="L38" s="142">
        <v>0</v>
      </c>
      <c r="M38" s="142">
        <v>0</v>
      </c>
      <c r="N38" s="14" t="s">
        <v>1579</v>
      </c>
      <c r="O38" s="142" t="s">
        <v>106</v>
      </c>
      <c r="P38" s="80">
        <v>0</v>
      </c>
      <c r="Q38" s="1" t="s">
        <v>169</v>
      </c>
      <c r="R38" s="80">
        <v>0</v>
      </c>
      <c r="S38" s="1" t="s">
        <v>163</v>
      </c>
      <c r="T38" s="143">
        <v>0</v>
      </c>
      <c r="U38" s="1" t="s">
        <v>163</v>
      </c>
      <c r="V38" s="142">
        <v>0</v>
      </c>
      <c r="W38" s="142">
        <v>0</v>
      </c>
      <c r="X38" s="142">
        <v>0</v>
      </c>
      <c r="Y38" s="14" t="s">
        <v>1578</v>
      </c>
      <c r="Z38" s="142" t="s">
        <v>106</v>
      </c>
      <c r="AA38" s="80">
        <v>0</v>
      </c>
      <c r="AB38" s="1" t="s">
        <v>218</v>
      </c>
      <c r="AC38" s="80">
        <v>0</v>
      </c>
      <c r="AD38" s="1" t="s">
        <v>218</v>
      </c>
      <c r="AE38" s="143">
        <v>0</v>
      </c>
      <c r="AF38" s="1" t="s">
        <v>213</v>
      </c>
      <c r="AG38" s="142">
        <v>0</v>
      </c>
      <c r="AH38" s="142">
        <v>0</v>
      </c>
      <c r="AI38" s="142">
        <v>0</v>
      </c>
      <c r="AJ38" s="14" t="s">
        <v>1577</v>
      </c>
      <c r="AK38" s="142" t="s">
        <v>106</v>
      </c>
      <c r="AL38" s="80">
        <v>0</v>
      </c>
      <c r="AM38" s="1" t="s">
        <v>218</v>
      </c>
      <c r="AN38" s="80">
        <v>0</v>
      </c>
      <c r="AO38" s="1" t="s">
        <v>218</v>
      </c>
      <c r="AP38" s="143">
        <v>0</v>
      </c>
      <c r="AQ38" s="1" t="s">
        <v>213</v>
      </c>
      <c r="AR38" s="142">
        <v>0</v>
      </c>
      <c r="AS38" s="142">
        <v>0</v>
      </c>
      <c r="AT38" s="142">
        <v>0</v>
      </c>
      <c r="AU38" s="4" t="s">
        <v>97</v>
      </c>
    </row>
    <row r="39" spans="1:47" x14ac:dyDescent="0.2">
      <c r="A39" s="174"/>
      <c r="B39" s="9" t="s">
        <v>43</v>
      </c>
      <c r="C39" s="1" t="s">
        <v>1576</v>
      </c>
      <c r="D39" s="142" t="s">
        <v>106</v>
      </c>
      <c r="E39" s="80">
        <v>0</v>
      </c>
      <c r="F39" s="1" t="s">
        <v>163</v>
      </c>
      <c r="G39" s="1" t="s">
        <v>164</v>
      </c>
      <c r="H39" s="1" t="s">
        <v>164</v>
      </c>
      <c r="I39" s="143">
        <v>0</v>
      </c>
      <c r="J39" s="1" t="s">
        <v>163</v>
      </c>
      <c r="K39" s="142">
        <v>0</v>
      </c>
      <c r="L39" s="142">
        <v>0</v>
      </c>
      <c r="M39" s="142">
        <v>0</v>
      </c>
      <c r="N39" s="14" t="s">
        <v>1575</v>
      </c>
      <c r="O39" s="142" t="s">
        <v>106</v>
      </c>
      <c r="P39" s="80">
        <v>0</v>
      </c>
      <c r="Q39" s="1" t="s">
        <v>163</v>
      </c>
      <c r="R39" s="1" t="s">
        <v>164</v>
      </c>
      <c r="S39" s="1" t="s">
        <v>164</v>
      </c>
      <c r="T39" s="143">
        <v>0</v>
      </c>
      <c r="U39" s="1" t="s">
        <v>163</v>
      </c>
      <c r="V39" s="142">
        <v>0</v>
      </c>
      <c r="W39" s="142">
        <v>0</v>
      </c>
      <c r="X39" s="142">
        <v>0</v>
      </c>
      <c r="Y39" s="14" t="s">
        <v>1574</v>
      </c>
      <c r="Z39" s="142" t="s">
        <v>106</v>
      </c>
      <c r="AA39" s="80">
        <v>0</v>
      </c>
      <c r="AB39" s="1" t="s">
        <v>213</v>
      </c>
      <c r="AC39" s="1" t="s">
        <v>164</v>
      </c>
      <c r="AD39" s="1" t="s">
        <v>164</v>
      </c>
      <c r="AE39" s="143">
        <v>0</v>
      </c>
      <c r="AF39" s="1" t="s">
        <v>213</v>
      </c>
      <c r="AG39" s="142">
        <v>0</v>
      </c>
      <c r="AH39" s="142">
        <v>0</v>
      </c>
      <c r="AI39" s="142">
        <v>0</v>
      </c>
      <c r="AJ39" s="14" t="s">
        <v>1573</v>
      </c>
      <c r="AK39" s="142" t="s">
        <v>106</v>
      </c>
      <c r="AL39" s="80">
        <v>0</v>
      </c>
      <c r="AM39" s="1" t="s">
        <v>213</v>
      </c>
      <c r="AN39" s="1" t="s">
        <v>164</v>
      </c>
      <c r="AO39" s="1" t="s">
        <v>164</v>
      </c>
      <c r="AP39" s="143">
        <v>0</v>
      </c>
      <c r="AQ39" s="1" t="s">
        <v>213</v>
      </c>
      <c r="AR39" s="142">
        <v>0</v>
      </c>
      <c r="AS39" s="142">
        <v>0</v>
      </c>
      <c r="AT39" s="142">
        <v>0</v>
      </c>
      <c r="AU39" s="4" t="s">
        <v>97</v>
      </c>
    </row>
    <row r="40" spans="1:47" x14ac:dyDescent="0.2">
      <c r="A40" s="174"/>
      <c r="B40" s="9" t="s">
        <v>44</v>
      </c>
      <c r="C40" s="1" t="s">
        <v>1572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1571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1570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1569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4"/>
      <c r="B41" s="9" t="s">
        <v>45</v>
      </c>
      <c r="C41" s="1" t="s">
        <v>1568</v>
      </c>
      <c r="D41" s="142" t="s">
        <v>106</v>
      </c>
      <c r="E41" s="80">
        <v>0</v>
      </c>
      <c r="F41" s="1" t="s">
        <v>163</v>
      </c>
      <c r="G41" s="1" t="s">
        <v>164</v>
      </c>
      <c r="H41" s="1" t="s">
        <v>164</v>
      </c>
      <c r="I41" s="143">
        <v>0</v>
      </c>
      <c r="J41" s="1" t="s">
        <v>163</v>
      </c>
      <c r="K41" s="142">
        <v>0</v>
      </c>
      <c r="L41" s="142">
        <v>0</v>
      </c>
      <c r="M41" s="142">
        <v>0</v>
      </c>
      <c r="N41" s="14" t="s">
        <v>1567</v>
      </c>
      <c r="O41" s="142" t="s">
        <v>106</v>
      </c>
      <c r="P41" s="80">
        <v>0</v>
      </c>
      <c r="Q41" s="1" t="s">
        <v>1172</v>
      </c>
      <c r="R41" s="1" t="s">
        <v>164</v>
      </c>
      <c r="S41" s="1" t="s">
        <v>164</v>
      </c>
      <c r="T41" s="143">
        <v>0</v>
      </c>
      <c r="U41" s="1" t="s">
        <v>1172</v>
      </c>
      <c r="V41" s="142">
        <v>0</v>
      </c>
      <c r="W41" s="142">
        <v>0</v>
      </c>
      <c r="X41" s="142">
        <v>0</v>
      </c>
      <c r="Y41" s="14" t="s">
        <v>1566</v>
      </c>
      <c r="Z41" s="142" t="s">
        <v>106</v>
      </c>
      <c r="AA41" s="80">
        <v>1</v>
      </c>
      <c r="AB41" s="1" t="s">
        <v>529</v>
      </c>
      <c r="AC41" s="1" t="s">
        <v>164</v>
      </c>
      <c r="AD41" s="1" t="s">
        <v>164</v>
      </c>
      <c r="AE41" s="143">
        <v>1</v>
      </c>
      <c r="AF41" s="1" t="s">
        <v>529</v>
      </c>
      <c r="AG41" s="142">
        <v>204983</v>
      </c>
      <c r="AH41" s="142">
        <v>20498.3</v>
      </c>
      <c r="AI41" s="142">
        <v>18252.5</v>
      </c>
      <c r="AJ41" s="14" t="s">
        <v>1565</v>
      </c>
      <c r="AK41" s="142" t="s">
        <v>106</v>
      </c>
      <c r="AL41" s="80">
        <v>1</v>
      </c>
      <c r="AM41" s="1" t="s">
        <v>1564</v>
      </c>
      <c r="AN41" s="1" t="s">
        <v>164</v>
      </c>
      <c r="AO41" s="1" t="s">
        <v>164</v>
      </c>
      <c r="AP41" s="143">
        <v>1</v>
      </c>
      <c r="AQ41" s="1" t="s">
        <v>1564</v>
      </c>
      <c r="AR41" s="142">
        <v>791508</v>
      </c>
      <c r="AS41" s="142">
        <v>19787.7</v>
      </c>
      <c r="AT41" s="142">
        <v>18642.5</v>
      </c>
      <c r="AU41" s="4" t="s">
        <v>94</v>
      </c>
    </row>
    <row r="42" spans="1:47" x14ac:dyDescent="0.2">
      <c r="A42" s="174"/>
      <c r="B42" s="9" t="s">
        <v>46</v>
      </c>
      <c r="C42" s="1" t="s">
        <v>1563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1562</v>
      </c>
      <c r="O42" s="142" t="s">
        <v>106</v>
      </c>
      <c r="P42" s="80">
        <v>0</v>
      </c>
      <c r="Q42" s="1" t="s">
        <v>939</v>
      </c>
      <c r="R42" s="80">
        <v>0</v>
      </c>
      <c r="S42" s="1" t="s">
        <v>163</v>
      </c>
      <c r="T42" s="143">
        <v>0</v>
      </c>
      <c r="U42" s="1" t="s">
        <v>1161</v>
      </c>
      <c r="V42" s="142">
        <v>0</v>
      </c>
      <c r="W42" s="142">
        <v>0</v>
      </c>
      <c r="X42" s="142">
        <v>0</v>
      </c>
      <c r="Y42" s="14" t="s">
        <v>1561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10818</v>
      </c>
      <c r="AH42" s="142">
        <v>2163.6</v>
      </c>
      <c r="AI42" s="142">
        <v>2163</v>
      </c>
      <c r="AJ42" s="14" t="s">
        <v>1560</v>
      </c>
      <c r="AK42" s="142" t="s">
        <v>106</v>
      </c>
      <c r="AL42" s="80">
        <v>0</v>
      </c>
      <c r="AM42" s="1" t="s">
        <v>1164</v>
      </c>
      <c r="AN42" s="80">
        <v>0</v>
      </c>
      <c r="AO42" s="1" t="s">
        <v>218</v>
      </c>
      <c r="AP42" s="143">
        <v>0</v>
      </c>
      <c r="AQ42" s="1" t="s">
        <v>1158</v>
      </c>
      <c r="AR42" s="142">
        <v>0</v>
      </c>
      <c r="AS42" s="142">
        <v>0</v>
      </c>
      <c r="AT42" s="142">
        <v>0</v>
      </c>
      <c r="AU42" s="4" t="s">
        <v>98</v>
      </c>
    </row>
    <row r="43" spans="1:47" x14ac:dyDescent="0.2">
      <c r="A43" s="174"/>
      <c r="B43" s="9" t="s">
        <v>47</v>
      </c>
      <c r="C43" s="1" t="s">
        <v>1559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1558</v>
      </c>
      <c r="O43" s="142" t="s">
        <v>106</v>
      </c>
      <c r="P43" s="80">
        <v>0</v>
      </c>
      <c r="Q43" s="1" t="s">
        <v>1161</v>
      </c>
      <c r="R43" s="1" t="s">
        <v>164</v>
      </c>
      <c r="S43" s="1" t="s">
        <v>164</v>
      </c>
      <c r="T43" s="143">
        <v>0</v>
      </c>
      <c r="U43" s="1" t="s">
        <v>1161</v>
      </c>
      <c r="V43" s="142">
        <v>0</v>
      </c>
      <c r="W43" s="142">
        <v>0</v>
      </c>
      <c r="X43" s="142">
        <v>0</v>
      </c>
      <c r="Y43" s="14" t="s">
        <v>1557</v>
      </c>
      <c r="Z43" s="142" t="s">
        <v>106</v>
      </c>
      <c r="AA43" s="80">
        <v>0.6</v>
      </c>
      <c r="AB43" s="1" t="s">
        <v>963</v>
      </c>
      <c r="AC43" s="1" t="s">
        <v>164</v>
      </c>
      <c r="AD43" s="1" t="s">
        <v>164</v>
      </c>
      <c r="AE43" s="143">
        <v>0.6</v>
      </c>
      <c r="AF43" s="1" t="s">
        <v>963</v>
      </c>
      <c r="AG43" s="142">
        <v>15432</v>
      </c>
      <c r="AH43" s="142">
        <v>2572</v>
      </c>
      <c r="AI43" s="142">
        <v>2215</v>
      </c>
      <c r="AJ43" s="14" t="s">
        <v>1556</v>
      </c>
      <c r="AK43" s="142" t="s">
        <v>106</v>
      </c>
      <c r="AL43" s="80">
        <v>0</v>
      </c>
      <c r="AM43" s="1" t="s">
        <v>1158</v>
      </c>
      <c r="AN43" s="1" t="s">
        <v>164</v>
      </c>
      <c r="AO43" s="1" t="s">
        <v>164</v>
      </c>
      <c r="AP43" s="143">
        <v>0</v>
      </c>
      <c r="AQ43" s="1" t="s">
        <v>1158</v>
      </c>
      <c r="AR43" s="142">
        <v>0</v>
      </c>
      <c r="AS43" s="142">
        <v>0</v>
      </c>
      <c r="AT43" s="142">
        <v>0</v>
      </c>
      <c r="AU43" s="4" t="s">
        <v>98</v>
      </c>
    </row>
    <row r="44" spans="1:47" x14ac:dyDescent="0.2">
      <c r="A44" s="174"/>
      <c r="B44" s="9" t="s">
        <v>48</v>
      </c>
      <c r="C44" s="1" t="s">
        <v>1555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3936</v>
      </c>
      <c r="L44" s="142">
        <v>3936</v>
      </c>
      <c r="M44" s="142">
        <v>3936</v>
      </c>
      <c r="N44" s="14" t="s">
        <v>1554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7743</v>
      </c>
      <c r="W44" s="142">
        <v>3871.5</v>
      </c>
      <c r="X44" s="142">
        <v>3871.5</v>
      </c>
      <c r="Y44" s="14" t="s">
        <v>1553</v>
      </c>
      <c r="Z44" s="142" t="s">
        <v>106</v>
      </c>
      <c r="AA44" s="80">
        <v>1</v>
      </c>
      <c r="AB44" s="1" t="s">
        <v>516</v>
      </c>
      <c r="AC44" s="80">
        <v>1</v>
      </c>
      <c r="AD44" s="1" t="s">
        <v>516</v>
      </c>
      <c r="AE44" s="143">
        <v>1</v>
      </c>
      <c r="AF44" s="1" t="s">
        <v>529</v>
      </c>
      <c r="AG44" s="142">
        <v>27528</v>
      </c>
      <c r="AH44" s="142">
        <v>2752.8</v>
      </c>
      <c r="AI44" s="142">
        <v>2756</v>
      </c>
      <c r="AJ44" s="14" t="s">
        <v>1552</v>
      </c>
      <c r="AK44" s="142" t="s">
        <v>106</v>
      </c>
      <c r="AL44" s="80">
        <v>1</v>
      </c>
      <c r="AM44" s="1" t="s">
        <v>529</v>
      </c>
      <c r="AN44" s="80">
        <v>1</v>
      </c>
      <c r="AO44" s="1" t="s">
        <v>529</v>
      </c>
      <c r="AP44" s="143">
        <v>1</v>
      </c>
      <c r="AQ44" s="1" t="s">
        <v>1070</v>
      </c>
      <c r="AR44" s="142">
        <v>57289</v>
      </c>
      <c r="AS44" s="142">
        <v>2864.45</v>
      </c>
      <c r="AT44" s="142">
        <v>2845.5</v>
      </c>
    </row>
    <row r="45" spans="1:47" x14ac:dyDescent="0.2">
      <c r="A45" s="174"/>
      <c r="B45" s="9" t="s">
        <v>49</v>
      </c>
      <c r="C45" s="1" t="s">
        <v>1551</v>
      </c>
      <c r="D45" s="142" t="s">
        <v>106</v>
      </c>
      <c r="E45" s="80">
        <v>1</v>
      </c>
      <c r="F45" s="1" t="s">
        <v>452</v>
      </c>
      <c r="G45" s="1" t="s">
        <v>164</v>
      </c>
      <c r="H45" s="1" t="s">
        <v>164</v>
      </c>
      <c r="I45" s="143">
        <v>1</v>
      </c>
      <c r="J45" s="1" t="s">
        <v>452</v>
      </c>
      <c r="K45" s="142">
        <v>5248</v>
      </c>
      <c r="L45" s="142">
        <v>5248</v>
      </c>
      <c r="M45" s="142">
        <v>5248</v>
      </c>
      <c r="N45" s="14" t="s">
        <v>1550</v>
      </c>
      <c r="O45" s="142" t="s">
        <v>106</v>
      </c>
      <c r="P45" s="80">
        <v>1</v>
      </c>
      <c r="Q45" s="1" t="s">
        <v>1073</v>
      </c>
      <c r="R45" s="1" t="s">
        <v>164</v>
      </c>
      <c r="S45" s="1" t="s">
        <v>164</v>
      </c>
      <c r="T45" s="143">
        <v>1</v>
      </c>
      <c r="U45" s="1" t="s">
        <v>1073</v>
      </c>
      <c r="V45" s="142">
        <v>10102</v>
      </c>
      <c r="W45" s="142">
        <v>5051</v>
      </c>
      <c r="X45" s="142">
        <v>5051</v>
      </c>
      <c r="Y45" s="14" t="s">
        <v>1549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30893</v>
      </c>
      <c r="AH45" s="142">
        <v>3089.3</v>
      </c>
      <c r="AI45" s="142">
        <v>3761.5</v>
      </c>
      <c r="AJ45" s="14" t="s">
        <v>1548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64336</v>
      </c>
      <c r="AS45" s="142">
        <v>3216.8</v>
      </c>
      <c r="AT45" s="142">
        <v>3848.5</v>
      </c>
    </row>
    <row r="46" spans="1:47" x14ac:dyDescent="0.2">
      <c r="A46" s="174"/>
      <c r="B46" s="9" t="s">
        <v>50</v>
      </c>
      <c r="C46" s="1" t="s">
        <v>1547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1865</v>
      </c>
      <c r="L46" s="142">
        <v>1865</v>
      </c>
      <c r="M46" s="142">
        <v>1865</v>
      </c>
      <c r="N46" s="14" t="s">
        <v>1546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1545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17566</v>
      </c>
      <c r="AH46" s="142">
        <v>1756.6</v>
      </c>
      <c r="AI46" s="142">
        <v>1757</v>
      </c>
      <c r="AJ46" s="14" t="s">
        <v>1544</v>
      </c>
      <c r="AK46" s="142" t="s">
        <v>106</v>
      </c>
      <c r="AL46" s="80">
        <v>1</v>
      </c>
      <c r="AM46" s="1" t="s">
        <v>516</v>
      </c>
      <c r="AN46" s="80">
        <v>0</v>
      </c>
      <c r="AO46" s="1" t="s">
        <v>218</v>
      </c>
      <c r="AP46" s="143">
        <v>0.5</v>
      </c>
      <c r="AQ46" s="1" t="s">
        <v>511</v>
      </c>
      <c r="AR46" s="142">
        <v>9042</v>
      </c>
      <c r="AS46" s="142">
        <v>1808.4</v>
      </c>
      <c r="AT46" s="142">
        <v>1805</v>
      </c>
    </row>
    <row r="47" spans="1:47" x14ac:dyDescent="0.2">
      <c r="A47" s="174"/>
      <c r="B47" s="9" t="s">
        <v>51</v>
      </c>
      <c r="C47" s="1" t="s">
        <v>1543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2377</v>
      </c>
      <c r="L47" s="142">
        <v>2377</v>
      </c>
      <c r="M47" s="142">
        <v>2377</v>
      </c>
      <c r="N47" s="14" t="s">
        <v>1542</v>
      </c>
      <c r="O47" s="142" t="s">
        <v>106</v>
      </c>
      <c r="P47" s="80">
        <v>1</v>
      </c>
      <c r="Q47" s="1" t="s">
        <v>1073</v>
      </c>
      <c r="R47" s="1" t="s">
        <v>164</v>
      </c>
      <c r="S47" s="1" t="s">
        <v>164</v>
      </c>
      <c r="T47" s="143">
        <v>1</v>
      </c>
      <c r="U47" s="1" t="s">
        <v>1073</v>
      </c>
      <c r="V47" s="142">
        <v>4150</v>
      </c>
      <c r="W47" s="142">
        <v>2075</v>
      </c>
      <c r="X47" s="142">
        <v>2075</v>
      </c>
      <c r="Y47" s="14" t="s">
        <v>1541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17565</v>
      </c>
      <c r="AH47" s="142">
        <v>1756.5</v>
      </c>
      <c r="AI47" s="142">
        <v>1750</v>
      </c>
      <c r="AJ47" s="14" t="s">
        <v>1540</v>
      </c>
      <c r="AK47" s="142" t="s">
        <v>106</v>
      </c>
      <c r="AL47" s="80">
        <v>1</v>
      </c>
      <c r="AM47" s="1" t="s">
        <v>1070</v>
      </c>
      <c r="AN47" s="1" t="s">
        <v>164</v>
      </c>
      <c r="AO47" s="1" t="s">
        <v>164</v>
      </c>
      <c r="AP47" s="143">
        <v>1</v>
      </c>
      <c r="AQ47" s="1" t="s">
        <v>1070</v>
      </c>
      <c r="AR47" s="142">
        <v>36684</v>
      </c>
      <c r="AS47" s="142">
        <v>1834.2</v>
      </c>
      <c r="AT47" s="142">
        <v>1791.5</v>
      </c>
    </row>
    <row r="48" spans="1:47" x14ac:dyDescent="0.2">
      <c r="A48" s="174"/>
      <c r="B48" s="9" t="s">
        <v>52</v>
      </c>
      <c r="C48" s="1" t="s">
        <v>1539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3845</v>
      </c>
      <c r="L48" s="142">
        <v>3845</v>
      </c>
      <c r="M48" s="142">
        <v>3845</v>
      </c>
      <c r="N48" s="14" t="s">
        <v>1538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3893</v>
      </c>
      <c r="W48" s="142">
        <v>3893</v>
      </c>
      <c r="X48" s="142">
        <v>3893</v>
      </c>
      <c r="Y48" s="14" t="s">
        <v>1537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24969</v>
      </c>
      <c r="AH48" s="142">
        <v>2496.9</v>
      </c>
      <c r="AI48" s="142">
        <v>1787.5</v>
      </c>
      <c r="AJ48" s="14" t="s">
        <v>1536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27424</v>
      </c>
      <c r="AS48" s="142">
        <v>2742.4</v>
      </c>
      <c r="AT48" s="142">
        <v>1876</v>
      </c>
    </row>
    <row r="49" spans="1:47" x14ac:dyDescent="0.2">
      <c r="A49" s="174"/>
      <c r="B49" s="9" t="s">
        <v>53</v>
      </c>
      <c r="C49" s="1" t="s">
        <v>1535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4592</v>
      </c>
      <c r="L49" s="142">
        <v>4592</v>
      </c>
      <c r="M49" s="142">
        <v>4592</v>
      </c>
      <c r="N49" s="14" t="s">
        <v>1534</v>
      </c>
      <c r="O49" s="142" t="s">
        <v>106</v>
      </c>
      <c r="P49" s="80">
        <v>1</v>
      </c>
      <c r="Q49" s="1" t="s">
        <v>452</v>
      </c>
      <c r="R49" s="1" t="s">
        <v>164</v>
      </c>
      <c r="S49" s="1" t="s">
        <v>164</v>
      </c>
      <c r="T49" s="143">
        <v>1</v>
      </c>
      <c r="U49" s="1" t="s">
        <v>452</v>
      </c>
      <c r="V49" s="142">
        <v>4538</v>
      </c>
      <c r="W49" s="142">
        <v>4538</v>
      </c>
      <c r="X49" s="142">
        <v>4538</v>
      </c>
      <c r="Y49" s="14" t="s">
        <v>1533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37385</v>
      </c>
      <c r="AH49" s="142">
        <v>3738.5</v>
      </c>
      <c r="AI49" s="142">
        <v>4165.5</v>
      </c>
      <c r="AJ49" s="14" t="s">
        <v>1532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38174</v>
      </c>
      <c r="AS49" s="142">
        <v>3817.4</v>
      </c>
      <c r="AT49" s="142">
        <v>4270</v>
      </c>
    </row>
    <row r="50" spans="1:47" x14ac:dyDescent="0.2">
      <c r="A50" s="174"/>
      <c r="B50" s="10" t="s">
        <v>54</v>
      </c>
      <c r="C50" s="1" t="s">
        <v>1531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1530</v>
      </c>
      <c r="O50" s="142" t="s">
        <v>106</v>
      </c>
      <c r="P50" s="80">
        <v>0</v>
      </c>
      <c r="Q50" s="1" t="s">
        <v>163</v>
      </c>
      <c r="R50" s="80">
        <v>0</v>
      </c>
      <c r="S50" s="1" t="s">
        <v>163</v>
      </c>
      <c r="T50" s="143">
        <v>0</v>
      </c>
      <c r="U50" s="1" t="s">
        <v>939</v>
      </c>
      <c r="V50" s="142">
        <v>0</v>
      </c>
      <c r="W50" s="142">
        <v>0</v>
      </c>
      <c r="X50" s="142">
        <v>0</v>
      </c>
      <c r="Y50" s="14" t="s">
        <v>1529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1528</v>
      </c>
      <c r="AK50" s="142" t="s">
        <v>106</v>
      </c>
      <c r="AL50" s="80">
        <v>0</v>
      </c>
      <c r="AM50" s="1" t="s">
        <v>1305</v>
      </c>
      <c r="AN50" s="80">
        <v>0</v>
      </c>
      <c r="AO50" s="1" t="s">
        <v>218</v>
      </c>
      <c r="AP50" s="143">
        <v>0</v>
      </c>
      <c r="AQ50" s="1" t="s">
        <v>1176</v>
      </c>
      <c r="AR50" s="142">
        <v>0</v>
      </c>
      <c r="AS50" s="142">
        <v>0</v>
      </c>
      <c r="AT50" s="142">
        <v>0</v>
      </c>
      <c r="AU50" s="4" t="s">
        <v>99</v>
      </c>
    </row>
    <row r="51" spans="1:47" x14ac:dyDescent="0.2">
      <c r="A51" s="174"/>
      <c r="B51" s="10" t="s">
        <v>55</v>
      </c>
      <c r="C51" s="1" t="s">
        <v>1527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1526</v>
      </c>
      <c r="O51" s="142" t="s">
        <v>106</v>
      </c>
      <c r="P51" s="80">
        <v>0</v>
      </c>
      <c r="Q51" s="1" t="s">
        <v>939</v>
      </c>
      <c r="R51" s="1" t="s">
        <v>164</v>
      </c>
      <c r="S51" s="1" t="s">
        <v>164</v>
      </c>
      <c r="T51" s="143">
        <v>0</v>
      </c>
      <c r="U51" s="1" t="s">
        <v>939</v>
      </c>
      <c r="V51" s="142">
        <v>0</v>
      </c>
      <c r="W51" s="142">
        <v>0</v>
      </c>
      <c r="X51" s="142">
        <v>0</v>
      </c>
      <c r="Y51" s="14" t="s">
        <v>1525</v>
      </c>
      <c r="Z51" s="142" t="s">
        <v>106</v>
      </c>
      <c r="AA51" s="80">
        <v>0</v>
      </c>
      <c r="AB51" s="1" t="s">
        <v>213</v>
      </c>
      <c r="AC51" s="1" t="s">
        <v>164</v>
      </c>
      <c r="AD51" s="1" t="s">
        <v>164</v>
      </c>
      <c r="AE51" s="143">
        <v>0</v>
      </c>
      <c r="AF51" s="1" t="s">
        <v>213</v>
      </c>
      <c r="AG51" s="142">
        <v>0</v>
      </c>
      <c r="AH51" s="142">
        <v>0</v>
      </c>
      <c r="AI51" s="142">
        <v>0</v>
      </c>
      <c r="AJ51" s="14" t="s">
        <v>1524</v>
      </c>
      <c r="AK51" s="142" t="s">
        <v>106</v>
      </c>
      <c r="AL51" s="80">
        <v>0</v>
      </c>
      <c r="AM51" s="1" t="s">
        <v>1176</v>
      </c>
      <c r="AN51" s="1" t="s">
        <v>164</v>
      </c>
      <c r="AO51" s="1" t="s">
        <v>164</v>
      </c>
      <c r="AP51" s="143">
        <v>0</v>
      </c>
      <c r="AQ51" s="1" t="s">
        <v>1176</v>
      </c>
      <c r="AR51" s="142">
        <v>0</v>
      </c>
      <c r="AS51" s="142">
        <v>0</v>
      </c>
      <c r="AT51" s="142">
        <v>0</v>
      </c>
      <c r="AU51" s="4" t="s">
        <v>99</v>
      </c>
    </row>
    <row r="52" spans="1:47" x14ac:dyDescent="0.2">
      <c r="A52" s="174"/>
      <c r="B52" s="9" t="s">
        <v>56</v>
      </c>
      <c r="C52" s="1" t="s">
        <v>1523</v>
      </c>
      <c r="D52" s="142" t="s">
        <v>106</v>
      </c>
      <c r="E52" s="80">
        <v>0</v>
      </c>
      <c r="F52" s="1" t="s">
        <v>169</v>
      </c>
      <c r="G52" s="80">
        <v>0</v>
      </c>
      <c r="H52" s="1" t="s">
        <v>163</v>
      </c>
      <c r="I52" s="143">
        <v>0</v>
      </c>
      <c r="J52" s="1" t="s">
        <v>163</v>
      </c>
      <c r="K52" s="142">
        <v>0</v>
      </c>
      <c r="L52" s="142">
        <v>0</v>
      </c>
      <c r="M52" s="142">
        <v>0</v>
      </c>
      <c r="N52" s="14" t="s">
        <v>1522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5722</v>
      </c>
      <c r="W52" s="142">
        <v>2861</v>
      </c>
      <c r="X52" s="142">
        <v>2861</v>
      </c>
      <c r="Y52" s="14" t="s">
        <v>1521</v>
      </c>
      <c r="Z52" s="142" t="s">
        <v>106</v>
      </c>
      <c r="AA52" s="80">
        <v>1</v>
      </c>
      <c r="AB52" s="1" t="s">
        <v>516</v>
      </c>
      <c r="AC52" s="80">
        <v>1</v>
      </c>
      <c r="AD52" s="1" t="s">
        <v>516</v>
      </c>
      <c r="AE52" s="143">
        <v>1</v>
      </c>
      <c r="AF52" s="1" t="s">
        <v>529</v>
      </c>
      <c r="AG52" s="142">
        <v>122689</v>
      </c>
      <c r="AH52" s="142">
        <v>12268.9</v>
      </c>
      <c r="AI52" s="142">
        <v>12120.5</v>
      </c>
      <c r="AJ52" s="14" t="s">
        <v>1520</v>
      </c>
      <c r="AK52" s="142" t="s">
        <v>106</v>
      </c>
      <c r="AL52" s="80">
        <v>1</v>
      </c>
      <c r="AM52" s="1" t="s">
        <v>529</v>
      </c>
      <c r="AN52" s="80">
        <v>1</v>
      </c>
      <c r="AO52" s="1" t="s">
        <v>529</v>
      </c>
      <c r="AP52" s="143">
        <v>1</v>
      </c>
      <c r="AQ52" s="1" t="s">
        <v>1070</v>
      </c>
      <c r="AR52" s="142">
        <v>45604</v>
      </c>
      <c r="AS52" s="142">
        <v>2280.1999999999998</v>
      </c>
      <c r="AT52" s="142">
        <v>1776</v>
      </c>
    </row>
    <row r="53" spans="1:47" x14ac:dyDescent="0.2">
      <c r="A53" s="174"/>
      <c r="B53" s="9" t="s">
        <v>57</v>
      </c>
      <c r="C53" s="1" t="s">
        <v>1519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32350</v>
      </c>
      <c r="L53" s="142">
        <v>32350</v>
      </c>
      <c r="M53" s="142">
        <v>32350</v>
      </c>
      <c r="N53" s="14" t="s">
        <v>1518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20096</v>
      </c>
      <c r="W53" s="142">
        <v>10048</v>
      </c>
      <c r="X53" s="142">
        <v>10048</v>
      </c>
      <c r="Y53" s="14" t="s">
        <v>1517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91412</v>
      </c>
      <c r="AH53" s="142">
        <v>9141.2000000000007</v>
      </c>
      <c r="AI53" s="142">
        <v>8361.5</v>
      </c>
      <c r="AJ53" s="14" t="s">
        <v>1516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78628</v>
      </c>
      <c r="AS53" s="142">
        <v>3931.4</v>
      </c>
      <c r="AT53" s="142">
        <v>3811.5</v>
      </c>
    </row>
    <row r="54" spans="1:47" x14ac:dyDescent="0.2">
      <c r="A54" s="174"/>
      <c r="B54" s="9" t="s">
        <v>58</v>
      </c>
      <c r="C54" s="1" t="s">
        <v>1515</v>
      </c>
      <c r="D54" s="142" t="s">
        <v>106</v>
      </c>
      <c r="E54" s="80">
        <v>0</v>
      </c>
      <c r="F54" s="1" t="s">
        <v>169</v>
      </c>
      <c r="G54" s="80">
        <v>1</v>
      </c>
      <c r="H54" s="1" t="s">
        <v>452</v>
      </c>
      <c r="I54" s="143">
        <v>1</v>
      </c>
      <c r="J54" s="1" t="s">
        <v>452</v>
      </c>
      <c r="K54" s="142">
        <v>6016</v>
      </c>
      <c r="L54" s="142">
        <v>6016</v>
      </c>
      <c r="M54" s="142">
        <v>6016</v>
      </c>
      <c r="N54" s="14" t="s">
        <v>1514</v>
      </c>
      <c r="O54" s="142" t="s">
        <v>106</v>
      </c>
      <c r="P54" s="80">
        <v>0</v>
      </c>
      <c r="Q54" s="1" t="s">
        <v>169</v>
      </c>
      <c r="R54" s="80">
        <v>0</v>
      </c>
      <c r="S54" s="1" t="s">
        <v>939</v>
      </c>
      <c r="T54" s="143">
        <v>0</v>
      </c>
      <c r="U54" s="1" t="s">
        <v>939</v>
      </c>
      <c r="V54" s="142">
        <v>0</v>
      </c>
      <c r="W54" s="142">
        <v>0</v>
      </c>
      <c r="X54" s="142">
        <v>0</v>
      </c>
      <c r="Y54" s="14" t="s">
        <v>1513</v>
      </c>
      <c r="Z54" s="142" t="s">
        <v>106</v>
      </c>
      <c r="AA54" s="80">
        <v>0.6</v>
      </c>
      <c r="AB54" s="1" t="s">
        <v>964</v>
      </c>
      <c r="AC54" s="80">
        <v>1</v>
      </c>
      <c r="AD54" s="1" t="s">
        <v>516</v>
      </c>
      <c r="AE54" s="143">
        <v>0.8</v>
      </c>
      <c r="AF54" s="1" t="s">
        <v>1077</v>
      </c>
      <c r="AG54" s="142">
        <v>37068</v>
      </c>
      <c r="AH54" s="142">
        <v>4633.5</v>
      </c>
      <c r="AI54" s="142">
        <v>5900</v>
      </c>
      <c r="AJ54" s="14" t="s">
        <v>1512</v>
      </c>
      <c r="AK54" s="142" t="s">
        <v>106</v>
      </c>
      <c r="AL54" s="80">
        <v>0</v>
      </c>
      <c r="AM54" s="1" t="s">
        <v>213</v>
      </c>
      <c r="AN54" s="80">
        <v>0</v>
      </c>
      <c r="AO54" s="1" t="s">
        <v>213</v>
      </c>
      <c r="AP54" s="143">
        <v>0</v>
      </c>
      <c r="AQ54" s="1" t="s">
        <v>1176</v>
      </c>
      <c r="AR54" s="142">
        <v>0</v>
      </c>
      <c r="AS54" s="142">
        <v>0</v>
      </c>
      <c r="AT54" s="142">
        <v>0</v>
      </c>
      <c r="AU54" s="4" t="s">
        <v>93</v>
      </c>
    </row>
    <row r="55" spans="1:47" x14ac:dyDescent="0.2">
      <c r="A55" s="174"/>
      <c r="B55" s="9" t="s">
        <v>59</v>
      </c>
      <c r="C55" s="1" t="s">
        <v>1511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6109</v>
      </c>
      <c r="L55" s="142">
        <v>6109</v>
      </c>
      <c r="M55" s="142">
        <v>6109</v>
      </c>
      <c r="N55" s="14" t="s">
        <v>1510</v>
      </c>
      <c r="O55" s="142" t="s">
        <v>106</v>
      </c>
      <c r="P55" s="80">
        <v>0</v>
      </c>
      <c r="Q55" s="1" t="s">
        <v>939</v>
      </c>
      <c r="R55" s="1" t="s">
        <v>164</v>
      </c>
      <c r="S55" s="1" t="s">
        <v>164</v>
      </c>
      <c r="T55" s="143">
        <v>0</v>
      </c>
      <c r="U55" s="1" t="s">
        <v>939</v>
      </c>
      <c r="V55" s="142">
        <v>0</v>
      </c>
      <c r="W55" s="142">
        <v>0</v>
      </c>
      <c r="X55" s="142">
        <v>0</v>
      </c>
      <c r="Y55" s="14" t="s">
        <v>1509</v>
      </c>
      <c r="Z55" s="142" t="s">
        <v>106</v>
      </c>
      <c r="AA55" s="80">
        <v>1</v>
      </c>
      <c r="AB55" s="1" t="s">
        <v>529</v>
      </c>
      <c r="AC55" s="1" t="s">
        <v>164</v>
      </c>
      <c r="AD55" s="1" t="s">
        <v>164</v>
      </c>
      <c r="AE55" s="143">
        <v>1</v>
      </c>
      <c r="AF55" s="1" t="s">
        <v>529</v>
      </c>
      <c r="AG55" s="142">
        <v>48261</v>
      </c>
      <c r="AH55" s="142">
        <v>4826.1000000000004</v>
      </c>
      <c r="AI55" s="142">
        <v>5828</v>
      </c>
      <c r="AJ55" s="14" t="s">
        <v>1508</v>
      </c>
      <c r="AK55" s="142" t="s">
        <v>106</v>
      </c>
      <c r="AL55" s="80">
        <v>0</v>
      </c>
      <c r="AM55" s="1" t="s">
        <v>1176</v>
      </c>
      <c r="AN55" s="1" t="s">
        <v>164</v>
      </c>
      <c r="AO55" s="1" t="s">
        <v>164</v>
      </c>
      <c r="AP55" s="143">
        <v>0</v>
      </c>
      <c r="AQ55" s="1" t="s">
        <v>1176</v>
      </c>
      <c r="AR55" s="142">
        <v>0</v>
      </c>
      <c r="AS55" s="142">
        <v>0</v>
      </c>
      <c r="AT55" s="142">
        <v>0</v>
      </c>
      <c r="AU55" s="4" t="s">
        <v>93</v>
      </c>
    </row>
    <row r="56" spans="1:47" x14ac:dyDescent="0.2">
      <c r="A56" s="174"/>
      <c r="B56" s="9" t="s">
        <v>62</v>
      </c>
      <c r="C56" s="1" t="s">
        <v>1507</v>
      </c>
      <c r="D56" s="142" t="s">
        <v>106</v>
      </c>
      <c r="E56" s="80">
        <v>0</v>
      </c>
      <c r="F56" s="1" t="s">
        <v>169</v>
      </c>
      <c r="G56" s="80">
        <v>0</v>
      </c>
      <c r="H56" s="1" t="s">
        <v>163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1506</v>
      </c>
      <c r="O56" s="142" t="s">
        <v>106</v>
      </c>
      <c r="P56" s="80">
        <v>1</v>
      </c>
      <c r="Q56" s="1" t="s">
        <v>452</v>
      </c>
      <c r="R56" s="80">
        <v>1</v>
      </c>
      <c r="S56" s="1" t="s">
        <v>1073</v>
      </c>
      <c r="T56" s="143">
        <v>1</v>
      </c>
      <c r="U56" s="1" t="s">
        <v>1078</v>
      </c>
      <c r="V56" s="142">
        <v>9361</v>
      </c>
      <c r="W56" s="142">
        <v>3120.33</v>
      </c>
      <c r="X56" s="142">
        <v>3794</v>
      </c>
      <c r="Y56" s="14" t="s">
        <v>1505</v>
      </c>
      <c r="Z56" s="142" t="s">
        <v>106</v>
      </c>
      <c r="AA56" s="80">
        <v>0</v>
      </c>
      <c r="AB56" s="1" t="s">
        <v>169</v>
      </c>
      <c r="AC56" s="80">
        <v>1</v>
      </c>
      <c r="AD56" s="1" t="s">
        <v>452</v>
      </c>
      <c r="AE56" s="143">
        <v>1</v>
      </c>
      <c r="AF56" s="1" t="s">
        <v>452</v>
      </c>
      <c r="AG56" s="142">
        <v>5829</v>
      </c>
      <c r="AH56" s="142">
        <v>5829</v>
      </c>
      <c r="AI56" s="142">
        <v>5829</v>
      </c>
      <c r="AJ56" s="14" t="s">
        <v>1504</v>
      </c>
      <c r="AK56" s="142" t="s">
        <v>106</v>
      </c>
      <c r="AL56" s="80">
        <v>1</v>
      </c>
      <c r="AM56" s="1" t="s">
        <v>452</v>
      </c>
      <c r="AN56" s="80">
        <v>1</v>
      </c>
      <c r="AO56" s="1" t="s">
        <v>1073</v>
      </c>
      <c r="AP56" s="143">
        <v>1</v>
      </c>
      <c r="AQ56" s="1" t="s">
        <v>1078</v>
      </c>
      <c r="AR56" s="142">
        <v>9486</v>
      </c>
      <c r="AS56" s="142">
        <v>3162</v>
      </c>
      <c r="AT56" s="142">
        <v>3814</v>
      </c>
      <c r="AU56" s="4" t="s">
        <v>102</v>
      </c>
    </row>
    <row r="57" spans="1:47" x14ac:dyDescent="0.2">
      <c r="A57" s="174"/>
      <c r="B57" s="9" t="s">
        <v>63</v>
      </c>
      <c r="C57" s="1" t="s">
        <v>1503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8289</v>
      </c>
      <c r="L57" s="142">
        <v>8289</v>
      </c>
      <c r="M57" s="142">
        <v>8289</v>
      </c>
      <c r="N57" s="14" t="s">
        <v>1502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18329</v>
      </c>
      <c r="W57" s="142">
        <v>6109.67</v>
      </c>
      <c r="X57" s="142">
        <v>6458</v>
      </c>
      <c r="Y57" s="14" t="s">
        <v>1501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8135</v>
      </c>
      <c r="AH57" s="142">
        <v>8135</v>
      </c>
      <c r="AI57" s="142">
        <v>8135</v>
      </c>
      <c r="AJ57" s="14" t="s">
        <v>1500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19717</v>
      </c>
      <c r="AS57" s="142">
        <v>6572.33</v>
      </c>
      <c r="AT57" s="142">
        <v>6414</v>
      </c>
      <c r="AU57" s="4" t="s">
        <v>102</v>
      </c>
    </row>
    <row r="58" spans="1:47" x14ac:dyDescent="0.2">
      <c r="A58" s="174"/>
      <c r="B58" s="9" t="s">
        <v>64</v>
      </c>
      <c r="C58" s="1" t="s">
        <v>1499</v>
      </c>
      <c r="D58" s="142" t="s">
        <v>106</v>
      </c>
      <c r="E58" s="80">
        <v>0</v>
      </c>
      <c r="F58" s="1" t="s">
        <v>169</v>
      </c>
      <c r="G58" s="80">
        <v>0</v>
      </c>
      <c r="H58" s="1" t="s">
        <v>163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1498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1497</v>
      </c>
      <c r="Z58" s="142" t="s">
        <v>106</v>
      </c>
      <c r="AA58" s="80">
        <v>0</v>
      </c>
      <c r="AB58" s="1" t="s">
        <v>218</v>
      </c>
      <c r="AC58" s="80">
        <v>0</v>
      </c>
      <c r="AD58" s="1" t="s">
        <v>218</v>
      </c>
      <c r="AE58" s="143">
        <v>0</v>
      </c>
      <c r="AF58" s="1" t="s">
        <v>213</v>
      </c>
      <c r="AG58" s="142">
        <v>0</v>
      </c>
      <c r="AH58" s="142">
        <v>0</v>
      </c>
      <c r="AI58" s="142">
        <v>0</v>
      </c>
      <c r="AJ58" s="14" t="s">
        <v>1496</v>
      </c>
      <c r="AK58" s="142" t="s">
        <v>106</v>
      </c>
      <c r="AL58" s="80">
        <v>1</v>
      </c>
      <c r="AM58" s="1" t="s">
        <v>516</v>
      </c>
      <c r="AN58" s="80">
        <v>0</v>
      </c>
      <c r="AO58" s="1" t="s">
        <v>218</v>
      </c>
      <c r="AP58" s="143">
        <v>0.5</v>
      </c>
      <c r="AQ58" s="1" t="s">
        <v>511</v>
      </c>
      <c r="AR58" s="142">
        <v>11079</v>
      </c>
      <c r="AS58" s="142">
        <v>2215.8000000000002</v>
      </c>
      <c r="AT58" s="142">
        <v>1799</v>
      </c>
      <c r="AU58" s="4" t="s">
        <v>102</v>
      </c>
    </row>
    <row r="59" spans="1:47" x14ac:dyDescent="0.2">
      <c r="A59" s="174"/>
      <c r="B59" s="9" t="s">
        <v>65</v>
      </c>
      <c r="C59" s="1" t="s">
        <v>1495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1810</v>
      </c>
      <c r="L59" s="142">
        <v>1810</v>
      </c>
      <c r="M59" s="142">
        <v>1810</v>
      </c>
      <c r="N59" s="14" t="s">
        <v>1494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1852</v>
      </c>
      <c r="W59" s="142">
        <v>1852</v>
      </c>
      <c r="X59" s="142">
        <v>1852</v>
      </c>
      <c r="Y59" s="14" t="s">
        <v>1493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17670</v>
      </c>
      <c r="AH59" s="142">
        <v>1767</v>
      </c>
      <c r="AI59" s="142">
        <v>1760.5</v>
      </c>
      <c r="AJ59" s="14" t="s">
        <v>1492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18493</v>
      </c>
      <c r="AS59" s="142">
        <v>1849.3</v>
      </c>
      <c r="AT59" s="142">
        <v>1792</v>
      </c>
      <c r="AU59" s="4" t="s">
        <v>102</v>
      </c>
    </row>
    <row r="60" spans="1:47" x14ac:dyDescent="0.2">
      <c r="A60" s="174"/>
      <c r="B60" s="9" t="s">
        <v>66</v>
      </c>
      <c r="C60" s="1" t="s">
        <v>1491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7085</v>
      </c>
      <c r="L60" s="142">
        <v>7085</v>
      </c>
      <c r="M60" s="142">
        <v>7085</v>
      </c>
      <c r="N60" s="14" t="s">
        <v>1490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13955</v>
      </c>
      <c r="W60" s="142">
        <v>6977.5</v>
      </c>
      <c r="X60" s="142">
        <v>6977.5</v>
      </c>
      <c r="Y60" s="14" t="s">
        <v>1489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35060</v>
      </c>
      <c r="AH60" s="142">
        <v>3506</v>
      </c>
      <c r="AI60" s="142">
        <v>3894</v>
      </c>
      <c r="AJ60" s="14" t="s">
        <v>1488</v>
      </c>
      <c r="AK60" s="142" t="s">
        <v>106</v>
      </c>
      <c r="AL60" s="80">
        <v>1</v>
      </c>
      <c r="AM60" s="1" t="s">
        <v>529</v>
      </c>
      <c r="AN60" s="80">
        <v>1</v>
      </c>
      <c r="AO60" s="1" t="s">
        <v>529</v>
      </c>
      <c r="AP60" s="143">
        <v>1</v>
      </c>
      <c r="AQ60" s="1" t="s">
        <v>1070</v>
      </c>
      <c r="AR60" s="142">
        <v>70793</v>
      </c>
      <c r="AS60" s="142">
        <v>3539.65</v>
      </c>
      <c r="AT60" s="142">
        <v>3888</v>
      </c>
    </row>
    <row r="61" spans="1:47" x14ac:dyDescent="0.2">
      <c r="A61" s="174"/>
      <c r="B61" s="9" t="s">
        <v>67</v>
      </c>
      <c r="C61" s="1" t="s">
        <v>1487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25742</v>
      </c>
      <c r="L61" s="142">
        <v>25742</v>
      </c>
      <c r="M61" s="142">
        <v>25742</v>
      </c>
      <c r="N61" s="14" t="s">
        <v>1486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34448</v>
      </c>
      <c r="W61" s="142">
        <v>17224</v>
      </c>
      <c r="X61" s="142">
        <v>17224</v>
      </c>
      <c r="Y61" s="14" t="s">
        <v>1485</v>
      </c>
      <c r="Z61" s="142" t="s">
        <v>106</v>
      </c>
      <c r="AA61" s="80">
        <v>1</v>
      </c>
      <c r="AB61" s="1" t="s">
        <v>529</v>
      </c>
      <c r="AC61" s="1" t="s">
        <v>164</v>
      </c>
      <c r="AD61" s="1" t="s">
        <v>164</v>
      </c>
      <c r="AE61" s="143">
        <v>1</v>
      </c>
      <c r="AF61" s="1" t="s">
        <v>529</v>
      </c>
      <c r="AG61" s="142">
        <v>54531</v>
      </c>
      <c r="AH61" s="142">
        <v>5453.1</v>
      </c>
      <c r="AI61" s="142">
        <v>6313</v>
      </c>
      <c r="AJ61" s="14" t="s">
        <v>1484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88127</v>
      </c>
      <c r="AS61" s="142">
        <v>4406.3500000000004</v>
      </c>
      <c r="AT61" s="142">
        <v>3805.5</v>
      </c>
    </row>
    <row r="62" spans="1:47" x14ac:dyDescent="0.2">
      <c r="A62" s="174"/>
      <c r="B62" s="9" t="s">
        <v>68</v>
      </c>
      <c r="C62" s="1" t="s">
        <v>1483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27083</v>
      </c>
      <c r="L62" s="142">
        <v>27083</v>
      </c>
      <c r="M62" s="142">
        <v>27083</v>
      </c>
      <c r="N62" s="14" t="s">
        <v>1482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70595</v>
      </c>
      <c r="W62" s="142">
        <v>35297.5</v>
      </c>
      <c r="X62" s="142">
        <v>35297.5</v>
      </c>
      <c r="Y62" s="14" t="s">
        <v>1481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26968</v>
      </c>
      <c r="AH62" s="142">
        <v>3371</v>
      </c>
      <c r="AI62" s="142">
        <v>3784.5</v>
      </c>
      <c r="AJ62" s="14" t="s">
        <v>1480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71765</v>
      </c>
      <c r="AS62" s="142">
        <v>3588.25</v>
      </c>
      <c r="AT62" s="142">
        <v>4039</v>
      </c>
    </row>
    <row r="63" spans="1:47" x14ac:dyDescent="0.2">
      <c r="A63" s="174"/>
      <c r="B63" s="9" t="s">
        <v>69</v>
      </c>
      <c r="C63" s="1" t="s">
        <v>1479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11216</v>
      </c>
      <c r="L63" s="142">
        <v>11216</v>
      </c>
      <c r="M63" s="142">
        <v>11216</v>
      </c>
      <c r="N63" s="14" t="s">
        <v>1478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12031</v>
      </c>
      <c r="W63" s="142">
        <v>6015.5</v>
      </c>
      <c r="X63" s="142">
        <v>6015.5</v>
      </c>
      <c r="Y63" s="14" t="s">
        <v>1477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53499</v>
      </c>
      <c r="AH63" s="142">
        <v>5349.9</v>
      </c>
      <c r="AI63" s="142">
        <v>6059</v>
      </c>
      <c r="AJ63" s="14" t="s">
        <v>1476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86114</v>
      </c>
      <c r="AS63" s="142">
        <v>4305.7</v>
      </c>
      <c r="AT63" s="142">
        <v>3809</v>
      </c>
    </row>
    <row r="64" spans="1:47" x14ac:dyDescent="0.2">
      <c r="A64" s="174"/>
      <c r="B64" s="9" t="s">
        <v>3973</v>
      </c>
      <c r="C64" s="1" t="s">
        <v>1475</v>
      </c>
      <c r="D64" s="142" t="s">
        <v>106</v>
      </c>
      <c r="E64" s="80">
        <v>0</v>
      </c>
      <c r="F64" s="1" t="s">
        <v>163</v>
      </c>
      <c r="G64" s="1" t="s">
        <v>164</v>
      </c>
      <c r="H64" s="1" t="s">
        <v>164</v>
      </c>
      <c r="I64" s="143">
        <v>0</v>
      </c>
      <c r="J64" s="1" t="s">
        <v>163</v>
      </c>
      <c r="K64" s="142">
        <v>0</v>
      </c>
      <c r="L64" s="142">
        <v>0</v>
      </c>
      <c r="M64" s="142">
        <v>0</v>
      </c>
      <c r="N64" s="14" t="s">
        <v>1474</v>
      </c>
      <c r="O64" s="142" t="s">
        <v>106</v>
      </c>
      <c r="P64" s="80">
        <v>0</v>
      </c>
      <c r="Q64" s="1" t="s">
        <v>163</v>
      </c>
      <c r="R64" s="1" t="s">
        <v>164</v>
      </c>
      <c r="S64" s="1" t="s">
        <v>164</v>
      </c>
      <c r="T64" s="143">
        <v>0</v>
      </c>
      <c r="U64" s="1" t="s">
        <v>163</v>
      </c>
      <c r="V64" s="142">
        <v>0</v>
      </c>
      <c r="W64" s="142">
        <v>0</v>
      </c>
      <c r="X64" s="142">
        <v>0</v>
      </c>
      <c r="Y64" s="14" t="s">
        <v>1473</v>
      </c>
      <c r="Z64" s="142" t="s">
        <v>106</v>
      </c>
      <c r="AA64" s="80">
        <v>0</v>
      </c>
      <c r="AB64" s="1" t="s">
        <v>163</v>
      </c>
      <c r="AC64" s="1" t="s">
        <v>164</v>
      </c>
      <c r="AD64" s="1" t="s">
        <v>164</v>
      </c>
      <c r="AE64" s="143">
        <v>0</v>
      </c>
      <c r="AF64" s="1" t="s">
        <v>163</v>
      </c>
      <c r="AG64" s="142">
        <v>0</v>
      </c>
      <c r="AH64" s="142">
        <v>0</v>
      </c>
      <c r="AI64" s="142">
        <v>0</v>
      </c>
      <c r="AJ64" s="14" t="s">
        <v>1472</v>
      </c>
      <c r="AK64" s="142" t="s">
        <v>106</v>
      </c>
      <c r="AL64" s="80">
        <v>0</v>
      </c>
      <c r="AM64" s="1" t="s">
        <v>163</v>
      </c>
      <c r="AN64" s="1" t="s">
        <v>164</v>
      </c>
      <c r="AO64" s="1" t="s">
        <v>164</v>
      </c>
      <c r="AP64" s="143">
        <v>0</v>
      </c>
      <c r="AQ64" s="1" t="s">
        <v>163</v>
      </c>
      <c r="AR64" s="142">
        <v>0</v>
      </c>
      <c r="AS64" s="142">
        <v>0</v>
      </c>
      <c r="AT64" s="142">
        <v>0</v>
      </c>
      <c r="AU64" s="4" t="s">
        <v>103</v>
      </c>
    </row>
    <row r="65" spans="1:47" x14ac:dyDescent="0.2">
      <c r="A65" s="174"/>
      <c r="B65" s="9" t="s">
        <v>3968</v>
      </c>
      <c r="C65" s="1" t="s">
        <v>1471</v>
      </c>
      <c r="D65" s="142" t="s">
        <v>106</v>
      </c>
      <c r="E65" s="80">
        <v>0</v>
      </c>
      <c r="F65" s="1" t="s">
        <v>163</v>
      </c>
      <c r="G65" s="1" t="s">
        <v>164</v>
      </c>
      <c r="H65" s="1" t="s">
        <v>164</v>
      </c>
      <c r="I65" s="143">
        <v>0</v>
      </c>
      <c r="J65" s="1" t="s">
        <v>163</v>
      </c>
      <c r="K65" s="142">
        <v>0</v>
      </c>
      <c r="L65" s="142">
        <v>0</v>
      </c>
      <c r="M65" s="142">
        <v>0</v>
      </c>
      <c r="N65" s="14" t="s">
        <v>1470</v>
      </c>
      <c r="O65" s="142" t="s">
        <v>106</v>
      </c>
      <c r="P65" s="80">
        <v>0</v>
      </c>
      <c r="Q65" s="1" t="s">
        <v>163</v>
      </c>
      <c r="R65" s="1" t="s">
        <v>164</v>
      </c>
      <c r="S65" s="1" t="s">
        <v>164</v>
      </c>
      <c r="T65" s="143">
        <v>0</v>
      </c>
      <c r="U65" s="1" t="s">
        <v>163</v>
      </c>
      <c r="V65" s="142">
        <v>0</v>
      </c>
      <c r="W65" s="142">
        <v>0</v>
      </c>
      <c r="X65" s="142">
        <v>0</v>
      </c>
      <c r="Y65" s="14" t="s">
        <v>1469</v>
      </c>
      <c r="Z65" s="142" t="s">
        <v>106</v>
      </c>
      <c r="AA65" s="80">
        <v>0</v>
      </c>
      <c r="AB65" s="1" t="s">
        <v>163</v>
      </c>
      <c r="AC65" s="1" t="s">
        <v>164</v>
      </c>
      <c r="AD65" s="1" t="s">
        <v>164</v>
      </c>
      <c r="AE65" s="143">
        <v>0</v>
      </c>
      <c r="AF65" s="1" t="s">
        <v>163</v>
      </c>
      <c r="AG65" s="142">
        <v>0</v>
      </c>
      <c r="AH65" s="142">
        <v>0</v>
      </c>
      <c r="AI65" s="142">
        <v>0</v>
      </c>
      <c r="AJ65" s="14" t="s">
        <v>1468</v>
      </c>
      <c r="AK65" s="142" t="s">
        <v>106</v>
      </c>
      <c r="AL65" s="80">
        <v>0</v>
      </c>
      <c r="AM65" s="1" t="s">
        <v>163</v>
      </c>
      <c r="AN65" s="1" t="s">
        <v>164</v>
      </c>
      <c r="AO65" s="1" t="s">
        <v>164</v>
      </c>
      <c r="AP65" s="143">
        <v>0</v>
      </c>
      <c r="AQ65" s="1" t="s">
        <v>163</v>
      </c>
      <c r="AR65" s="142">
        <v>0</v>
      </c>
      <c r="AS65" s="142">
        <v>0</v>
      </c>
      <c r="AT65" s="142">
        <v>0</v>
      </c>
      <c r="AU65" s="4" t="s">
        <v>103</v>
      </c>
    </row>
    <row r="66" spans="1:47" x14ac:dyDescent="0.2">
      <c r="A66" s="174"/>
      <c r="B66" s="9" t="s">
        <v>3969</v>
      </c>
      <c r="C66" s="1" t="s">
        <v>1467</v>
      </c>
      <c r="D66" s="142" t="s">
        <v>106</v>
      </c>
      <c r="E66" s="80">
        <v>0</v>
      </c>
      <c r="F66" s="1" t="s">
        <v>169</v>
      </c>
      <c r="G66" s="80">
        <v>0</v>
      </c>
      <c r="H66" s="1" t="s">
        <v>163</v>
      </c>
      <c r="I66" s="143">
        <v>0</v>
      </c>
      <c r="J66" s="1" t="s">
        <v>163</v>
      </c>
      <c r="K66" s="142">
        <v>0</v>
      </c>
      <c r="L66" s="142">
        <v>0</v>
      </c>
      <c r="M66" s="142">
        <v>0</v>
      </c>
      <c r="N66" s="14" t="s">
        <v>1466</v>
      </c>
      <c r="O66" s="142" t="s">
        <v>106</v>
      </c>
      <c r="P66" s="80">
        <v>0</v>
      </c>
      <c r="Q66" s="1" t="s">
        <v>169</v>
      </c>
      <c r="R66" s="80">
        <v>0</v>
      </c>
      <c r="S66" s="1" t="s">
        <v>163</v>
      </c>
      <c r="T66" s="143">
        <v>0</v>
      </c>
      <c r="U66" s="1" t="s">
        <v>163</v>
      </c>
      <c r="V66" s="142">
        <v>0</v>
      </c>
      <c r="W66" s="142">
        <v>0</v>
      </c>
      <c r="X66" s="142">
        <v>0</v>
      </c>
      <c r="Y66" s="14" t="s">
        <v>1465</v>
      </c>
      <c r="Z66" s="142" t="s">
        <v>106</v>
      </c>
      <c r="AA66" s="80">
        <v>0</v>
      </c>
      <c r="AB66" s="1" t="s">
        <v>218</v>
      </c>
      <c r="AC66" s="80">
        <v>0</v>
      </c>
      <c r="AD66" s="1" t="s">
        <v>218</v>
      </c>
      <c r="AE66" s="143">
        <v>0</v>
      </c>
      <c r="AF66" s="1" t="s">
        <v>213</v>
      </c>
      <c r="AG66" s="142">
        <v>0</v>
      </c>
      <c r="AH66" s="142">
        <v>0</v>
      </c>
      <c r="AI66" s="142">
        <v>0</v>
      </c>
      <c r="AJ66" s="14" t="s">
        <v>1464</v>
      </c>
      <c r="AK66" s="142" t="s">
        <v>106</v>
      </c>
      <c r="AL66" s="80">
        <v>0</v>
      </c>
      <c r="AM66" s="1" t="s">
        <v>218</v>
      </c>
      <c r="AN66" s="80">
        <v>0</v>
      </c>
      <c r="AO66" s="1" t="s">
        <v>218</v>
      </c>
      <c r="AP66" s="143">
        <v>0</v>
      </c>
      <c r="AQ66" s="1" t="s">
        <v>213</v>
      </c>
      <c r="AR66" s="142">
        <v>0</v>
      </c>
      <c r="AS66" s="142">
        <v>0</v>
      </c>
      <c r="AT66" s="142">
        <v>0</v>
      </c>
      <c r="AU66" s="4" t="s">
        <v>103</v>
      </c>
    </row>
    <row r="67" spans="1:47" x14ac:dyDescent="0.2">
      <c r="A67" s="174"/>
      <c r="B67" s="9" t="s">
        <v>3970</v>
      </c>
      <c r="C67" s="1" t="s">
        <v>1463</v>
      </c>
      <c r="D67" s="142" t="s">
        <v>106</v>
      </c>
      <c r="E67" s="80">
        <v>0</v>
      </c>
      <c r="F67" s="1" t="s">
        <v>163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1462</v>
      </c>
      <c r="O67" s="142" t="s">
        <v>106</v>
      </c>
      <c r="P67" s="80">
        <v>0</v>
      </c>
      <c r="Q67" s="1" t="s">
        <v>163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1461</v>
      </c>
      <c r="Z67" s="142" t="s">
        <v>106</v>
      </c>
      <c r="AA67" s="80">
        <v>0</v>
      </c>
      <c r="AB67" s="1" t="s">
        <v>213</v>
      </c>
      <c r="AC67" s="1" t="s">
        <v>164</v>
      </c>
      <c r="AD67" s="1" t="s">
        <v>164</v>
      </c>
      <c r="AE67" s="143">
        <v>0</v>
      </c>
      <c r="AF67" s="1" t="s">
        <v>213</v>
      </c>
      <c r="AG67" s="142">
        <v>0</v>
      </c>
      <c r="AH67" s="142">
        <v>0</v>
      </c>
      <c r="AI67" s="142">
        <v>0</v>
      </c>
      <c r="AJ67" s="14" t="s">
        <v>1460</v>
      </c>
      <c r="AK67" s="142" t="s">
        <v>106</v>
      </c>
      <c r="AL67" s="80">
        <v>0</v>
      </c>
      <c r="AM67" s="1" t="s">
        <v>213</v>
      </c>
      <c r="AN67" s="1" t="s">
        <v>164</v>
      </c>
      <c r="AO67" s="1" t="s">
        <v>164</v>
      </c>
      <c r="AP67" s="143">
        <v>0</v>
      </c>
      <c r="AQ67" s="1" t="s">
        <v>213</v>
      </c>
      <c r="AR67" s="142">
        <v>0</v>
      </c>
      <c r="AS67" s="142">
        <v>0</v>
      </c>
      <c r="AT67" s="142">
        <v>0</v>
      </c>
      <c r="AU67" s="4" t="s">
        <v>103</v>
      </c>
    </row>
    <row r="68" spans="1:47" x14ac:dyDescent="0.2">
      <c r="A68" s="174"/>
      <c r="B68" s="9" t="s">
        <v>3971</v>
      </c>
      <c r="C68" s="1" t="s">
        <v>1459</v>
      </c>
      <c r="D68" s="142" t="s">
        <v>106</v>
      </c>
      <c r="E68" s="80">
        <v>0</v>
      </c>
      <c r="F68" s="1" t="s">
        <v>169</v>
      </c>
      <c r="G68" s="80">
        <v>0</v>
      </c>
      <c r="H68" s="1" t="s">
        <v>163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1458</v>
      </c>
      <c r="O68" s="142" t="s">
        <v>106</v>
      </c>
      <c r="P68" s="80">
        <v>0</v>
      </c>
      <c r="Q68" s="1" t="s">
        <v>169</v>
      </c>
      <c r="R68" s="80">
        <v>0</v>
      </c>
      <c r="S68" s="1" t="s">
        <v>163</v>
      </c>
      <c r="T68" s="143">
        <v>0</v>
      </c>
      <c r="U68" s="1" t="s">
        <v>163</v>
      </c>
      <c r="V68" s="142">
        <v>0</v>
      </c>
      <c r="W68" s="142">
        <v>0</v>
      </c>
      <c r="X68" s="142">
        <v>0</v>
      </c>
      <c r="Y68" s="14" t="s">
        <v>1457</v>
      </c>
      <c r="Z68" s="142" t="s">
        <v>106</v>
      </c>
      <c r="AA68" s="80">
        <v>0.8</v>
      </c>
      <c r="AB68" s="1" t="s">
        <v>506</v>
      </c>
      <c r="AC68" s="80">
        <v>0.2</v>
      </c>
      <c r="AD68" s="1" t="s">
        <v>1049</v>
      </c>
      <c r="AE68" s="143">
        <v>0.5</v>
      </c>
      <c r="AF68" s="1" t="s">
        <v>511</v>
      </c>
      <c r="AG68" s="142">
        <v>32849</v>
      </c>
      <c r="AH68" s="142">
        <v>6569.8</v>
      </c>
      <c r="AI68" s="142">
        <v>6512</v>
      </c>
      <c r="AJ68" s="14" t="s">
        <v>1456</v>
      </c>
      <c r="AK68" s="142" t="s">
        <v>106</v>
      </c>
      <c r="AL68" s="80">
        <v>0.8</v>
      </c>
      <c r="AM68" s="1" t="s">
        <v>506</v>
      </c>
      <c r="AN68" s="80">
        <v>0.2</v>
      </c>
      <c r="AO68" s="1" t="s">
        <v>1049</v>
      </c>
      <c r="AP68" s="143">
        <v>0.5</v>
      </c>
      <c r="AQ68" s="1" t="s">
        <v>511</v>
      </c>
      <c r="AR68" s="142">
        <v>18440</v>
      </c>
      <c r="AS68" s="142">
        <v>3688</v>
      </c>
      <c r="AT68" s="142">
        <v>3867</v>
      </c>
      <c r="AU68" s="4" t="s">
        <v>102</v>
      </c>
    </row>
    <row r="69" spans="1:47" x14ac:dyDescent="0.2">
      <c r="A69" s="174"/>
      <c r="B69" s="9" t="s">
        <v>3972</v>
      </c>
      <c r="C69" s="1" t="s">
        <v>1455</v>
      </c>
      <c r="D69" s="142" t="s">
        <v>106</v>
      </c>
      <c r="E69" s="80">
        <v>1</v>
      </c>
      <c r="F69" s="1" t="s">
        <v>452</v>
      </c>
      <c r="G69" s="1" t="s">
        <v>164</v>
      </c>
      <c r="H69" s="1" t="s">
        <v>164</v>
      </c>
      <c r="I69" s="143">
        <v>1</v>
      </c>
      <c r="J69" s="1" t="s">
        <v>452</v>
      </c>
      <c r="K69" s="142">
        <v>3909</v>
      </c>
      <c r="L69" s="142">
        <v>3909</v>
      </c>
      <c r="M69" s="142">
        <v>3909</v>
      </c>
      <c r="N69" s="14" t="s">
        <v>1454</v>
      </c>
      <c r="O69" s="142" t="s">
        <v>106</v>
      </c>
      <c r="P69" s="80">
        <v>1</v>
      </c>
      <c r="Q69" s="1" t="s">
        <v>452</v>
      </c>
      <c r="R69" s="1" t="s">
        <v>164</v>
      </c>
      <c r="S69" s="1" t="s">
        <v>164</v>
      </c>
      <c r="T69" s="143">
        <v>1</v>
      </c>
      <c r="U69" s="1" t="s">
        <v>452</v>
      </c>
      <c r="V69" s="142">
        <v>1761</v>
      </c>
      <c r="W69" s="142">
        <v>1761</v>
      </c>
      <c r="X69" s="142">
        <v>1761</v>
      </c>
      <c r="Y69" s="14" t="s">
        <v>1453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34659</v>
      </c>
      <c r="AH69" s="142">
        <v>3851</v>
      </c>
      <c r="AI69" s="142">
        <v>3852</v>
      </c>
      <c r="AJ69" s="14" t="s">
        <v>1452</v>
      </c>
      <c r="AK69" s="142" t="s">
        <v>106</v>
      </c>
      <c r="AL69" s="80">
        <v>0.8</v>
      </c>
      <c r="AM69" s="1" t="s">
        <v>1077</v>
      </c>
      <c r="AN69" s="1" t="s">
        <v>164</v>
      </c>
      <c r="AO69" s="1" t="s">
        <v>164</v>
      </c>
      <c r="AP69" s="143">
        <v>0.8</v>
      </c>
      <c r="AQ69" s="1" t="s">
        <v>1077</v>
      </c>
      <c r="AR69" s="142">
        <v>15365</v>
      </c>
      <c r="AS69" s="142">
        <v>1920.62</v>
      </c>
      <c r="AT69" s="142">
        <v>1777.5</v>
      </c>
      <c r="AU69" s="4" t="s">
        <v>102</v>
      </c>
    </row>
    <row r="70" spans="1:47" x14ac:dyDescent="0.2">
      <c r="A70" s="174"/>
      <c r="B70" s="9" t="s">
        <v>70</v>
      </c>
      <c r="C70" s="1" t="s">
        <v>1451</v>
      </c>
      <c r="D70" s="142" t="s">
        <v>106</v>
      </c>
      <c r="E70" s="80">
        <v>0</v>
      </c>
      <c r="F70" s="1" t="s">
        <v>169</v>
      </c>
      <c r="G70" s="80">
        <v>1</v>
      </c>
      <c r="H70" s="1" t="s">
        <v>452</v>
      </c>
      <c r="I70" s="143">
        <v>1</v>
      </c>
      <c r="J70" s="1" t="s">
        <v>452</v>
      </c>
      <c r="K70" s="142">
        <v>1997</v>
      </c>
      <c r="L70" s="142">
        <v>1997</v>
      </c>
      <c r="M70" s="142">
        <v>1997</v>
      </c>
      <c r="N70" s="14" t="s">
        <v>1450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1449</v>
      </c>
      <c r="Z70" s="142" t="s">
        <v>106</v>
      </c>
      <c r="AA70" s="80">
        <v>1</v>
      </c>
      <c r="AB70" s="1" t="s">
        <v>516</v>
      </c>
      <c r="AC70" s="80">
        <v>1</v>
      </c>
      <c r="AD70" s="1" t="s">
        <v>516</v>
      </c>
      <c r="AE70" s="143">
        <v>1</v>
      </c>
      <c r="AF70" s="1" t="s">
        <v>529</v>
      </c>
      <c r="AG70" s="142">
        <v>19167</v>
      </c>
      <c r="AH70" s="142">
        <v>1916.7</v>
      </c>
      <c r="AI70" s="142">
        <v>1815</v>
      </c>
      <c r="AJ70" s="14" t="s">
        <v>1448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2">
        <v>0</v>
      </c>
      <c r="AU70" s="4" t="s">
        <v>102</v>
      </c>
    </row>
    <row r="71" spans="1:47" x14ac:dyDescent="0.2">
      <c r="A71" s="174"/>
      <c r="B71" s="9" t="s">
        <v>71</v>
      </c>
      <c r="C71" s="1" t="s">
        <v>1447</v>
      </c>
      <c r="D71" s="142" t="s">
        <v>106</v>
      </c>
      <c r="E71" s="80">
        <v>1</v>
      </c>
      <c r="F71" s="1" t="s">
        <v>452</v>
      </c>
      <c r="G71" s="1" t="s">
        <v>164</v>
      </c>
      <c r="H71" s="1" t="s">
        <v>164</v>
      </c>
      <c r="I71" s="143">
        <v>1</v>
      </c>
      <c r="J71" s="1" t="s">
        <v>452</v>
      </c>
      <c r="K71" s="142">
        <v>3889</v>
      </c>
      <c r="L71" s="142">
        <v>3889</v>
      </c>
      <c r="M71" s="142">
        <v>3889</v>
      </c>
      <c r="N71" s="14" t="s">
        <v>1446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1445</v>
      </c>
      <c r="Z71" s="142" t="s">
        <v>106</v>
      </c>
      <c r="AA71" s="80">
        <v>1</v>
      </c>
      <c r="AB71" s="1" t="s">
        <v>529</v>
      </c>
      <c r="AC71" s="1" t="s">
        <v>164</v>
      </c>
      <c r="AD71" s="1" t="s">
        <v>164</v>
      </c>
      <c r="AE71" s="143">
        <v>1</v>
      </c>
      <c r="AF71" s="1" t="s">
        <v>529</v>
      </c>
      <c r="AG71" s="142">
        <v>27964</v>
      </c>
      <c r="AH71" s="142">
        <v>2796.4</v>
      </c>
      <c r="AI71" s="142">
        <v>2781.5</v>
      </c>
      <c r="AJ71" s="14" t="s">
        <v>1444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4"/>
      <c r="B72" s="9" t="s">
        <v>72</v>
      </c>
      <c r="C72" s="1" t="s">
        <v>1443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1442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1441</v>
      </c>
      <c r="Z72" s="142" t="s">
        <v>106</v>
      </c>
      <c r="AA72" s="80">
        <v>1</v>
      </c>
      <c r="AB72" s="1" t="s">
        <v>516</v>
      </c>
      <c r="AC72" s="80">
        <v>1</v>
      </c>
      <c r="AD72" s="1" t="s">
        <v>516</v>
      </c>
      <c r="AE72" s="143">
        <v>1</v>
      </c>
      <c r="AF72" s="1" t="s">
        <v>529</v>
      </c>
      <c r="AG72" s="142">
        <v>37736</v>
      </c>
      <c r="AH72" s="142">
        <v>3773.6</v>
      </c>
      <c r="AI72" s="142">
        <v>3761.5</v>
      </c>
      <c r="AJ72" s="14" t="s">
        <v>1440</v>
      </c>
      <c r="AK72" s="142" t="s">
        <v>106</v>
      </c>
      <c r="AL72" s="80">
        <v>1</v>
      </c>
      <c r="AM72" s="1" t="s">
        <v>516</v>
      </c>
      <c r="AN72" s="80">
        <v>0</v>
      </c>
      <c r="AO72" s="1" t="s">
        <v>218</v>
      </c>
      <c r="AP72" s="143">
        <v>0.5</v>
      </c>
      <c r="AQ72" s="1" t="s">
        <v>511</v>
      </c>
      <c r="AR72" s="142">
        <v>10948</v>
      </c>
      <c r="AS72" s="142">
        <v>2189.6</v>
      </c>
      <c r="AT72" s="142">
        <v>1762</v>
      </c>
      <c r="AU72" s="4" t="s">
        <v>102</v>
      </c>
    </row>
    <row r="73" spans="1:47" x14ac:dyDescent="0.2">
      <c r="A73" s="174"/>
      <c r="B73" s="9" t="s">
        <v>73</v>
      </c>
      <c r="C73" s="1" t="s">
        <v>1439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5965</v>
      </c>
      <c r="L73" s="142">
        <v>5965</v>
      </c>
      <c r="M73" s="142">
        <v>5965</v>
      </c>
      <c r="N73" s="14" t="s">
        <v>1438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3827</v>
      </c>
      <c r="W73" s="142">
        <v>3827</v>
      </c>
      <c r="X73" s="142">
        <v>3827</v>
      </c>
      <c r="Y73" s="14" t="s">
        <v>1437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58114</v>
      </c>
      <c r="AH73" s="142">
        <v>5811.4</v>
      </c>
      <c r="AI73" s="142">
        <v>5795</v>
      </c>
      <c r="AJ73" s="14" t="s">
        <v>1436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36734</v>
      </c>
      <c r="AS73" s="142">
        <v>3673.4</v>
      </c>
      <c r="AT73" s="142">
        <v>3780.5</v>
      </c>
      <c r="AU73" s="4" t="s">
        <v>102</v>
      </c>
    </row>
    <row r="74" spans="1:47" x14ac:dyDescent="0.2">
      <c r="A74" s="174"/>
      <c r="B74" s="9" t="s">
        <v>74</v>
      </c>
      <c r="C74" s="1" t="s">
        <v>1435</v>
      </c>
      <c r="D74" s="142" t="s">
        <v>106</v>
      </c>
      <c r="E74" s="80">
        <v>0</v>
      </c>
      <c r="F74" s="1" t="s">
        <v>169</v>
      </c>
      <c r="G74" s="80">
        <v>1</v>
      </c>
      <c r="H74" s="1" t="s">
        <v>452</v>
      </c>
      <c r="I74" s="143">
        <v>1</v>
      </c>
      <c r="J74" s="1" t="s">
        <v>452</v>
      </c>
      <c r="K74" s="142">
        <v>4236</v>
      </c>
      <c r="L74" s="142">
        <v>4236</v>
      </c>
      <c r="M74" s="142">
        <v>4236</v>
      </c>
      <c r="N74" s="14" t="s">
        <v>1434</v>
      </c>
      <c r="O74" s="142" t="s">
        <v>106</v>
      </c>
      <c r="P74" s="80">
        <v>0</v>
      </c>
      <c r="Q74" s="1" t="s">
        <v>169</v>
      </c>
      <c r="R74" s="80">
        <v>1</v>
      </c>
      <c r="S74" s="1" t="s">
        <v>452</v>
      </c>
      <c r="T74" s="143">
        <v>1</v>
      </c>
      <c r="U74" s="1" t="s">
        <v>452</v>
      </c>
      <c r="V74" s="142">
        <v>1764</v>
      </c>
      <c r="W74" s="142">
        <v>1764</v>
      </c>
      <c r="X74" s="142">
        <v>1764</v>
      </c>
      <c r="Y74" s="14" t="s">
        <v>1433</v>
      </c>
      <c r="Z74" s="142" t="s">
        <v>106</v>
      </c>
      <c r="AA74" s="80">
        <v>1</v>
      </c>
      <c r="AB74" s="1" t="s">
        <v>516</v>
      </c>
      <c r="AC74" s="80">
        <v>0.8</v>
      </c>
      <c r="AD74" s="1" t="s">
        <v>506</v>
      </c>
      <c r="AE74" s="143">
        <v>0.9</v>
      </c>
      <c r="AF74" s="1" t="s">
        <v>951</v>
      </c>
      <c r="AG74" s="142">
        <v>34402</v>
      </c>
      <c r="AH74" s="142">
        <v>3822.44</v>
      </c>
      <c r="AI74" s="142">
        <v>3770</v>
      </c>
      <c r="AJ74" s="14" t="s">
        <v>1432</v>
      </c>
      <c r="AK74" s="142" t="s">
        <v>106</v>
      </c>
      <c r="AL74" s="80">
        <v>0</v>
      </c>
      <c r="AM74" s="1" t="s">
        <v>218</v>
      </c>
      <c r="AN74" s="80">
        <v>1</v>
      </c>
      <c r="AO74" s="1" t="s">
        <v>516</v>
      </c>
      <c r="AP74" s="143">
        <v>0.5</v>
      </c>
      <c r="AQ74" s="1" t="s">
        <v>511</v>
      </c>
      <c r="AR74" s="142">
        <v>8847</v>
      </c>
      <c r="AS74" s="142">
        <v>1769.4</v>
      </c>
      <c r="AT74" s="142">
        <v>1776</v>
      </c>
      <c r="AU74" s="4" t="s">
        <v>102</v>
      </c>
    </row>
    <row r="75" spans="1:47" x14ac:dyDescent="0.2">
      <c r="A75" s="174"/>
      <c r="B75" s="9" t="s">
        <v>75</v>
      </c>
      <c r="C75" s="1" t="s">
        <v>1431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1430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1429</v>
      </c>
      <c r="Z75" s="142" t="s">
        <v>106</v>
      </c>
      <c r="AA75" s="80">
        <v>1</v>
      </c>
      <c r="AB75" s="1" t="s">
        <v>529</v>
      </c>
      <c r="AC75" s="1" t="s">
        <v>164</v>
      </c>
      <c r="AD75" s="1" t="s">
        <v>164</v>
      </c>
      <c r="AE75" s="143">
        <v>1</v>
      </c>
      <c r="AF75" s="1" t="s">
        <v>529</v>
      </c>
      <c r="AG75" s="142">
        <v>39705</v>
      </c>
      <c r="AH75" s="142">
        <v>3970.5</v>
      </c>
      <c r="AI75" s="142">
        <v>3951.5</v>
      </c>
      <c r="AJ75" s="14" t="s">
        <v>1428</v>
      </c>
      <c r="AK75" s="142" t="s">
        <v>106</v>
      </c>
      <c r="AL75" s="80">
        <v>0</v>
      </c>
      <c r="AM75" s="1" t="s">
        <v>213</v>
      </c>
      <c r="AN75" s="1" t="s">
        <v>164</v>
      </c>
      <c r="AO75" s="1" t="s">
        <v>164</v>
      </c>
      <c r="AP75" s="143">
        <v>0</v>
      </c>
      <c r="AQ75" s="1" t="s">
        <v>213</v>
      </c>
      <c r="AR75" s="142">
        <v>0</v>
      </c>
      <c r="AS75" s="142">
        <v>0</v>
      </c>
      <c r="AT75" s="142">
        <v>0</v>
      </c>
      <c r="AU75" s="4" t="s">
        <v>102</v>
      </c>
    </row>
    <row r="76" spans="1:47" x14ac:dyDescent="0.2">
      <c r="A76" s="174"/>
      <c r="B76" s="9" t="s">
        <v>160</v>
      </c>
      <c r="C76" s="1" t="s">
        <v>1427</v>
      </c>
      <c r="D76" s="142" t="s">
        <v>106</v>
      </c>
      <c r="E76" s="80">
        <v>0</v>
      </c>
      <c r="F76" s="1" t="s">
        <v>163</v>
      </c>
      <c r="G76" s="1" t="s">
        <v>164</v>
      </c>
      <c r="H76" s="1" t="s">
        <v>164</v>
      </c>
      <c r="I76" s="143">
        <v>0</v>
      </c>
      <c r="J76" s="1" t="s">
        <v>163</v>
      </c>
      <c r="K76" s="142">
        <v>0</v>
      </c>
      <c r="L76" s="142">
        <v>0</v>
      </c>
      <c r="M76" s="142">
        <v>0</v>
      </c>
      <c r="N76" s="14" t="s">
        <v>1426</v>
      </c>
      <c r="O76" s="142" t="s">
        <v>106</v>
      </c>
      <c r="P76" s="80">
        <v>0</v>
      </c>
      <c r="Q76" s="1" t="s">
        <v>163</v>
      </c>
      <c r="R76" s="1" t="s">
        <v>164</v>
      </c>
      <c r="S76" s="1" t="s">
        <v>164</v>
      </c>
      <c r="T76" s="143">
        <v>0</v>
      </c>
      <c r="U76" s="1" t="s">
        <v>163</v>
      </c>
      <c r="V76" s="142">
        <v>0</v>
      </c>
      <c r="W76" s="142">
        <v>0</v>
      </c>
      <c r="X76" s="142">
        <v>0</v>
      </c>
      <c r="Y76" s="14" t="s">
        <v>1425</v>
      </c>
      <c r="Z76" s="142" t="s">
        <v>106</v>
      </c>
      <c r="AA76" s="80">
        <v>0</v>
      </c>
      <c r="AB76" s="1" t="s">
        <v>213</v>
      </c>
      <c r="AC76" s="1" t="s">
        <v>164</v>
      </c>
      <c r="AD76" s="1" t="s">
        <v>164</v>
      </c>
      <c r="AE76" s="143">
        <v>0</v>
      </c>
      <c r="AF76" s="1" t="s">
        <v>213</v>
      </c>
      <c r="AG76" s="142">
        <v>0</v>
      </c>
      <c r="AH76" s="142">
        <v>0</v>
      </c>
      <c r="AI76" s="142">
        <v>0</v>
      </c>
      <c r="AJ76" s="14" t="s">
        <v>1424</v>
      </c>
      <c r="AK76" s="142" t="s">
        <v>106</v>
      </c>
      <c r="AL76" s="80">
        <v>0</v>
      </c>
      <c r="AM76" s="1" t="s">
        <v>213</v>
      </c>
      <c r="AN76" s="1" t="s">
        <v>164</v>
      </c>
      <c r="AO76" s="1" t="s">
        <v>164</v>
      </c>
      <c r="AP76" s="143">
        <v>0</v>
      </c>
      <c r="AQ76" s="1" t="s">
        <v>213</v>
      </c>
      <c r="AR76" s="142">
        <v>0</v>
      </c>
      <c r="AS76" s="142">
        <v>0</v>
      </c>
      <c r="AT76" s="142">
        <v>0</v>
      </c>
      <c r="AU76" s="4" t="s">
        <v>103</v>
      </c>
    </row>
    <row r="77" spans="1:47" x14ac:dyDescent="0.2">
      <c r="A77" s="174"/>
      <c r="B77" s="9" t="s">
        <v>76</v>
      </c>
      <c r="C77" s="1" t="s">
        <v>1423</v>
      </c>
      <c r="D77" s="142" t="s">
        <v>106</v>
      </c>
      <c r="E77" s="80">
        <v>0</v>
      </c>
      <c r="F77" s="1" t="s">
        <v>163</v>
      </c>
      <c r="G77" s="1" t="s">
        <v>164</v>
      </c>
      <c r="H77" s="1" t="s">
        <v>164</v>
      </c>
      <c r="I77" s="143">
        <v>0</v>
      </c>
      <c r="J77" s="1" t="s">
        <v>163</v>
      </c>
      <c r="K77" s="142">
        <v>0</v>
      </c>
      <c r="L77" s="142">
        <v>0</v>
      </c>
      <c r="M77" s="142">
        <v>0</v>
      </c>
      <c r="N77" s="14" t="s">
        <v>1422</v>
      </c>
      <c r="O77" s="142" t="s">
        <v>106</v>
      </c>
      <c r="P77" s="80">
        <v>0</v>
      </c>
      <c r="Q77" s="1" t="s">
        <v>163</v>
      </c>
      <c r="R77" s="1" t="s">
        <v>164</v>
      </c>
      <c r="S77" s="1" t="s">
        <v>164</v>
      </c>
      <c r="T77" s="143">
        <v>0</v>
      </c>
      <c r="U77" s="1" t="s">
        <v>163</v>
      </c>
      <c r="V77" s="142">
        <v>0</v>
      </c>
      <c r="W77" s="142">
        <v>0</v>
      </c>
      <c r="X77" s="142">
        <v>0</v>
      </c>
      <c r="Y77" s="14" t="s">
        <v>1421</v>
      </c>
      <c r="Z77" s="142" t="s">
        <v>106</v>
      </c>
      <c r="AA77" s="80">
        <v>0</v>
      </c>
      <c r="AB77" s="1" t="s">
        <v>213</v>
      </c>
      <c r="AC77" s="1" t="s">
        <v>164</v>
      </c>
      <c r="AD77" s="1" t="s">
        <v>164</v>
      </c>
      <c r="AE77" s="143">
        <v>0</v>
      </c>
      <c r="AF77" s="1" t="s">
        <v>213</v>
      </c>
      <c r="AG77" s="142">
        <v>0</v>
      </c>
      <c r="AH77" s="142">
        <v>0</v>
      </c>
      <c r="AI77" s="142">
        <v>0</v>
      </c>
      <c r="AJ77" s="14" t="s">
        <v>1420</v>
      </c>
      <c r="AK77" s="142" t="s">
        <v>106</v>
      </c>
      <c r="AL77" s="80">
        <v>0</v>
      </c>
      <c r="AM77" s="1" t="s">
        <v>213</v>
      </c>
      <c r="AN77" s="1" t="s">
        <v>164</v>
      </c>
      <c r="AO77" s="1" t="s">
        <v>164</v>
      </c>
      <c r="AP77" s="143">
        <v>0</v>
      </c>
      <c r="AQ77" s="1" t="s">
        <v>213</v>
      </c>
      <c r="AR77" s="142">
        <v>0</v>
      </c>
      <c r="AS77" s="142">
        <v>0</v>
      </c>
      <c r="AT77" s="142">
        <v>0</v>
      </c>
      <c r="AU77" s="4" t="s">
        <v>103</v>
      </c>
    </row>
    <row r="78" spans="1:47" x14ac:dyDescent="0.2">
      <c r="A78" s="174"/>
      <c r="B78" s="9" t="s">
        <v>161</v>
      </c>
      <c r="C78" s="1" t="s">
        <v>1419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1418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1417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1416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4"/>
      <c r="B79" s="9" t="s">
        <v>77</v>
      </c>
      <c r="C79" s="1" t="s">
        <v>1415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1414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1413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1412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4"/>
      <c r="B80" s="9" t="s">
        <v>162</v>
      </c>
      <c r="C80" s="1" t="s">
        <v>1411</v>
      </c>
      <c r="D80" s="142" t="s">
        <v>106</v>
      </c>
      <c r="E80" s="80">
        <v>0</v>
      </c>
      <c r="F80" s="1" t="s">
        <v>163</v>
      </c>
      <c r="G80" s="1" t="s">
        <v>164</v>
      </c>
      <c r="H80" s="1" t="s">
        <v>164</v>
      </c>
      <c r="I80" s="143">
        <v>0</v>
      </c>
      <c r="J80" s="1" t="s">
        <v>163</v>
      </c>
      <c r="K80" s="142">
        <v>0</v>
      </c>
      <c r="L80" s="142">
        <v>0</v>
      </c>
      <c r="M80" s="142">
        <v>0</v>
      </c>
      <c r="N80" s="14" t="s">
        <v>1410</v>
      </c>
      <c r="O80" s="142" t="s">
        <v>106</v>
      </c>
      <c r="P80" s="80">
        <v>0</v>
      </c>
      <c r="Q80" s="1" t="s">
        <v>163</v>
      </c>
      <c r="R80" s="1" t="s">
        <v>164</v>
      </c>
      <c r="S80" s="1" t="s">
        <v>164</v>
      </c>
      <c r="T80" s="143">
        <v>0</v>
      </c>
      <c r="U80" s="1" t="s">
        <v>163</v>
      </c>
      <c r="V80" s="142">
        <v>0</v>
      </c>
      <c r="W80" s="142">
        <v>0</v>
      </c>
      <c r="X80" s="142">
        <v>0</v>
      </c>
      <c r="Y80" s="14" t="s">
        <v>1409</v>
      </c>
      <c r="Z80" s="142" t="s">
        <v>106</v>
      </c>
      <c r="AA80" s="80">
        <v>0</v>
      </c>
      <c r="AB80" s="1" t="s">
        <v>213</v>
      </c>
      <c r="AC80" s="1" t="s">
        <v>164</v>
      </c>
      <c r="AD80" s="1" t="s">
        <v>164</v>
      </c>
      <c r="AE80" s="143">
        <v>0</v>
      </c>
      <c r="AF80" s="1" t="s">
        <v>213</v>
      </c>
      <c r="AG80" s="142">
        <v>0</v>
      </c>
      <c r="AH80" s="142">
        <v>0</v>
      </c>
      <c r="AI80" s="142">
        <v>0</v>
      </c>
      <c r="AJ80" s="14" t="s">
        <v>1408</v>
      </c>
      <c r="AK80" s="142" t="s">
        <v>106</v>
      </c>
      <c r="AL80" s="80">
        <v>0</v>
      </c>
      <c r="AM80" s="1" t="s">
        <v>213</v>
      </c>
      <c r="AN80" s="1" t="s">
        <v>164</v>
      </c>
      <c r="AO80" s="1" t="s">
        <v>164</v>
      </c>
      <c r="AP80" s="143">
        <v>0</v>
      </c>
      <c r="AQ80" s="1" t="s">
        <v>213</v>
      </c>
      <c r="AR80" s="142">
        <v>0</v>
      </c>
      <c r="AS80" s="142">
        <v>0</v>
      </c>
      <c r="AT80" s="142">
        <v>0</v>
      </c>
      <c r="AU80" s="4" t="s">
        <v>103</v>
      </c>
    </row>
    <row r="81" spans="1:47" x14ac:dyDescent="0.2">
      <c r="A81" s="174"/>
      <c r="B81" s="9" t="s">
        <v>78</v>
      </c>
      <c r="C81" s="1" t="s">
        <v>1407</v>
      </c>
      <c r="D81" s="142" t="s">
        <v>106</v>
      </c>
      <c r="E81" s="80">
        <v>0</v>
      </c>
      <c r="F81" s="1" t="s">
        <v>163</v>
      </c>
      <c r="G81" s="1" t="s">
        <v>164</v>
      </c>
      <c r="H81" s="1" t="s">
        <v>164</v>
      </c>
      <c r="I81" s="143">
        <v>0</v>
      </c>
      <c r="J81" s="1" t="s">
        <v>163</v>
      </c>
      <c r="K81" s="142">
        <v>0</v>
      </c>
      <c r="L81" s="142">
        <v>0</v>
      </c>
      <c r="M81" s="142">
        <v>0</v>
      </c>
      <c r="N81" s="14" t="s">
        <v>1406</v>
      </c>
      <c r="O81" s="142" t="s">
        <v>106</v>
      </c>
      <c r="P81" s="80">
        <v>0</v>
      </c>
      <c r="Q81" s="1" t="s">
        <v>163</v>
      </c>
      <c r="R81" s="1" t="s">
        <v>164</v>
      </c>
      <c r="S81" s="1" t="s">
        <v>164</v>
      </c>
      <c r="T81" s="143">
        <v>0</v>
      </c>
      <c r="U81" s="1" t="s">
        <v>163</v>
      </c>
      <c r="V81" s="142">
        <v>0</v>
      </c>
      <c r="W81" s="142">
        <v>0</v>
      </c>
      <c r="X81" s="142">
        <v>0</v>
      </c>
      <c r="Y81" s="14" t="s">
        <v>1405</v>
      </c>
      <c r="Z81" s="142" t="s">
        <v>106</v>
      </c>
      <c r="AA81" s="80">
        <v>0</v>
      </c>
      <c r="AB81" s="1" t="s">
        <v>213</v>
      </c>
      <c r="AC81" s="1" t="s">
        <v>164</v>
      </c>
      <c r="AD81" s="1" t="s">
        <v>164</v>
      </c>
      <c r="AE81" s="143">
        <v>0</v>
      </c>
      <c r="AF81" s="1" t="s">
        <v>213</v>
      </c>
      <c r="AG81" s="142">
        <v>0</v>
      </c>
      <c r="AH81" s="142">
        <v>0</v>
      </c>
      <c r="AI81" s="142">
        <v>0</v>
      </c>
      <c r="AJ81" s="14" t="s">
        <v>1404</v>
      </c>
      <c r="AK81" s="142" t="s">
        <v>106</v>
      </c>
      <c r="AL81" s="80">
        <v>0</v>
      </c>
      <c r="AM81" s="1" t="s">
        <v>213</v>
      </c>
      <c r="AN81" s="1" t="s">
        <v>164</v>
      </c>
      <c r="AO81" s="1" t="s">
        <v>164</v>
      </c>
      <c r="AP81" s="143">
        <v>0</v>
      </c>
      <c r="AQ81" s="1" t="s">
        <v>213</v>
      </c>
      <c r="AR81" s="142">
        <v>0</v>
      </c>
      <c r="AS81" s="142">
        <v>0</v>
      </c>
      <c r="AT81" s="142">
        <v>0</v>
      </c>
      <c r="AU81" s="4" t="s">
        <v>103</v>
      </c>
    </row>
    <row r="82" spans="1:47" x14ac:dyDescent="0.2">
      <c r="A82" s="174"/>
      <c r="B82" s="9" t="s">
        <v>79</v>
      </c>
      <c r="C82" s="1" t="s">
        <v>1403</v>
      </c>
      <c r="D82" s="142" t="s">
        <v>106</v>
      </c>
      <c r="E82" s="80">
        <v>0</v>
      </c>
      <c r="F82" s="1" t="s">
        <v>169</v>
      </c>
      <c r="G82" s="80">
        <v>0</v>
      </c>
      <c r="H82" s="1" t="s">
        <v>163</v>
      </c>
      <c r="I82" s="143">
        <v>0</v>
      </c>
      <c r="J82" s="1" t="s">
        <v>163</v>
      </c>
      <c r="K82" s="142">
        <v>0</v>
      </c>
      <c r="L82" s="142">
        <v>0</v>
      </c>
      <c r="M82" s="142">
        <v>0</v>
      </c>
      <c r="N82" s="14" t="s">
        <v>1402</v>
      </c>
      <c r="O82" s="142" t="s">
        <v>106</v>
      </c>
      <c r="P82" s="80">
        <v>0</v>
      </c>
      <c r="Q82" s="1" t="s">
        <v>169</v>
      </c>
      <c r="R82" s="80">
        <v>0</v>
      </c>
      <c r="S82" s="1" t="s">
        <v>163</v>
      </c>
      <c r="T82" s="143">
        <v>0</v>
      </c>
      <c r="U82" s="1" t="s">
        <v>163</v>
      </c>
      <c r="V82" s="142">
        <v>0</v>
      </c>
      <c r="W82" s="142">
        <v>0</v>
      </c>
      <c r="X82" s="142">
        <v>0</v>
      </c>
      <c r="Y82" s="14" t="s">
        <v>1401</v>
      </c>
      <c r="Z82" s="142" t="s">
        <v>106</v>
      </c>
      <c r="AA82" s="80">
        <v>1</v>
      </c>
      <c r="AB82" s="1" t="s">
        <v>516</v>
      </c>
      <c r="AC82" s="80">
        <v>1</v>
      </c>
      <c r="AD82" s="1" t="s">
        <v>516</v>
      </c>
      <c r="AE82" s="143">
        <v>1</v>
      </c>
      <c r="AF82" s="1" t="s">
        <v>529</v>
      </c>
      <c r="AG82" s="142">
        <v>33801</v>
      </c>
      <c r="AH82" s="142">
        <v>3380.1</v>
      </c>
      <c r="AI82" s="142">
        <v>3775.5</v>
      </c>
      <c r="AJ82" s="14" t="s">
        <v>1400</v>
      </c>
      <c r="AK82" s="142" t="s">
        <v>106</v>
      </c>
      <c r="AL82" s="80">
        <v>1</v>
      </c>
      <c r="AM82" s="1" t="s">
        <v>516</v>
      </c>
      <c r="AN82" s="80">
        <v>1</v>
      </c>
      <c r="AO82" s="1" t="s">
        <v>516</v>
      </c>
      <c r="AP82" s="143">
        <v>1</v>
      </c>
      <c r="AQ82" s="1" t="s">
        <v>529</v>
      </c>
      <c r="AR82" s="142">
        <v>34316</v>
      </c>
      <c r="AS82" s="142">
        <v>3431.6</v>
      </c>
      <c r="AT82" s="142">
        <v>3795.5</v>
      </c>
      <c r="AU82" s="4" t="s">
        <v>102</v>
      </c>
    </row>
    <row r="83" spans="1:47" x14ac:dyDescent="0.2">
      <c r="A83" s="174"/>
      <c r="B83" s="9" t="s">
        <v>80</v>
      </c>
      <c r="C83" s="1" t="s">
        <v>1399</v>
      </c>
      <c r="D83" s="142" t="s">
        <v>106</v>
      </c>
      <c r="E83" s="80">
        <v>1</v>
      </c>
      <c r="F83" s="1" t="s">
        <v>452</v>
      </c>
      <c r="G83" s="1" t="s">
        <v>164</v>
      </c>
      <c r="H83" s="1" t="s">
        <v>164</v>
      </c>
      <c r="I83" s="143">
        <v>1</v>
      </c>
      <c r="J83" s="1" t="s">
        <v>452</v>
      </c>
      <c r="K83" s="142">
        <v>5857</v>
      </c>
      <c r="L83" s="142">
        <v>5857</v>
      </c>
      <c r="M83" s="142">
        <v>5857</v>
      </c>
      <c r="N83" s="14" t="s">
        <v>1398</v>
      </c>
      <c r="O83" s="142" t="s">
        <v>106</v>
      </c>
      <c r="P83" s="80">
        <v>1</v>
      </c>
      <c r="Q83" s="1" t="s">
        <v>452</v>
      </c>
      <c r="R83" s="1" t="s">
        <v>164</v>
      </c>
      <c r="S83" s="1" t="s">
        <v>164</v>
      </c>
      <c r="T83" s="143">
        <v>1</v>
      </c>
      <c r="U83" s="1" t="s">
        <v>452</v>
      </c>
      <c r="V83" s="142">
        <v>5965</v>
      </c>
      <c r="W83" s="142">
        <v>5965</v>
      </c>
      <c r="X83" s="142">
        <v>5965</v>
      </c>
      <c r="Y83" s="14" t="s">
        <v>1397</v>
      </c>
      <c r="Z83" s="142" t="s">
        <v>106</v>
      </c>
      <c r="AA83" s="80">
        <v>1</v>
      </c>
      <c r="AB83" s="1" t="s">
        <v>529</v>
      </c>
      <c r="AC83" s="1" t="s">
        <v>164</v>
      </c>
      <c r="AD83" s="1" t="s">
        <v>164</v>
      </c>
      <c r="AE83" s="143">
        <v>1</v>
      </c>
      <c r="AF83" s="1" t="s">
        <v>529</v>
      </c>
      <c r="AG83" s="142">
        <v>33740</v>
      </c>
      <c r="AH83" s="142">
        <v>3374</v>
      </c>
      <c r="AI83" s="142">
        <v>3773</v>
      </c>
      <c r="AJ83" s="14" t="s">
        <v>1396</v>
      </c>
      <c r="AK83" s="142" t="s">
        <v>106</v>
      </c>
      <c r="AL83" s="80">
        <v>1</v>
      </c>
      <c r="AM83" s="1" t="s">
        <v>529</v>
      </c>
      <c r="AN83" s="1" t="s">
        <v>164</v>
      </c>
      <c r="AO83" s="1" t="s">
        <v>164</v>
      </c>
      <c r="AP83" s="143">
        <v>1</v>
      </c>
      <c r="AQ83" s="1" t="s">
        <v>529</v>
      </c>
      <c r="AR83" s="142">
        <v>37115</v>
      </c>
      <c r="AS83" s="142">
        <v>3711.5</v>
      </c>
      <c r="AT83" s="142">
        <v>3820</v>
      </c>
      <c r="AU83" s="4" t="s">
        <v>102</v>
      </c>
    </row>
    <row r="84" spans="1:47" x14ac:dyDescent="0.2">
      <c r="A84" s="174"/>
      <c r="B84" s="9" t="s">
        <v>81</v>
      </c>
      <c r="C84" s="1" t="s">
        <v>1395</v>
      </c>
      <c r="D84" s="142" t="s">
        <v>106</v>
      </c>
      <c r="E84" s="80">
        <v>0</v>
      </c>
      <c r="F84" s="1" t="s">
        <v>169</v>
      </c>
      <c r="G84" s="80">
        <v>0</v>
      </c>
      <c r="H84" s="1" t="s">
        <v>163</v>
      </c>
      <c r="I84" s="143">
        <v>0</v>
      </c>
      <c r="J84" s="1" t="s">
        <v>163</v>
      </c>
      <c r="K84" s="142">
        <v>0</v>
      </c>
      <c r="L84" s="142">
        <v>0</v>
      </c>
      <c r="M84" s="142">
        <v>0</v>
      </c>
      <c r="N84" s="14" t="s">
        <v>1394</v>
      </c>
      <c r="O84" s="142" t="s">
        <v>106</v>
      </c>
      <c r="P84" s="80">
        <v>0</v>
      </c>
      <c r="Q84" s="1" t="s">
        <v>169</v>
      </c>
      <c r="R84" s="80">
        <v>0</v>
      </c>
      <c r="S84" s="1" t="s">
        <v>163</v>
      </c>
      <c r="T84" s="143">
        <v>0</v>
      </c>
      <c r="U84" s="1" t="s">
        <v>163</v>
      </c>
      <c r="V84" s="142">
        <v>0</v>
      </c>
      <c r="W84" s="142">
        <v>0</v>
      </c>
      <c r="X84" s="142">
        <v>0</v>
      </c>
      <c r="Y84" s="14" t="s">
        <v>1393</v>
      </c>
      <c r="Z84" s="142" t="s">
        <v>106</v>
      </c>
      <c r="AA84" s="80">
        <v>1</v>
      </c>
      <c r="AB84" s="1" t="s">
        <v>516</v>
      </c>
      <c r="AC84" s="80">
        <v>0.6</v>
      </c>
      <c r="AD84" s="1" t="s">
        <v>964</v>
      </c>
      <c r="AE84" s="143">
        <v>0.8</v>
      </c>
      <c r="AF84" s="1" t="s">
        <v>1077</v>
      </c>
      <c r="AG84" s="142">
        <v>111300</v>
      </c>
      <c r="AH84" s="142">
        <v>13912.5</v>
      </c>
      <c r="AI84" s="142">
        <v>3793.5</v>
      </c>
      <c r="AJ84" s="14" t="s">
        <v>1392</v>
      </c>
      <c r="AK84" s="142" t="s">
        <v>106</v>
      </c>
      <c r="AL84" s="80">
        <v>1</v>
      </c>
      <c r="AM84" s="1" t="s">
        <v>516</v>
      </c>
      <c r="AN84" s="80">
        <v>0.8</v>
      </c>
      <c r="AO84" s="1" t="s">
        <v>506</v>
      </c>
      <c r="AP84" s="143">
        <v>0.9</v>
      </c>
      <c r="AQ84" s="1" t="s">
        <v>951</v>
      </c>
      <c r="AR84" s="142">
        <v>279500</v>
      </c>
      <c r="AS84" s="142">
        <v>31055.56</v>
      </c>
      <c r="AT84" s="142">
        <v>3864</v>
      </c>
      <c r="AU84" s="4" t="s">
        <v>102</v>
      </c>
    </row>
    <row r="85" spans="1:47" x14ac:dyDescent="0.2">
      <c r="A85" s="174"/>
      <c r="B85" s="9" t="s">
        <v>82</v>
      </c>
      <c r="C85" s="1" t="s">
        <v>1391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3885</v>
      </c>
      <c r="L85" s="142">
        <v>3885</v>
      </c>
      <c r="M85" s="142">
        <v>3885</v>
      </c>
      <c r="N85" s="14" t="s">
        <v>1390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3850</v>
      </c>
      <c r="W85" s="142">
        <v>3850</v>
      </c>
      <c r="X85" s="142">
        <v>3850</v>
      </c>
      <c r="Y85" s="14" t="s">
        <v>1389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37905</v>
      </c>
      <c r="AH85" s="142">
        <v>3790.5</v>
      </c>
      <c r="AI85" s="142">
        <v>3786.5</v>
      </c>
      <c r="AJ85" s="14" t="s">
        <v>1388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38797</v>
      </c>
      <c r="AS85" s="142">
        <v>3879.7</v>
      </c>
      <c r="AT85" s="142">
        <v>3833.5</v>
      </c>
      <c r="AU85" s="4" t="s">
        <v>102</v>
      </c>
    </row>
    <row r="86" spans="1:47" x14ac:dyDescent="0.2">
      <c r="A86" s="174"/>
      <c r="B86" s="9" t="s">
        <v>83</v>
      </c>
      <c r="C86" s="1" t="s">
        <v>1387</v>
      </c>
      <c r="D86" s="142" t="s">
        <v>106</v>
      </c>
      <c r="E86" s="80">
        <v>0</v>
      </c>
      <c r="F86" s="1" t="s">
        <v>169</v>
      </c>
      <c r="G86" s="80">
        <v>0</v>
      </c>
      <c r="H86" s="1" t="s">
        <v>163</v>
      </c>
      <c r="I86" s="143">
        <v>0</v>
      </c>
      <c r="J86" s="1" t="s">
        <v>163</v>
      </c>
      <c r="K86" s="142">
        <v>0</v>
      </c>
      <c r="L86" s="142">
        <v>0</v>
      </c>
      <c r="M86" s="142">
        <v>0</v>
      </c>
      <c r="N86" s="14" t="s">
        <v>1386</v>
      </c>
      <c r="O86" s="142" t="s">
        <v>106</v>
      </c>
      <c r="P86" s="80">
        <v>0</v>
      </c>
      <c r="Q86" s="1" t="s">
        <v>169</v>
      </c>
      <c r="R86" s="80">
        <v>0</v>
      </c>
      <c r="S86" s="1" t="s">
        <v>163</v>
      </c>
      <c r="T86" s="143">
        <v>0</v>
      </c>
      <c r="U86" s="1" t="s">
        <v>163</v>
      </c>
      <c r="V86" s="142">
        <v>0</v>
      </c>
      <c r="W86" s="142">
        <v>0</v>
      </c>
      <c r="X86" s="142">
        <v>0</v>
      </c>
      <c r="Y86" s="14" t="s">
        <v>1385</v>
      </c>
      <c r="Z86" s="142" t="s">
        <v>106</v>
      </c>
      <c r="AA86" s="80">
        <v>1</v>
      </c>
      <c r="AB86" s="1" t="s">
        <v>516</v>
      </c>
      <c r="AC86" s="80">
        <v>0.2</v>
      </c>
      <c r="AD86" s="1" t="s">
        <v>1049</v>
      </c>
      <c r="AE86" s="143">
        <v>0.6</v>
      </c>
      <c r="AF86" s="1" t="s">
        <v>963</v>
      </c>
      <c r="AG86" s="142">
        <v>160492</v>
      </c>
      <c r="AH86" s="142">
        <v>26748.67</v>
      </c>
      <c r="AI86" s="142">
        <v>3333</v>
      </c>
      <c r="AJ86" s="14" t="s">
        <v>1384</v>
      </c>
      <c r="AK86" s="142" t="s">
        <v>106</v>
      </c>
      <c r="AL86" s="80">
        <v>1</v>
      </c>
      <c r="AM86" s="1" t="s">
        <v>516</v>
      </c>
      <c r="AN86" s="80">
        <v>0.2</v>
      </c>
      <c r="AO86" s="1" t="s">
        <v>1049</v>
      </c>
      <c r="AP86" s="143">
        <v>0.6</v>
      </c>
      <c r="AQ86" s="1" t="s">
        <v>963</v>
      </c>
      <c r="AR86" s="142">
        <v>158372</v>
      </c>
      <c r="AS86" s="142">
        <v>26395.33</v>
      </c>
      <c r="AT86" s="142">
        <v>3862.5</v>
      </c>
      <c r="AU86" s="4" t="s">
        <v>102</v>
      </c>
    </row>
    <row r="87" spans="1:47" x14ac:dyDescent="0.2">
      <c r="A87" s="174"/>
      <c r="B87" s="9" t="s">
        <v>84</v>
      </c>
      <c r="C87" s="1" t="s">
        <v>1383</v>
      </c>
      <c r="D87" s="142" t="s">
        <v>106</v>
      </c>
      <c r="E87" s="80">
        <v>1</v>
      </c>
      <c r="F87" s="1" t="s">
        <v>452</v>
      </c>
      <c r="G87" s="1" t="s">
        <v>164</v>
      </c>
      <c r="H87" s="1" t="s">
        <v>164</v>
      </c>
      <c r="I87" s="143">
        <v>1</v>
      </c>
      <c r="J87" s="1" t="s">
        <v>452</v>
      </c>
      <c r="K87" s="142">
        <v>16137</v>
      </c>
      <c r="L87" s="142">
        <v>16137</v>
      </c>
      <c r="M87" s="142">
        <v>16137</v>
      </c>
      <c r="N87" s="14" t="s">
        <v>1382</v>
      </c>
      <c r="O87" s="142" t="s">
        <v>106</v>
      </c>
      <c r="P87" s="80">
        <v>1</v>
      </c>
      <c r="Q87" s="1" t="s">
        <v>452</v>
      </c>
      <c r="R87" s="1" t="s">
        <v>164</v>
      </c>
      <c r="S87" s="1" t="s">
        <v>164</v>
      </c>
      <c r="T87" s="143">
        <v>1</v>
      </c>
      <c r="U87" s="1" t="s">
        <v>452</v>
      </c>
      <c r="V87" s="142">
        <v>16058</v>
      </c>
      <c r="W87" s="142">
        <v>16058</v>
      </c>
      <c r="X87" s="142">
        <v>16058</v>
      </c>
      <c r="Y87" s="14" t="s">
        <v>1381</v>
      </c>
      <c r="Z87" s="142" t="s">
        <v>106</v>
      </c>
      <c r="AA87" s="80">
        <v>1</v>
      </c>
      <c r="AB87" s="1" t="s">
        <v>529</v>
      </c>
      <c r="AC87" s="1" t="s">
        <v>164</v>
      </c>
      <c r="AD87" s="1" t="s">
        <v>164</v>
      </c>
      <c r="AE87" s="143">
        <v>1</v>
      </c>
      <c r="AF87" s="1" t="s">
        <v>529</v>
      </c>
      <c r="AG87" s="142">
        <v>37986</v>
      </c>
      <c r="AH87" s="142">
        <v>3798.6</v>
      </c>
      <c r="AI87" s="142">
        <v>3791</v>
      </c>
      <c r="AJ87" s="14" t="s">
        <v>1380</v>
      </c>
      <c r="AK87" s="142" t="s">
        <v>106</v>
      </c>
      <c r="AL87" s="80">
        <v>1</v>
      </c>
      <c r="AM87" s="1" t="s">
        <v>529</v>
      </c>
      <c r="AN87" s="1" t="s">
        <v>164</v>
      </c>
      <c r="AO87" s="1" t="s">
        <v>164</v>
      </c>
      <c r="AP87" s="143">
        <v>1</v>
      </c>
      <c r="AQ87" s="1" t="s">
        <v>529</v>
      </c>
      <c r="AR87" s="142">
        <v>38335</v>
      </c>
      <c r="AS87" s="142">
        <v>3833.5</v>
      </c>
      <c r="AT87" s="142">
        <v>3829</v>
      </c>
      <c r="AU87" s="4" t="s">
        <v>102</v>
      </c>
    </row>
    <row r="88" spans="1:47" x14ac:dyDescent="0.2">
      <c r="A88" s="174"/>
      <c r="B88" s="9" t="s">
        <v>85</v>
      </c>
      <c r="C88" s="1" t="s">
        <v>1379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1378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1377</v>
      </c>
      <c r="Z88" s="142" t="s">
        <v>106</v>
      </c>
      <c r="AA88" s="80">
        <v>0.8</v>
      </c>
      <c r="AB88" s="1" t="s">
        <v>506</v>
      </c>
      <c r="AC88" s="80">
        <v>0</v>
      </c>
      <c r="AD88" s="1" t="s">
        <v>218</v>
      </c>
      <c r="AE88" s="143">
        <v>0.4</v>
      </c>
      <c r="AF88" s="1" t="s">
        <v>501</v>
      </c>
      <c r="AG88" s="142">
        <v>117165</v>
      </c>
      <c r="AH88" s="142">
        <v>29291.25</v>
      </c>
      <c r="AI88" s="142">
        <v>3862</v>
      </c>
      <c r="AJ88" s="14" t="s">
        <v>1376</v>
      </c>
      <c r="AK88" s="142" t="s">
        <v>106</v>
      </c>
      <c r="AL88" s="80">
        <v>0.8</v>
      </c>
      <c r="AM88" s="1" t="s">
        <v>506</v>
      </c>
      <c r="AN88" s="80">
        <v>0</v>
      </c>
      <c r="AO88" s="1" t="s">
        <v>218</v>
      </c>
      <c r="AP88" s="143">
        <v>0.4</v>
      </c>
      <c r="AQ88" s="1" t="s">
        <v>501</v>
      </c>
      <c r="AR88" s="142">
        <v>119110</v>
      </c>
      <c r="AS88" s="142">
        <v>29777.5</v>
      </c>
      <c r="AT88" s="142">
        <v>3871</v>
      </c>
      <c r="AU88" s="4" t="s">
        <v>102</v>
      </c>
    </row>
    <row r="89" spans="1:47" x14ac:dyDescent="0.2">
      <c r="A89" s="174"/>
      <c r="B89" s="9" t="s">
        <v>86</v>
      </c>
      <c r="C89" s="1" t="s">
        <v>1375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3864</v>
      </c>
      <c r="L89" s="142">
        <v>3864</v>
      </c>
      <c r="M89" s="142">
        <v>3864</v>
      </c>
      <c r="N89" s="14" t="s">
        <v>1374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3874</v>
      </c>
      <c r="W89" s="142">
        <v>3874</v>
      </c>
      <c r="X89" s="142">
        <v>3874</v>
      </c>
      <c r="Y89" s="14" t="s">
        <v>1373</v>
      </c>
      <c r="Z89" s="142" t="s">
        <v>106</v>
      </c>
      <c r="AA89" s="80">
        <v>1</v>
      </c>
      <c r="AB89" s="1" t="s">
        <v>529</v>
      </c>
      <c r="AC89" s="1" t="s">
        <v>164</v>
      </c>
      <c r="AD89" s="1" t="s">
        <v>164</v>
      </c>
      <c r="AE89" s="143">
        <v>1</v>
      </c>
      <c r="AF89" s="1" t="s">
        <v>529</v>
      </c>
      <c r="AG89" s="142">
        <v>38101</v>
      </c>
      <c r="AH89" s="142">
        <v>3810.1</v>
      </c>
      <c r="AI89" s="142">
        <v>3802</v>
      </c>
      <c r="AJ89" s="14" t="s">
        <v>1372</v>
      </c>
      <c r="AK89" s="142" t="s">
        <v>106</v>
      </c>
      <c r="AL89" s="80">
        <v>1</v>
      </c>
      <c r="AM89" s="1" t="s">
        <v>529</v>
      </c>
      <c r="AN89" s="1" t="s">
        <v>164</v>
      </c>
      <c r="AO89" s="1" t="s">
        <v>164</v>
      </c>
      <c r="AP89" s="143">
        <v>1</v>
      </c>
      <c r="AQ89" s="1" t="s">
        <v>529</v>
      </c>
      <c r="AR89" s="142">
        <v>40876</v>
      </c>
      <c r="AS89" s="142">
        <v>4087.6</v>
      </c>
      <c r="AT89" s="142">
        <v>3830</v>
      </c>
      <c r="AU89" s="4" t="s">
        <v>102</v>
      </c>
    </row>
    <row r="90" spans="1:47" x14ac:dyDescent="0.2">
      <c r="A90" s="174"/>
      <c r="B90" s="9" t="s">
        <v>87</v>
      </c>
      <c r="C90" s="1" t="s">
        <v>1371</v>
      </c>
      <c r="D90" s="142" t="s">
        <v>106</v>
      </c>
      <c r="E90" s="80">
        <v>0</v>
      </c>
      <c r="F90" s="1" t="s">
        <v>169</v>
      </c>
      <c r="G90" s="80">
        <v>0</v>
      </c>
      <c r="H90" s="1" t="s">
        <v>163</v>
      </c>
      <c r="I90" s="143">
        <v>0</v>
      </c>
      <c r="J90" s="1" t="s">
        <v>163</v>
      </c>
      <c r="K90" s="142">
        <v>0</v>
      </c>
      <c r="L90" s="142">
        <v>0</v>
      </c>
      <c r="M90" s="142">
        <v>0</v>
      </c>
      <c r="N90" s="14" t="s">
        <v>1370</v>
      </c>
      <c r="O90" s="142" t="s">
        <v>106</v>
      </c>
      <c r="P90" s="80">
        <v>0</v>
      </c>
      <c r="Q90" s="1" t="s">
        <v>169</v>
      </c>
      <c r="R90" s="80">
        <v>1</v>
      </c>
      <c r="S90" s="1" t="s">
        <v>452</v>
      </c>
      <c r="T90" s="143">
        <v>1</v>
      </c>
      <c r="U90" s="1" t="s">
        <v>452</v>
      </c>
      <c r="V90" s="142">
        <v>70436</v>
      </c>
      <c r="W90" s="142">
        <v>70436</v>
      </c>
      <c r="X90" s="142">
        <v>70436</v>
      </c>
      <c r="Y90" s="14" t="s">
        <v>1369</v>
      </c>
      <c r="Z90" s="142" t="s">
        <v>106</v>
      </c>
      <c r="AA90" s="80">
        <v>0.6</v>
      </c>
      <c r="AB90" s="1" t="s">
        <v>964</v>
      </c>
      <c r="AC90" s="80">
        <v>0</v>
      </c>
      <c r="AD90" s="1" t="s">
        <v>218</v>
      </c>
      <c r="AE90" s="143">
        <v>0.3</v>
      </c>
      <c r="AF90" s="1" t="s">
        <v>1004</v>
      </c>
      <c r="AG90" s="142">
        <v>361648</v>
      </c>
      <c r="AH90" s="142">
        <v>120549.33</v>
      </c>
      <c r="AI90" s="142">
        <v>153629</v>
      </c>
      <c r="AJ90" s="14" t="s">
        <v>1368</v>
      </c>
      <c r="AK90" s="142" t="s">
        <v>106</v>
      </c>
      <c r="AL90" s="80">
        <v>0.6</v>
      </c>
      <c r="AM90" s="1" t="s">
        <v>964</v>
      </c>
      <c r="AN90" s="80">
        <v>0</v>
      </c>
      <c r="AO90" s="1" t="s">
        <v>218</v>
      </c>
      <c r="AP90" s="143">
        <v>0.3</v>
      </c>
      <c r="AQ90" s="1" t="s">
        <v>1004</v>
      </c>
      <c r="AR90" s="142">
        <v>489818</v>
      </c>
      <c r="AS90" s="142">
        <v>163272.67000000001</v>
      </c>
      <c r="AT90" s="142">
        <v>174047</v>
      </c>
      <c r="AU90" s="4" t="s">
        <v>98</v>
      </c>
    </row>
    <row r="91" spans="1:47" x14ac:dyDescent="0.2">
      <c r="A91" s="174"/>
      <c r="B91" s="9" t="s">
        <v>88</v>
      </c>
      <c r="C91" s="1" t="s">
        <v>1367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1366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1365</v>
      </c>
      <c r="Z91" s="142" t="s">
        <v>106</v>
      </c>
      <c r="AA91" s="80">
        <v>0.7</v>
      </c>
      <c r="AB91" s="1" t="s">
        <v>973</v>
      </c>
      <c r="AC91" s="1" t="s">
        <v>164</v>
      </c>
      <c r="AD91" s="1" t="s">
        <v>164</v>
      </c>
      <c r="AE91" s="143">
        <v>0.7</v>
      </c>
      <c r="AF91" s="1" t="s">
        <v>973</v>
      </c>
      <c r="AG91" s="142">
        <v>418880</v>
      </c>
      <c r="AH91" s="142">
        <v>59840</v>
      </c>
      <c r="AI91" s="142">
        <v>43723</v>
      </c>
      <c r="AJ91" s="14" t="s">
        <v>1364</v>
      </c>
      <c r="AK91" s="142" t="s">
        <v>106</v>
      </c>
      <c r="AL91" s="80">
        <v>0.6</v>
      </c>
      <c r="AM91" s="1" t="s">
        <v>963</v>
      </c>
      <c r="AN91" s="1" t="s">
        <v>164</v>
      </c>
      <c r="AO91" s="1" t="s">
        <v>164</v>
      </c>
      <c r="AP91" s="143">
        <v>0.6</v>
      </c>
      <c r="AQ91" s="1" t="s">
        <v>963</v>
      </c>
      <c r="AR91" s="142">
        <v>302602</v>
      </c>
      <c r="AS91" s="142">
        <v>50433.67</v>
      </c>
      <c r="AT91" s="142">
        <v>37980</v>
      </c>
      <c r="AU91" s="4" t="s">
        <v>98</v>
      </c>
    </row>
    <row r="92" spans="1:47" x14ac:dyDescent="0.2">
      <c r="A92" s="174"/>
      <c r="B92" s="9" t="s">
        <v>89</v>
      </c>
      <c r="C92" s="1" t="s">
        <v>1363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3873</v>
      </c>
      <c r="L92" s="142">
        <v>3873</v>
      </c>
      <c r="M92" s="142">
        <v>3873</v>
      </c>
      <c r="N92" s="14" t="s">
        <v>1362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1889</v>
      </c>
      <c r="W92" s="142">
        <v>1889</v>
      </c>
      <c r="X92" s="142">
        <v>1889</v>
      </c>
      <c r="Y92" s="14" t="s">
        <v>1361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22575</v>
      </c>
      <c r="AH92" s="142">
        <v>2257.5</v>
      </c>
      <c r="AI92" s="142">
        <v>2240</v>
      </c>
      <c r="AJ92" s="14" t="s">
        <v>1360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17326</v>
      </c>
      <c r="AS92" s="142">
        <v>1732.6</v>
      </c>
      <c r="AT92" s="142">
        <v>1727.5</v>
      </c>
    </row>
    <row r="93" spans="1:47" x14ac:dyDescent="0.2">
      <c r="A93" s="174"/>
      <c r="B93" s="9" t="s">
        <v>90</v>
      </c>
      <c r="C93" s="1" t="s">
        <v>1359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3806</v>
      </c>
      <c r="L93" s="142">
        <v>3806</v>
      </c>
      <c r="M93" s="142">
        <v>3806</v>
      </c>
      <c r="N93" s="14" t="s">
        <v>1358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3833</v>
      </c>
      <c r="W93" s="142">
        <v>3833</v>
      </c>
      <c r="X93" s="142">
        <v>3833</v>
      </c>
      <c r="Y93" s="14" t="s">
        <v>1357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27534</v>
      </c>
      <c r="AH93" s="142">
        <v>2753.4</v>
      </c>
      <c r="AI93" s="142">
        <v>2757.5</v>
      </c>
      <c r="AJ93" s="14" t="s">
        <v>1356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30105</v>
      </c>
      <c r="AS93" s="142">
        <v>3010.5</v>
      </c>
      <c r="AT93" s="142">
        <v>2786.5</v>
      </c>
    </row>
    <row r="94" spans="1:47" x14ac:dyDescent="0.2">
      <c r="A94" s="174"/>
      <c r="B94" s="9" t="s">
        <v>91</v>
      </c>
      <c r="C94" s="1" t="s">
        <v>1355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1354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3890</v>
      </c>
      <c r="W94" s="142">
        <v>3890</v>
      </c>
      <c r="X94" s="142">
        <v>3890</v>
      </c>
      <c r="Y94" s="14" t="s">
        <v>1353</v>
      </c>
      <c r="Z94" s="142" t="s">
        <v>106</v>
      </c>
      <c r="AA94" s="80">
        <v>0</v>
      </c>
      <c r="AB94" s="1" t="s">
        <v>218</v>
      </c>
      <c r="AC94" s="80">
        <v>0</v>
      </c>
      <c r="AD94" s="1" t="s">
        <v>218</v>
      </c>
      <c r="AE94" s="143">
        <v>0</v>
      </c>
      <c r="AF94" s="1" t="s">
        <v>213</v>
      </c>
      <c r="AG94" s="142">
        <v>0</v>
      </c>
      <c r="AH94" s="142">
        <v>0</v>
      </c>
      <c r="AI94" s="142">
        <v>0</v>
      </c>
      <c r="AJ94" s="14" t="s">
        <v>1352</v>
      </c>
      <c r="AK94" s="142" t="s">
        <v>106</v>
      </c>
      <c r="AL94" s="80">
        <v>0.5</v>
      </c>
      <c r="AM94" s="1" t="s">
        <v>936</v>
      </c>
      <c r="AN94" s="80">
        <v>0</v>
      </c>
      <c r="AO94" s="1" t="s">
        <v>213</v>
      </c>
      <c r="AP94" s="143">
        <v>0.33329999999999999</v>
      </c>
      <c r="AQ94" s="1" t="s">
        <v>1351</v>
      </c>
      <c r="AR94" s="142">
        <v>40204</v>
      </c>
      <c r="AS94" s="142">
        <v>4020.4</v>
      </c>
      <c r="AT94" s="142">
        <v>3870</v>
      </c>
      <c r="AU94" s="4" t="s">
        <v>93</v>
      </c>
    </row>
    <row r="95" spans="1:47" s="5" customFormat="1" ht="21" thickBot="1" x14ac:dyDescent="0.25">
      <c r="A95" s="175"/>
      <c r="B95" s="11" t="s">
        <v>92</v>
      </c>
      <c r="C95" s="139" t="s">
        <v>1350</v>
      </c>
      <c r="D95" s="145" t="s">
        <v>106</v>
      </c>
      <c r="E95" s="146">
        <v>0</v>
      </c>
      <c r="F95" s="139" t="s">
        <v>163</v>
      </c>
      <c r="G95" s="139" t="s">
        <v>164</v>
      </c>
      <c r="H95" s="139" t="s">
        <v>164</v>
      </c>
      <c r="I95" s="147">
        <v>0</v>
      </c>
      <c r="J95" s="139" t="s">
        <v>163</v>
      </c>
      <c r="K95" s="145">
        <v>0</v>
      </c>
      <c r="L95" s="145">
        <v>0</v>
      </c>
      <c r="M95" s="145">
        <v>0</v>
      </c>
      <c r="N95" s="36" t="s">
        <v>1349</v>
      </c>
      <c r="O95" s="145" t="s">
        <v>106</v>
      </c>
      <c r="P95" s="146">
        <v>0.33329999999999999</v>
      </c>
      <c r="Q95" s="139" t="s">
        <v>932</v>
      </c>
      <c r="R95" s="139" t="s">
        <v>164</v>
      </c>
      <c r="S95" s="139" t="s">
        <v>164</v>
      </c>
      <c r="T95" s="147">
        <v>0.33329999999999999</v>
      </c>
      <c r="U95" s="139" t="s">
        <v>932</v>
      </c>
      <c r="V95" s="145">
        <v>3938</v>
      </c>
      <c r="W95" s="145">
        <v>3938</v>
      </c>
      <c r="X95" s="145">
        <v>3938</v>
      </c>
      <c r="Y95" s="36" t="s">
        <v>1348</v>
      </c>
      <c r="Z95" s="145" t="s">
        <v>106</v>
      </c>
      <c r="AA95" s="146">
        <v>1</v>
      </c>
      <c r="AB95" s="139" t="s">
        <v>529</v>
      </c>
      <c r="AC95" s="139" t="s">
        <v>164</v>
      </c>
      <c r="AD95" s="139" t="s">
        <v>164</v>
      </c>
      <c r="AE95" s="147">
        <v>1</v>
      </c>
      <c r="AF95" s="139" t="s">
        <v>529</v>
      </c>
      <c r="AG95" s="145">
        <v>661425</v>
      </c>
      <c r="AH95" s="145">
        <v>66142.5</v>
      </c>
      <c r="AI95" s="145">
        <v>18149</v>
      </c>
      <c r="AJ95" s="36" t="s">
        <v>1347</v>
      </c>
      <c r="AK95" s="145" t="s">
        <v>106</v>
      </c>
      <c r="AL95" s="146">
        <v>0.9667</v>
      </c>
      <c r="AM95" s="139" t="s">
        <v>1346</v>
      </c>
      <c r="AN95" s="139" t="s">
        <v>164</v>
      </c>
      <c r="AO95" s="139" t="s">
        <v>164</v>
      </c>
      <c r="AP95" s="147">
        <v>0.9667</v>
      </c>
      <c r="AQ95" s="139" t="s">
        <v>1346</v>
      </c>
      <c r="AR95" s="145">
        <v>1282826</v>
      </c>
      <c r="AS95" s="145">
        <v>44235.38</v>
      </c>
      <c r="AT95" s="145">
        <v>17702</v>
      </c>
      <c r="AU95" s="46" t="s">
        <v>93</v>
      </c>
    </row>
    <row r="96" spans="1:47" ht="19.5" customHeight="1" x14ac:dyDescent="0.2">
      <c r="A96" s="168" t="s">
        <v>101</v>
      </c>
      <c r="B96" s="76" t="s">
        <v>10</v>
      </c>
      <c r="C96" s="1" t="s">
        <v>357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356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355</v>
      </c>
      <c r="Z96" s="142" t="s">
        <v>106</v>
      </c>
      <c r="AA96" s="80">
        <v>0</v>
      </c>
      <c r="AB96" s="1" t="s">
        <v>218</v>
      </c>
      <c r="AC96" s="80">
        <v>0</v>
      </c>
      <c r="AD96" s="1" t="s">
        <v>218</v>
      </c>
      <c r="AE96" s="143">
        <v>0</v>
      </c>
      <c r="AF96" s="1" t="s">
        <v>213</v>
      </c>
      <c r="AG96" s="142">
        <v>0</v>
      </c>
      <c r="AH96" s="142">
        <v>0</v>
      </c>
      <c r="AI96" s="142">
        <v>0</v>
      </c>
      <c r="AJ96" s="14" t="s">
        <v>354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2">
        <v>0</v>
      </c>
      <c r="AU96" s="4" t="s">
        <v>96</v>
      </c>
    </row>
    <row r="97" spans="1:47" x14ac:dyDescent="0.2">
      <c r="A97" s="168"/>
      <c r="B97" s="76" t="s">
        <v>11</v>
      </c>
      <c r="C97" s="1" t="s">
        <v>353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352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351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350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8"/>
      <c r="B98" s="76" t="s">
        <v>22</v>
      </c>
      <c r="C98" s="1" t="s">
        <v>349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348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347</v>
      </c>
      <c r="Z98" s="142" t="s">
        <v>106</v>
      </c>
      <c r="AA98" s="80">
        <v>0</v>
      </c>
      <c r="AB98" s="1" t="s">
        <v>218</v>
      </c>
      <c r="AC98" s="80">
        <v>0</v>
      </c>
      <c r="AD98" s="1" t="s">
        <v>218</v>
      </c>
      <c r="AE98" s="143">
        <v>0</v>
      </c>
      <c r="AF98" s="1" t="s">
        <v>213</v>
      </c>
      <c r="AG98" s="142">
        <v>0</v>
      </c>
      <c r="AH98" s="142">
        <v>0</v>
      </c>
      <c r="AI98" s="142">
        <v>0</v>
      </c>
      <c r="AJ98" s="14" t="s">
        <v>346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2">
        <v>0</v>
      </c>
      <c r="AU98" s="4" t="s">
        <v>96</v>
      </c>
    </row>
    <row r="99" spans="1:47" x14ac:dyDescent="0.2">
      <c r="A99" s="168"/>
      <c r="B99" s="76" t="s">
        <v>23</v>
      </c>
      <c r="C99" s="1" t="s">
        <v>345</v>
      </c>
      <c r="D99" s="142" t="s">
        <v>106</v>
      </c>
      <c r="E99" s="80">
        <v>0</v>
      </c>
      <c r="F99" s="1" t="s">
        <v>163</v>
      </c>
      <c r="G99" s="1" t="s">
        <v>164</v>
      </c>
      <c r="H99" s="1" t="s">
        <v>164</v>
      </c>
      <c r="I99" s="143">
        <v>0</v>
      </c>
      <c r="J99" s="1" t="s">
        <v>163</v>
      </c>
      <c r="K99" s="142">
        <v>0</v>
      </c>
      <c r="L99" s="142">
        <v>0</v>
      </c>
      <c r="M99" s="142">
        <v>0</v>
      </c>
      <c r="N99" s="14" t="s">
        <v>344</v>
      </c>
      <c r="O99" s="142" t="s">
        <v>106</v>
      </c>
      <c r="P99" s="80">
        <v>0</v>
      </c>
      <c r="Q99" s="1" t="s">
        <v>163</v>
      </c>
      <c r="R99" s="1" t="s">
        <v>164</v>
      </c>
      <c r="S99" s="1" t="s">
        <v>164</v>
      </c>
      <c r="T99" s="143">
        <v>0</v>
      </c>
      <c r="U99" s="1" t="s">
        <v>163</v>
      </c>
      <c r="V99" s="142">
        <v>0</v>
      </c>
      <c r="W99" s="142">
        <v>0</v>
      </c>
      <c r="X99" s="142">
        <v>0</v>
      </c>
      <c r="Y99" s="14" t="s">
        <v>343</v>
      </c>
      <c r="Z99" s="142" t="s">
        <v>106</v>
      </c>
      <c r="AA99" s="80">
        <v>0</v>
      </c>
      <c r="AB99" s="1" t="s">
        <v>213</v>
      </c>
      <c r="AC99" s="1" t="s">
        <v>164</v>
      </c>
      <c r="AD99" s="1" t="s">
        <v>164</v>
      </c>
      <c r="AE99" s="143">
        <v>0</v>
      </c>
      <c r="AF99" s="1" t="s">
        <v>213</v>
      </c>
      <c r="AG99" s="142">
        <v>0</v>
      </c>
      <c r="AH99" s="142">
        <v>0</v>
      </c>
      <c r="AI99" s="142">
        <v>0</v>
      </c>
      <c r="AJ99" s="14" t="s">
        <v>342</v>
      </c>
      <c r="AK99" s="142" t="s">
        <v>106</v>
      </c>
      <c r="AL99" s="80">
        <v>0</v>
      </c>
      <c r="AM99" s="1" t="s">
        <v>213</v>
      </c>
      <c r="AN99" s="1" t="s">
        <v>164</v>
      </c>
      <c r="AO99" s="1" t="s">
        <v>164</v>
      </c>
      <c r="AP99" s="143">
        <v>0</v>
      </c>
      <c r="AQ99" s="1" t="s">
        <v>213</v>
      </c>
      <c r="AR99" s="142">
        <v>0</v>
      </c>
      <c r="AS99" s="142">
        <v>0</v>
      </c>
      <c r="AT99" s="142">
        <v>0</v>
      </c>
      <c r="AU99" s="4" t="s">
        <v>96</v>
      </c>
    </row>
    <row r="100" spans="1:47" x14ac:dyDescent="0.2">
      <c r="A100" s="168"/>
      <c r="B100" s="76" t="s">
        <v>24</v>
      </c>
      <c r="C100" s="1" t="s">
        <v>341</v>
      </c>
      <c r="D100" s="142" t="s">
        <v>106</v>
      </c>
      <c r="E100" s="80">
        <v>0</v>
      </c>
      <c r="F100" s="1" t="s">
        <v>169</v>
      </c>
      <c r="G100" s="80">
        <v>0</v>
      </c>
      <c r="H100" s="1" t="s">
        <v>163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340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339</v>
      </c>
      <c r="Z100" s="142" t="s">
        <v>106</v>
      </c>
      <c r="AA100" s="80">
        <v>0</v>
      </c>
      <c r="AB100" s="1" t="s">
        <v>169</v>
      </c>
      <c r="AC100" s="80">
        <v>0</v>
      </c>
      <c r="AD100" s="1" t="s">
        <v>213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338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8"/>
      <c r="B101" s="76" t="s">
        <v>25</v>
      </c>
      <c r="C101" s="1" t="s">
        <v>337</v>
      </c>
      <c r="D101" s="142" t="s">
        <v>106</v>
      </c>
      <c r="E101" s="80">
        <v>0</v>
      </c>
      <c r="F101" s="1" t="s">
        <v>163</v>
      </c>
      <c r="G101" s="1" t="s">
        <v>164</v>
      </c>
      <c r="H101" s="1" t="s">
        <v>164</v>
      </c>
      <c r="I101" s="143">
        <v>0</v>
      </c>
      <c r="J101" s="1" t="s">
        <v>163</v>
      </c>
      <c r="K101" s="142">
        <v>0</v>
      </c>
      <c r="L101" s="142">
        <v>0</v>
      </c>
      <c r="M101" s="142">
        <v>0</v>
      </c>
      <c r="N101" s="14" t="s">
        <v>336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335</v>
      </c>
      <c r="Z101" s="142" t="s">
        <v>106</v>
      </c>
      <c r="AA101" s="80">
        <v>0</v>
      </c>
      <c r="AB101" s="1" t="s">
        <v>213</v>
      </c>
      <c r="AC101" s="1" t="s">
        <v>164</v>
      </c>
      <c r="AD101" s="1" t="s">
        <v>164</v>
      </c>
      <c r="AE101" s="143">
        <v>0</v>
      </c>
      <c r="AF101" s="1" t="s">
        <v>213</v>
      </c>
      <c r="AG101" s="142">
        <v>0</v>
      </c>
      <c r="AH101" s="142">
        <v>0</v>
      </c>
      <c r="AI101" s="142">
        <v>0</v>
      </c>
      <c r="AJ101" s="14" t="s">
        <v>334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2">
        <v>0</v>
      </c>
      <c r="AU101" s="4" t="s">
        <v>96</v>
      </c>
    </row>
    <row r="102" spans="1:47" x14ac:dyDescent="0.2">
      <c r="A102" s="168"/>
      <c r="B102" s="76" t="s">
        <v>130</v>
      </c>
      <c r="C102" s="1" t="s">
        <v>333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332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331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330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8"/>
      <c r="B103" s="76" t="s">
        <v>131</v>
      </c>
      <c r="C103" s="1" t="s">
        <v>329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328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327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326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8"/>
      <c r="B104" s="76" t="s">
        <v>33</v>
      </c>
      <c r="C104" s="1" t="s">
        <v>325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324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323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322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2">
        <v>0</v>
      </c>
      <c r="AU104" s="4" t="s">
        <v>96</v>
      </c>
    </row>
    <row r="105" spans="1:47" x14ac:dyDescent="0.2">
      <c r="A105" s="168"/>
      <c r="B105" s="76" t="s">
        <v>34</v>
      </c>
      <c r="C105" s="1" t="s">
        <v>321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320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319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318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2">
        <v>0</v>
      </c>
      <c r="AU105" s="4" t="s">
        <v>96</v>
      </c>
    </row>
    <row r="106" spans="1:47" x14ac:dyDescent="0.2">
      <c r="A106" s="168"/>
      <c r="B106" s="76" t="s">
        <v>132</v>
      </c>
      <c r="C106" s="1" t="s">
        <v>317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316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315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314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8"/>
      <c r="B107" s="76" t="s">
        <v>133</v>
      </c>
      <c r="C107" s="1" t="s">
        <v>313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312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311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310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2">
        <v>0</v>
      </c>
      <c r="AU107" s="4" t="s">
        <v>96</v>
      </c>
    </row>
    <row r="108" spans="1:47" x14ac:dyDescent="0.2">
      <c r="A108" s="168"/>
      <c r="B108" s="76" t="s">
        <v>134</v>
      </c>
      <c r="C108" s="1" t="s">
        <v>309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308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307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306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8"/>
      <c r="B109" s="76" t="s">
        <v>135</v>
      </c>
      <c r="C109" s="1" t="s">
        <v>305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304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303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302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8"/>
      <c r="B110" s="76" t="s">
        <v>60</v>
      </c>
      <c r="C110" s="1" t="s">
        <v>301</v>
      </c>
      <c r="D110" s="142" t="s">
        <v>106</v>
      </c>
      <c r="E110" s="80">
        <v>0</v>
      </c>
      <c r="F110" s="1" t="s">
        <v>169</v>
      </c>
      <c r="G110" s="80">
        <v>0</v>
      </c>
      <c r="H110" s="1" t="s">
        <v>163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300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299</v>
      </c>
      <c r="Z110" s="142" t="s">
        <v>106</v>
      </c>
      <c r="AA110" s="80">
        <v>0</v>
      </c>
      <c r="AB110" s="1" t="s">
        <v>169</v>
      </c>
      <c r="AC110" s="80">
        <v>0</v>
      </c>
      <c r="AD110" s="1" t="s">
        <v>163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298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8"/>
      <c r="B111" s="76" t="s">
        <v>61</v>
      </c>
      <c r="C111" s="1" t="s">
        <v>297</v>
      </c>
      <c r="D111" s="142" t="s">
        <v>106</v>
      </c>
      <c r="E111" s="80">
        <v>0</v>
      </c>
      <c r="F111" s="1" t="s">
        <v>163</v>
      </c>
      <c r="G111" s="1" t="s">
        <v>164</v>
      </c>
      <c r="H111" s="1" t="s">
        <v>164</v>
      </c>
      <c r="I111" s="143">
        <v>0</v>
      </c>
      <c r="J111" s="1" t="s">
        <v>163</v>
      </c>
      <c r="K111" s="142">
        <v>0</v>
      </c>
      <c r="L111" s="142">
        <v>0</v>
      </c>
      <c r="M111" s="142">
        <v>0</v>
      </c>
      <c r="N111" s="14" t="s">
        <v>296</v>
      </c>
      <c r="O111" s="142" t="s">
        <v>106</v>
      </c>
      <c r="P111" s="80">
        <v>0</v>
      </c>
      <c r="Q111" s="1" t="s">
        <v>163</v>
      </c>
      <c r="R111" s="1" t="s">
        <v>164</v>
      </c>
      <c r="S111" s="1" t="s">
        <v>164</v>
      </c>
      <c r="T111" s="143">
        <v>0</v>
      </c>
      <c r="U111" s="1" t="s">
        <v>163</v>
      </c>
      <c r="V111" s="142">
        <v>0</v>
      </c>
      <c r="W111" s="142">
        <v>0</v>
      </c>
      <c r="X111" s="142">
        <v>0</v>
      </c>
      <c r="Y111" s="14" t="s">
        <v>295</v>
      </c>
      <c r="Z111" s="142" t="s">
        <v>106</v>
      </c>
      <c r="AA111" s="80">
        <v>0</v>
      </c>
      <c r="AB111" s="1" t="s">
        <v>163</v>
      </c>
      <c r="AC111" s="1" t="s">
        <v>164</v>
      </c>
      <c r="AD111" s="1" t="s">
        <v>164</v>
      </c>
      <c r="AE111" s="143">
        <v>0</v>
      </c>
      <c r="AF111" s="1" t="s">
        <v>163</v>
      </c>
      <c r="AG111" s="142">
        <v>0</v>
      </c>
      <c r="AH111" s="142">
        <v>0</v>
      </c>
      <c r="AI111" s="142">
        <v>0</v>
      </c>
      <c r="AJ111" s="14" t="s">
        <v>294</v>
      </c>
      <c r="AK111" s="142" t="s">
        <v>106</v>
      </c>
      <c r="AL111" s="80">
        <v>0</v>
      </c>
      <c r="AM111" s="1" t="s">
        <v>163</v>
      </c>
      <c r="AN111" s="1" t="s">
        <v>164</v>
      </c>
      <c r="AO111" s="1" t="s">
        <v>164</v>
      </c>
      <c r="AP111" s="143">
        <v>0</v>
      </c>
      <c r="AQ111" s="1" t="s">
        <v>163</v>
      </c>
      <c r="AR111" s="142">
        <v>0</v>
      </c>
      <c r="AS111" s="142">
        <v>0</v>
      </c>
      <c r="AT111" s="142">
        <v>0</v>
      </c>
      <c r="AU111" s="4" t="s">
        <v>96</v>
      </c>
    </row>
    <row r="112" spans="1:47" x14ac:dyDescent="0.2">
      <c r="A112" s="168"/>
      <c r="B112" s="76" t="s">
        <v>136</v>
      </c>
      <c r="C112" s="1" t="s">
        <v>293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292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291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290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8"/>
      <c r="B113" s="76" t="s">
        <v>137</v>
      </c>
      <c r="C113" s="1" t="s">
        <v>289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288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287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286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8"/>
      <c r="B114" s="76" t="s">
        <v>138</v>
      </c>
      <c r="C114" s="1" t="s">
        <v>285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284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283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282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8"/>
      <c r="B115" s="76" t="s">
        <v>139</v>
      </c>
      <c r="C115" s="1" t="s">
        <v>281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280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279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278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8"/>
      <c r="B116" s="76" t="s">
        <v>140</v>
      </c>
      <c r="C116" s="1" t="s">
        <v>277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276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275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274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8"/>
      <c r="B117" s="76" t="s">
        <v>141</v>
      </c>
      <c r="C117" s="1" t="s">
        <v>273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272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271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270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8"/>
      <c r="B118" s="76" t="s">
        <v>142</v>
      </c>
      <c r="C118" s="1" t="s">
        <v>269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268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267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266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8"/>
      <c r="B119" s="76" t="s">
        <v>143</v>
      </c>
      <c r="C119" s="1" t="s">
        <v>265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264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263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262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A96:A119"/>
    <mergeCell ref="A1:A2"/>
    <mergeCell ref="B1:B2"/>
    <mergeCell ref="C1:M1"/>
    <mergeCell ref="N1:X1"/>
    <mergeCell ref="A3:A95"/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A5D7-2254-477F-AD0A-CCADCFD8C0F7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9"/>
      <c r="B1" s="171" t="s">
        <v>95</v>
      </c>
      <c r="C1" s="163" t="s">
        <v>114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3" t="s">
        <v>115</v>
      </c>
      <c r="O1" s="164"/>
      <c r="P1" s="164"/>
      <c r="Q1" s="164"/>
      <c r="R1" s="164"/>
      <c r="S1" s="164"/>
      <c r="T1" s="164"/>
      <c r="U1" s="164"/>
      <c r="V1" s="164"/>
      <c r="W1" s="164"/>
      <c r="X1" s="165"/>
      <c r="Y1" s="163" t="s">
        <v>152</v>
      </c>
      <c r="Z1" s="164"/>
      <c r="AA1" s="164"/>
      <c r="AB1" s="164"/>
      <c r="AC1" s="164"/>
      <c r="AD1" s="164"/>
      <c r="AE1" s="164"/>
      <c r="AF1" s="164"/>
      <c r="AG1" s="164"/>
      <c r="AH1" s="164"/>
      <c r="AI1" s="165"/>
      <c r="AJ1" s="163" t="s">
        <v>153</v>
      </c>
      <c r="AK1" s="164"/>
      <c r="AL1" s="164"/>
      <c r="AM1" s="164"/>
      <c r="AN1" s="164"/>
      <c r="AO1" s="164"/>
      <c r="AP1" s="164"/>
      <c r="AQ1" s="164"/>
      <c r="AR1" s="164"/>
      <c r="AS1" s="164"/>
      <c r="AT1" s="165"/>
      <c r="AU1" s="66"/>
    </row>
    <row r="2" spans="1:47" s="5" customFormat="1" ht="21" thickBot="1" x14ac:dyDescent="0.25">
      <c r="A2" s="170"/>
      <c r="B2" s="172"/>
      <c r="C2" s="66" t="s">
        <v>154</v>
      </c>
      <c r="D2" s="166" t="s">
        <v>158</v>
      </c>
      <c r="E2" s="167"/>
      <c r="F2" s="167"/>
      <c r="G2" s="167"/>
      <c r="H2" s="167"/>
      <c r="I2" s="166" t="s">
        <v>159</v>
      </c>
      <c r="J2" s="167"/>
      <c r="K2" s="68" t="s">
        <v>157</v>
      </c>
      <c r="L2" s="77" t="s">
        <v>156</v>
      </c>
      <c r="M2" s="68" t="s">
        <v>155</v>
      </c>
      <c r="N2" s="66" t="s">
        <v>154</v>
      </c>
      <c r="O2" s="166" t="s">
        <v>158</v>
      </c>
      <c r="P2" s="167"/>
      <c r="Q2" s="167"/>
      <c r="R2" s="167"/>
      <c r="S2" s="167"/>
      <c r="T2" s="166" t="s">
        <v>159</v>
      </c>
      <c r="U2" s="167"/>
      <c r="V2" s="68" t="s">
        <v>157</v>
      </c>
      <c r="W2" s="68" t="s">
        <v>156</v>
      </c>
      <c r="X2" s="68" t="s">
        <v>155</v>
      </c>
      <c r="Y2" s="66" t="s">
        <v>154</v>
      </c>
      <c r="Z2" s="166" t="s">
        <v>158</v>
      </c>
      <c r="AA2" s="167"/>
      <c r="AB2" s="167"/>
      <c r="AC2" s="167"/>
      <c r="AD2" s="167"/>
      <c r="AE2" s="166" t="s">
        <v>159</v>
      </c>
      <c r="AF2" s="167"/>
      <c r="AG2" s="68" t="s">
        <v>157</v>
      </c>
      <c r="AH2" s="68" t="s">
        <v>156</v>
      </c>
      <c r="AI2" s="68" t="s">
        <v>155</v>
      </c>
      <c r="AJ2" s="66" t="s">
        <v>154</v>
      </c>
      <c r="AK2" s="166" t="s">
        <v>158</v>
      </c>
      <c r="AL2" s="167"/>
      <c r="AM2" s="167"/>
      <c r="AN2" s="167"/>
      <c r="AO2" s="167"/>
      <c r="AP2" s="166" t="s">
        <v>159</v>
      </c>
      <c r="AQ2" s="167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3" t="s">
        <v>100</v>
      </c>
      <c r="B3" s="9" t="s">
        <v>0</v>
      </c>
      <c r="C3" s="1" t="s">
        <v>2098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1776</v>
      </c>
      <c r="L3" s="142">
        <v>1776</v>
      </c>
      <c r="M3" s="142">
        <v>1776</v>
      </c>
      <c r="N3" s="14" t="s">
        <v>2097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1850</v>
      </c>
      <c r="W3" s="142">
        <v>1850</v>
      </c>
      <c r="X3" s="142">
        <v>1850</v>
      </c>
      <c r="Y3" s="14" t="s">
        <v>2096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17003</v>
      </c>
      <c r="AH3" s="142">
        <v>1700.3</v>
      </c>
      <c r="AI3" s="142">
        <v>1702</v>
      </c>
      <c r="AJ3" s="14" t="s">
        <v>2095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17336</v>
      </c>
      <c r="AS3" s="142">
        <v>1733.6</v>
      </c>
      <c r="AT3" s="142">
        <v>1728</v>
      </c>
    </row>
    <row r="4" spans="1:47" x14ac:dyDescent="0.2">
      <c r="A4" s="174"/>
      <c r="B4" s="9" t="s">
        <v>1</v>
      </c>
      <c r="C4" s="1" t="s">
        <v>2094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1745</v>
      </c>
      <c r="L4" s="142">
        <v>1745</v>
      </c>
      <c r="M4" s="142">
        <v>1745</v>
      </c>
      <c r="N4" s="14" t="s">
        <v>2093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1795</v>
      </c>
      <c r="W4" s="142">
        <v>1795</v>
      </c>
      <c r="X4" s="142">
        <v>1795</v>
      </c>
      <c r="Y4" s="14" t="s">
        <v>2092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16979</v>
      </c>
      <c r="AH4" s="142">
        <v>1697.9</v>
      </c>
      <c r="AI4" s="142">
        <v>1691</v>
      </c>
      <c r="AJ4" s="14" t="s">
        <v>2091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17344</v>
      </c>
      <c r="AS4" s="142">
        <v>1734.4</v>
      </c>
      <c r="AT4" s="142">
        <v>1735</v>
      </c>
    </row>
    <row r="5" spans="1:47" x14ac:dyDescent="0.2">
      <c r="A5" s="174"/>
      <c r="B5" s="9" t="s">
        <v>2</v>
      </c>
      <c r="C5" s="1" t="s">
        <v>2090</v>
      </c>
      <c r="D5" s="142" t="s">
        <v>106</v>
      </c>
      <c r="E5" s="80">
        <v>0</v>
      </c>
      <c r="F5" s="1" t="s">
        <v>169</v>
      </c>
      <c r="G5" s="80">
        <v>1</v>
      </c>
      <c r="H5" s="1" t="s">
        <v>452</v>
      </c>
      <c r="I5" s="143">
        <v>1</v>
      </c>
      <c r="J5" s="1" t="s">
        <v>452</v>
      </c>
      <c r="K5" s="142">
        <v>3862</v>
      </c>
      <c r="L5" s="142">
        <v>3862</v>
      </c>
      <c r="M5" s="142">
        <v>3862</v>
      </c>
      <c r="N5" s="14" t="s">
        <v>2089</v>
      </c>
      <c r="O5" s="142" t="s">
        <v>106</v>
      </c>
      <c r="P5" s="80">
        <v>0</v>
      </c>
      <c r="Q5" s="1" t="s">
        <v>169</v>
      </c>
      <c r="R5" s="80">
        <v>1</v>
      </c>
      <c r="S5" s="1" t="s">
        <v>452</v>
      </c>
      <c r="T5" s="143">
        <v>1</v>
      </c>
      <c r="U5" s="1" t="s">
        <v>452</v>
      </c>
      <c r="V5" s="142">
        <v>2998</v>
      </c>
      <c r="W5" s="142">
        <v>2998</v>
      </c>
      <c r="X5" s="142">
        <v>2998</v>
      </c>
      <c r="Y5" s="14" t="s">
        <v>2088</v>
      </c>
      <c r="Z5" s="142" t="s">
        <v>106</v>
      </c>
      <c r="AA5" s="80">
        <v>1</v>
      </c>
      <c r="AB5" s="1" t="s">
        <v>516</v>
      </c>
      <c r="AC5" s="80">
        <v>1</v>
      </c>
      <c r="AD5" s="1" t="s">
        <v>516</v>
      </c>
      <c r="AE5" s="143">
        <v>1</v>
      </c>
      <c r="AF5" s="1" t="s">
        <v>529</v>
      </c>
      <c r="AG5" s="142">
        <v>17257</v>
      </c>
      <c r="AH5" s="142">
        <v>1725.7</v>
      </c>
      <c r="AI5" s="142">
        <v>1713.5</v>
      </c>
      <c r="AJ5" s="14" t="s">
        <v>2087</v>
      </c>
      <c r="AK5" s="142" t="s">
        <v>106</v>
      </c>
      <c r="AL5" s="80">
        <v>1</v>
      </c>
      <c r="AM5" s="1" t="s">
        <v>516</v>
      </c>
      <c r="AN5" s="80">
        <v>1</v>
      </c>
      <c r="AO5" s="1" t="s">
        <v>516</v>
      </c>
      <c r="AP5" s="143">
        <v>1</v>
      </c>
      <c r="AQ5" s="1" t="s">
        <v>529</v>
      </c>
      <c r="AR5" s="142">
        <v>17634</v>
      </c>
      <c r="AS5" s="142">
        <v>1763.4</v>
      </c>
      <c r="AT5" s="142">
        <v>1762.5</v>
      </c>
    </row>
    <row r="6" spans="1:47" x14ac:dyDescent="0.2">
      <c r="A6" s="174"/>
      <c r="B6" s="9" t="s">
        <v>3</v>
      </c>
      <c r="C6" s="1" t="s">
        <v>2086</v>
      </c>
      <c r="D6" s="142" t="s">
        <v>106</v>
      </c>
      <c r="E6" s="80">
        <v>1</v>
      </c>
      <c r="F6" s="1" t="s">
        <v>452</v>
      </c>
      <c r="G6" s="1" t="s">
        <v>164</v>
      </c>
      <c r="H6" s="1" t="s">
        <v>164</v>
      </c>
      <c r="I6" s="143">
        <v>1</v>
      </c>
      <c r="J6" s="1" t="s">
        <v>452</v>
      </c>
      <c r="K6" s="142">
        <v>2453</v>
      </c>
      <c r="L6" s="142">
        <v>2453</v>
      </c>
      <c r="M6" s="142">
        <v>2453</v>
      </c>
      <c r="N6" s="14" t="s">
        <v>2085</v>
      </c>
      <c r="O6" s="142" t="s">
        <v>106</v>
      </c>
      <c r="P6" s="80">
        <v>1</v>
      </c>
      <c r="Q6" s="1" t="s">
        <v>452</v>
      </c>
      <c r="R6" s="1" t="s">
        <v>164</v>
      </c>
      <c r="S6" s="1" t="s">
        <v>164</v>
      </c>
      <c r="T6" s="143">
        <v>1</v>
      </c>
      <c r="U6" s="1" t="s">
        <v>452</v>
      </c>
      <c r="V6" s="142">
        <v>2394</v>
      </c>
      <c r="W6" s="142">
        <v>2394</v>
      </c>
      <c r="X6" s="142">
        <v>2394</v>
      </c>
      <c r="Y6" s="14" t="s">
        <v>2084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17261</v>
      </c>
      <c r="AH6" s="142">
        <v>1726.1</v>
      </c>
      <c r="AI6" s="142">
        <v>1723</v>
      </c>
      <c r="AJ6" s="14" t="s">
        <v>2083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17560</v>
      </c>
      <c r="AS6" s="142">
        <v>1756</v>
      </c>
      <c r="AT6" s="142">
        <v>1749.5</v>
      </c>
    </row>
    <row r="7" spans="1:47" x14ac:dyDescent="0.2">
      <c r="A7" s="174"/>
      <c r="B7" s="9" t="s">
        <v>4</v>
      </c>
      <c r="C7" s="1" t="s">
        <v>2082</v>
      </c>
      <c r="D7" s="142" t="s">
        <v>106</v>
      </c>
      <c r="E7" s="80">
        <v>0</v>
      </c>
      <c r="F7" s="1" t="s">
        <v>169</v>
      </c>
      <c r="G7" s="80">
        <v>1</v>
      </c>
      <c r="H7" s="1" t="s">
        <v>452</v>
      </c>
      <c r="I7" s="143">
        <v>1</v>
      </c>
      <c r="J7" s="1" t="s">
        <v>452</v>
      </c>
      <c r="K7" s="142">
        <v>159077</v>
      </c>
      <c r="L7" s="142">
        <v>159077</v>
      </c>
      <c r="M7" s="142">
        <v>159077</v>
      </c>
      <c r="N7" s="14" t="s">
        <v>2081</v>
      </c>
      <c r="O7" s="142" t="s">
        <v>106</v>
      </c>
      <c r="P7" s="80">
        <v>0</v>
      </c>
      <c r="Q7" s="1" t="s">
        <v>169</v>
      </c>
      <c r="R7" s="80">
        <v>0.5</v>
      </c>
      <c r="S7" s="1" t="s">
        <v>1108</v>
      </c>
      <c r="T7" s="143">
        <v>0.5</v>
      </c>
      <c r="U7" s="1" t="s">
        <v>1108</v>
      </c>
      <c r="V7" s="142">
        <v>248676</v>
      </c>
      <c r="W7" s="142">
        <v>248676</v>
      </c>
      <c r="X7" s="142">
        <v>248676</v>
      </c>
      <c r="Y7" s="14" t="s">
        <v>2080</v>
      </c>
      <c r="Z7" s="142" t="s">
        <v>106</v>
      </c>
      <c r="AA7" s="80">
        <v>1</v>
      </c>
      <c r="AB7" s="1" t="s">
        <v>516</v>
      </c>
      <c r="AC7" s="80">
        <v>1</v>
      </c>
      <c r="AD7" s="1" t="s">
        <v>516</v>
      </c>
      <c r="AE7" s="143">
        <v>1</v>
      </c>
      <c r="AF7" s="1" t="s">
        <v>529</v>
      </c>
      <c r="AG7" s="142">
        <v>22145</v>
      </c>
      <c r="AH7" s="142">
        <v>2214.5</v>
      </c>
      <c r="AI7" s="142">
        <v>1760.5</v>
      </c>
      <c r="AJ7" s="14" t="s">
        <v>2079</v>
      </c>
      <c r="AK7" s="142" t="s">
        <v>106</v>
      </c>
      <c r="AL7" s="80">
        <v>0.9</v>
      </c>
      <c r="AM7" s="1" t="s">
        <v>951</v>
      </c>
      <c r="AN7" s="80">
        <v>1</v>
      </c>
      <c r="AO7" s="1" t="s">
        <v>1325</v>
      </c>
      <c r="AP7" s="143">
        <v>0.9</v>
      </c>
      <c r="AQ7" s="1" t="s">
        <v>2078</v>
      </c>
      <c r="AR7" s="142">
        <v>75009</v>
      </c>
      <c r="AS7" s="142">
        <v>4167.17</v>
      </c>
      <c r="AT7" s="142">
        <v>1800</v>
      </c>
    </row>
    <row r="8" spans="1:47" x14ac:dyDescent="0.2">
      <c r="A8" s="174"/>
      <c r="B8" s="9" t="s">
        <v>5</v>
      </c>
      <c r="C8" s="1" t="s">
        <v>2077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2076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2075</v>
      </c>
      <c r="Z8" s="142" t="s">
        <v>106</v>
      </c>
      <c r="AA8" s="80">
        <v>1</v>
      </c>
      <c r="AB8" s="1" t="s">
        <v>529</v>
      </c>
      <c r="AC8" s="1" t="s">
        <v>164</v>
      </c>
      <c r="AD8" s="1" t="s">
        <v>164</v>
      </c>
      <c r="AE8" s="143">
        <v>1</v>
      </c>
      <c r="AF8" s="1" t="s">
        <v>529</v>
      </c>
      <c r="AG8" s="142">
        <v>20611</v>
      </c>
      <c r="AH8" s="142">
        <v>2061.1</v>
      </c>
      <c r="AI8" s="142">
        <v>1777</v>
      </c>
      <c r="AJ8" s="14" t="s">
        <v>2074</v>
      </c>
      <c r="AK8" s="142" t="s">
        <v>106</v>
      </c>
      <c r="AL8" s="80">
        <v>1</v>
      </c>
      <c r="AM8" s="1" t="s">
        <v>1070</v>
      </c>
      <c r="AN8" s="1" t="s">
        <v>164</v>
      </c>
      <c r="AO8" s="1" t="s">
        <v>164</v>
      </c>
      <c r="AP8" s="143">
        <v>1</v>
      </c>
      <c r="AQ8" s="1" t="s">
        <v>1070</v>
      </c>
      <c r="AR8" s="142">
        <v>72909</v>
      </c>
      <c r="AS8" s="142">
        <v>3645.45</v>
      </c>
      <c r="AT8" s="142">
        <v>1809</v>
      </c>
    </row>
    <row r="9" spans="1:47" x14ac:dyDescent="0.2">
      <c r="A9" s="174"/>
      <c r="B9" s="9" t="s">
        <v>6</v>
      </c>
      <c r="C9" s="1" t="s">
        <v>2073</v>
      </c>
      <c r="D9" s="142" t="s">
        <v>106</v>
      </c>
      <c r="E9" s="80">
        <v>0</v>
      </c>
      <c r="F9" s="1" t="s">
        <v>169</v>
      </c>
      <c r="G9" s="80">
        <v>1</v>
      </c>
      <c r="H9" s="1" t="s">
        <v>452</v>
      </c>
      <c r="I9" s="143">
        <v>1</v>
      </c>
      <c r="J9" s="1" t="s">
        <v>452</v>
      </c>
      <c r="K9" s="142">
        <v>21629</v>
      </c>
      <c r="L9" s="142">
        <v>21629</v>
      </c>
      <c r="M9" s="142">
        <v>21629</v>
      </c>
      <c r="N9" s="14" t="s">
        <v>2072</v>
      </c>
      <c r="O9" s="142" t="s">
        <v>106</v>
      </c>
      <c r="P9" s="80">
        <v>0</v>
      </c>
      <c r="Q9" s="1" t="s">
        <v>169</v>
      </c>
      <c r="R9" s="80">
        <v>1</v>
      </c>
      <c r="S9" s="1" t="s">
        <v>1073</v>
      </c>
      <c r="T9" s="143">
        <v>1</v>
      </c>
      <c r="U9" s="1" t="s">
        <v>1073</v>
      </c>
      <c r="V9" s="142">
        <v>28711</v>
      </c>
      <c r="W9" s="142">
        <v>14355.5</v>
      </c>
      <c r="X9" s="142">
        <v>14355.5</v>
      </c>
      <c r="Y9" s="14" t="s">
        <v>2071</v>
      </c>
      <c r="Z9" s="142" t="s">
        <v>106</v>
      </c>
      <c r="AA9" s="80">
        <v>1</v>
      </c>
      <c r="AB9" s="1" t="s">
        <v>516</v>
      </c>
      <c r="AC9" s="80">
        <v>1</v>
      </c>
      <c r="AD9" s="1" t="s">
        <v>516</v>
      </c>
      <c r="AE9" s="143">
        <v>1</v>
      </c>
      <c r="AF9" s="1" t="s">
        <v>529</v>
      </c>
      <c r="AG9" s="142">
        <v>22439</v>
      </c>
      <c r="AH9" s="142">
        <v>2243.9</v>
      </c>
      <c r="AI9" s="142">
        <v>1788.5</v>
      </c>
      <c r="AJ9" s="14" t="s">
        <v>2070</v>
      </c>
      <c r="AK9" s="142" t="s">
        <v>106</v>
      </c>
      <c r="AL9" s="80">
        <v>1</v>
      </c>
      <c r="AM9" s="1" t="s">
        <v>529</v>
      </c>
      <c r="AN9" s="80">
        <v>1</v>
      </c>
      <c r="AO9" s="1" t="s">
        <v>529</v>
      </c>
      <c r="AP9" s="143">
        <v>1</v>
      </c>
      <c r="AQ9" s="1" t="s">
        <v>1070</v>
      </c>
      <c r="AR9" s="142">
        <v>56245</v>
      </c>
      <c r="AS9" s="142">
        <v>2812.25</v>
      </c>
      <c r="AT9" s="142">
        <v>1971</v>
      </c>
    </row>
    <row r="10" spans="1:47" x14ac:dyDescent="0.2">
      <c r="A10" s="174"/>
      <c r="B10" s="9" t="s">
        <v>7</v>
      </c>
      <c r="C10" s="1" t="s">
        <v>2069</v>
      </c>
      <c r="D10" s="142" t="s">
        <v>106</v>
      </c>
      <c r="E10" s="80">
        <v>0</v>
      </c>
      <c r="F10" s="1" t="s">
        <v>163</v>
      </c>
      <c r="G10" s="1" t="s">
        <v>164</v>
      </c>
      <c r="H10" s="1" t="s">
        <v>164</v>
      </c>
      <c r="I10" s="143">
        <v>0</v>
      </c>
      <c r="J10" s="1" t="s">
        <v>163</v>
      </c>
      <c r="K10" s="142">
        <v>0</v>
      </c>
      <c r="L10" s="142">
        <v>0</v>
      </c>
      <c r="M10" s="142">
        <v>0</v>
      </c>
      <c r="N10" s="14" t="s">
        <v>2068</v>
      </c>
      <c r="O10" s="142" t="s">
        <v>106</v>
      </c>
      <c r="P10" s="80">
        <v>0</v>
      </c>
      <c r="Q10" s="1" t="s">
        <v>939</v>
      </c>
      <c r="R10" s="1" t="s">
        <v>164</v>
      </c>
      <c r="S10" s="1" t="s">
        <v>164</v>
      </c>
      <c r="T10" s="143">
        <v>0</v>
      </c>
      <c r="U10" s="1" t="s">
        <v>939</v>
      </c>
      <c r="V10" s="142">
        <v>0</v>
      </c>
      <c r="W10" s="142">
        <v>0</v>
      </c>
      <c r="X10" s="142">
        <v>0</v>
      </c>
      <c r="Y10" s="14" t="s">
        <v>2067</v>
      </c>
      <c r="Z10" s="142" t="s">
        <v>106</v>
      </c>
      <c r="AA10" s="80">
        <v>1</v>
      </c>
      <c r="AB10" s="1" t="s">
        <v>529</v>
      </c>
      <c r="AC10" s="1" t="s">
        <v>164</v>
      </c>
      <c r="AD10" s="1" t="s">
        <v>164</v>
      </c>
      <c r="AE10" s="143">
        <v>1</v>
      </c>
      <c r="AF10" s="1" t="s">
        <v>529</v>
      </c>
      <c r="AG10" s="142">
        <v>35322</v>
      </c>
      <c r="AH10" s="142">
        <v>3532.2</v>
      </c>
      <c r="AI10" s="142">
        <v>2510.5</v>
      </c>
      <c r="AJ10" s="14" t="s">
        <v>2066</v>
      </c>
      <c r="AK10" s="142" t="s">
        <v>106</v>
      </c>
      <c r="AL10" s="80">
        <v>1</v>
      </c>
      <c r="AM10" s="1" t="s">
        <v>1070</v>
      </c>
      <c r="AN10" s="1" t="s">
        <v>164</v>
      </c>
      <c r="AO10" s="1" t="s">
        <v>164</v>
      </c>
      <c r="AP10" s="143">
        <v>1</v>
      </c>
      <c r="AQ10" s="1" t="s">
        <v>1070</v>
      </c>
      <c r="AR10" s="142">
        <v>237956</v>
      </c>
      <c r="AS10" s="142">
        <v>11897.8</v>
      </c>
      <c r="AT10" s="142">
        <v>2447</v>
      </c>
    </row>
    <row r="11" spans="1:47" x14ac:dyDescent="0.2">
      <c r="A11" s="174"/>
      <c r="B11" s="9" t="s">
        <v>8</v>
      </c>
      <c r="C11" s="1" t="s">
        <v>2065</v>
      </c>
      <c r="D11" s="142" t="s">
        <v>106</v>
      </c>
      <c r="E11" s="80">
        <v>0</v>
      </c>
      <c r="F11" s="1" t="s">
        <v>169</v>
      </c>
      <c r="G11" s="80">
        <v>1</v>
      </c>
      <c r="H11" s="1" t="s">
        <v>452</v>
      </c>
      <c r="I11" s="143">
        <v>1</v>
      </c>
      <c r="J11" s="1" t="s">
        <v>452</v>
      </c>
      <c r="K11" s="142">
        <v>2169</v>
      </c>
      <c r="L11" s="142">
        <v>2169</v>
      </c>
      <c r="M11" s="142">
        <v>2169</v>
      </c>
      <c r="N11" s="14" t="s">
        <v>2064</v>
      </c>
      <c r="O11" s="142" t="s">
        <v>106</v>
      </c>
      <c r="P11" s="80">
        <v>0</v>
      </c>
      <c r="Q11" s="1" t="s">
        <v>163</v>
      </c>
      <c r="R11" s="80">
        <v>0</v>
      </c>
      <c r="S11" s="1" t="s">
        <v>163</v>
      </c>
      <c r="T11" s="143">
        <v>0</v>
      </c>
      <c r="U11" s="1" t="s">
        <v>939</v>
      </c>
      <c r="V11" s="142">
        <v>0</v>
      </c>
      <c r="W11" s="142">
        <v>0</v>
      </c>
      <c r="X11" s="142">
        <v>0</v>
      </c>
      <c r="Y11" s="14" t="s">
        <v>2063</v>
      </c>
      <c r="Z11" s="142" t="s">
        <v>106</v>
      </c>
      <c r="AA11" s="80">
        <v>1</v>
      </c>
      <c r="AB11" s="1" t="s">
        <v>516</v>
      </c>
      <c r="AC11" s="80">
        <v>0.2</v>
      </c>
      <c r="AD11" s="1" t="s">
        <v>1049</v>
      </c>
      <c r="AE11" s="143">
        <v>0.6</v>
      </c>
      <c r="AF11" s="1" t="s">
        <v>963</v>
      </c>
      <c r="AG11" s="142">
        <v>11802</v>
      </c>
      <c r="AH11" s="142">
        <v>1967</v>
      </c>
      <c r="AI11" s="142">
        <v>1957.5</v>
      </c>
      <c r="AJ11" s="14" t="s">
        <v>2062</v>
      </c>
      <c r="AK11" s="142" t="s">
        <v>106</v>
      </c>
      <c r="AL11" s="80">
        <v>0</v>
      </c>
      <c r="AM11" s="1" t="s">
        <v>1305</v>
      </c>
      <c r="AN11" s="80">
        <v>0</v>
      </c>
      <c r="AO11" s="1" t="s">
        <v>218</v>
      </c>
      <c r="AP11" s="143">
        <v>0</v>
      </c>
      <c r="AQ11" s="1" t="s">
        <v>1176</v>
      </c>
      <c r="AR11" s="142">
        <v>0</v>
      </c>
      <c r="AS11" s="142">
        <v>0</v>
      </c>
      <c r="AT11" s="142">
        <v>0</v>
      </c>
      <c r="AU11" s="4" t="s">
        <v>98</v>
      </c>
    </row>
    <row r="12" spans="1:47" x14ac:dyDescent="0.2">
      <c r="A12" s="174"/>
      <c r="B12" s="9" t="s">
        <v>9</v>
      </c>
      <c r="C12" s="1" t="s">
        <v>2061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2060</v>
      </c>
      <c r="O12" s="142" t="s">
        <v>106</v>
      </c>
      <c r="P12" s="80">
        <v>0</v>
      </c>
      <c r="Q12" s="1" t="s">
        <v>939</v>
      </c>
      <c r="R12" s="1" t="s">
        <v>164</v>
      </c>
      <c r="S12" s="1" t="s">
        <v>164</v>
      </c>
      <c r="T12" s="143">
        <v>0</v>
      </c>
      <c r="U12" s="1" t="s">
        <v>939</v>
      </c>
      <c r="V12" s="142">
        <v>0</v>
      </c>
      <c r="W12" s="142">
        <v>0</v>
      </c>
      <c r="X12" s="142">
        <v>0</v>
      </c>
      <c r="Y12" s="14" t="s">
        <v>2059</v>
      </c>
      <c r="Z12" s="142" t="s">
        <v>106</v>
      </c>
      <c r="AA12" s="80">
        <v>0.6</v>
      </c>
      <c r="AB12" s="1" t="s">
        <v>963</v>
      </c>
      <c r="AC12" s="1" t="s">
        <v>164</v>
      </c>
      <c r="AD12" s="1" t="s">
        <v>164</v>
      </c>
      <c r="AE12" s="143">
        <v>0.6</v>
      </c>
      <c r="AF12" s="1" t="s">
        <v>963</v>
      </c>
      <c r="AG12" s="142">
        <v>11813</v>
      </c>
      <c r="AH12" s="142">
        <v>1968.83</v>
      </c>
      <c r="AI12" s="142">
        <v>1960.5</v>
      </c>
      <c r="AJ12" s="14" t="s">
        <v>2058</v>
      </c>
      <c r="AK12" s="142" t="s">
        <v>106</v>
      </c>
      <c r="AL12" s="80">
        <v>0</v>
      </c>
      <c r="AM12" s="1" t="s">
        <v>1176</v>
      </c>
      <c r="AN12" s="1" t="s">
        <v>164</v>
      </c>
      <c r="AO12" s="1" t="s">
        <v>164</v>
      </c>
      <c r="AP12" s="143">
        <v>0</v>
      </c>
      <c r="AQ12" s="1" t="s">
        <v>1176</v>
      </c>
      <c r="AR12" s="142">
        <v>0</v>
      </c>
      <c r="AS12" s="142">
        <v>0</v>
      </c>
      <c r="AT12" s="142">
        <v>0</v>
      </c>
      <c r="AU12" s="4" t="s">
        <v>98</v>
      </c>
    </row>
    <row r="13" spans="1:47" x14ac:dyDescent="0.2">
      <c r="A13" s="174"/>
      <c r="B13" s="9" t="s">
        <v>12</v>
      </c>
      <c r="C13" s="1" t="s">
        <v>2057</v>
      </c>
      <c r="D13" s="142" t="s">
        <v>106</v>
      </c>
      <c r="E13" s="80">
        <v>0</v>
      </c>
      <c r="F13" s="1" t="s">
        <v>169</v>
      </c>
      <c r="G13" s="80">
        <v>0</v>
      </c>
      <c r="H13" s="1" t="s">
        <v>163</v>
      </c>
      <c r="I13" s="143">
        <v>0</v>
      </c>
      <c r="J13" s="1" t="s">
        <v>163</v>
      </c>
      <c r="K13" s="142">
        <v>0</v>
      </c>
      <c r="L13" s="142">
        <v>0</v>
      </c>
      <c r="M13" s="142">
        <v>0</v>
      </c>
      <c r="N13" s="14" t="s">
        <v>2056</v>
      </c>
      <c r="O13" s="142" t="s">
        <v>106</v>
      </c>
      <c r="P13" s="80">
        <v>0</v>
      </c>
      <c r="Q13" s="1" t="s">
        <v>169</v>
      </c>
      <c r="R13" s="80">
        <v>0</v>
      </c>
      <c r="S13" s="1" t="s">
        <v>163</v>
      </c>
      <c r="T13" s="143">
        <v>0</v>
      </c>
      <c r="U13" s="1" t="s">
        <v>163</v>
      </c>
      <c r="V13" s="142">
        <v>0</v>
      </c>
      <c r="W13" s="142">
        <v>0</v>
      </c>
      <c r="X13" s="142">
        <v>0</v>
      </c>
      <c r="Y13" s="14" t="s">
        <v>2055</v>
      </c>
      <c r="Z13" s="142" t="s">
        <v>106</v>
      </c>
      <c r="AA13" s="80">
        <v>0</v>
      </c>
      <c r="AB13" s="1" t="s">
        <v>218</v>
      </c>
      <c r="AC13" s="80">
        <v>0</v>
      </c>
      <c r="AD13" s="1" t="s">
        <v>218</v>
      </c>
      <c r="AE13" s="143">
        <v>0</v>
      </c>
      <c r="AF13" s="1" t="s">
        <v>213</v>
      </c>
      <c r="AG13" s="142">
        <v>0</v>
      </c>
      <c r="AH13" s="142">
        <v>0</v>
      </c>
      <c r="AI13" s="142">
        <v>0</v>
      </c>
      <c r="AJ13" s="14" t="s">
        <v>2054</v>
      </c>
      <c r="AK13" s="142" t="s">
        <v>106</v>
      </c>
      <c r="AL13" s="80">
        <v>0</v>
      </c>
      <c r="AM13" s="1" t="s">
        <v>218</v>
      </c>
      <c r="AN13" s="80">
        <v>0</v>
      </c>
      <c r="AO13" s="1" t="s">
        <v>218</v>
      </c>
      <c r="AP13" s="143">
        <v>0</v>
      </c>
      <c r="AQ13" s="1" t="s">
        <v>213</v>
      </c>
      <c r="AR13" s="142">
        <v>0</v>
      </c>
      <c r="AS13" s="142">
        <v>0</v>
      </c>
      <c r="AT13" s="142">
        <v>0</v>
      </c>
      <c r="AU13" s="4" t="s">
        <v>97</v>
      </c>
    </row>
    <row r="14" spans="1:47" x14ac:dyDescent="0.2">
      <c r="A14" s="174"/>
      <c r="B14" s="9" t="s">
        <v>13</v>
      </c>
      <c r="C14" s="1" t="s">
        <v>2053</v>
      </c>
      <c r="D14" s="142" t="s">
        <v>106</v>
      </c>
      <c r="E14" s="80">
        <v>0</v>
      </c>
      <c r="F14" s="1" t="s">
        <v>163</v>
      </c>
      <c r="G14" s="1" t="s">
        <v>164</v>
      </c>
      <c r="H14" s="1" t="s">
        <v>164</v>
      </c>
      <c r="I14" s="143">
        <v>0</v>
      </c>
      <c r="J14" s="1" t="s">
        <v>163</v>
      </c>
      <c r="K14" s="142">
        <v>0</v>
      </c>
      <c r="L14" s="142">
        <v>0</v>
      </c>
      <c r="M14" s="142">
        <v>0</v>
      </c>
      <c r="N14" s="14" t="s">
        <v>2052</v>
      </c>
      <c r="O14" s="142" t="s">
        <v>106</v>
      </c>
      <c r="P14" s="80">
        <v>0</v>
      </c>
      <c r="Q14" s="1" t="s">
        <v>163</v>
      </c>
      <c r="R14" s="1" t="s">
        <v>164</v>
      </c>
      <c r="S14" s="1" t="s">
        <v>164</v>
      </c>
      <c r="T14" s="143">
        <v>0</v>
      </c>
      <c r="U14" s="1" t="s">
        <v>163</v>
      </c>
      <c r="V14" s="142">
        <v>0</v>
      </c>
      <c r="W14" s="142">
        <v>0</v>
      </c>
      <c r="X14" s="142">
        <v>0</v>
      </c>
      <c r="Y14" s="14" t="s">
        <v>2051</v>
      </c>
      <c r="Z14" s="142" t="s">
        <v>106</v>
      </c>
      <c r="AA14" s="80">
        <v>0</v>
      </c>
      <c r="AB14" s="1" t="s">
        <v>213</v>
      </c>
      <c r="AC14" s="1" t="s">
        <v>164</v>
      </c>
      <c r="AD14" s="1" t="s">
        <v>164</v>
      </c>
      <c r="AE14" s="143">
        <v>0</v>
      </c>
      <c r="AF14" s="1" t="s">
        <v>213</v>
      </c>
      <c r="AG14" s="142">
        <v>0</v>
      </c>
      <c r="AH14" s="142">
        <v>0</v>
      </c>
      <c r="AI14" s="142">
        <v>0</v>
      </c>
      <c r="AJ14" s="14" t="s">
        <v>2050</v>
      </c>
      <c r="AK14" s="142" t="s">
        <v>106</v>
      </c>
      <c r="AL14" s="80">
        <v>0</v>
      </c>
      <c r="AM14" s="1" t="s">
        <v>213</v>
      </c>
      <c r="AN14" s="1" t="s">
        <v>164</v>
      </c>
      <c r="AO14" s="1" t="s">
        <v>164</v>
      </c>
      <c r="AP14" s="143">
        <v>0</v>
      </c>
      <c r="AQ14" s="1" t="s">
        <v>213</v>
      </c>
      <c r="AR14" s="142">
        <v>0</v>
      </c>
      <c r="AS14" s="142">
        <v>0</v>
      </c>
      <c r="AT14" s="142">
        <v>0</v>
      </c>
      <c r="AU14" s="4" t="s">
        <v>97</v>
      </c>
    </row>
    <row r="15" spans="1:47" x14ac:dyDescent="0.2">
      <c r="A15" s="174"/>
      <c r="B15" s="9" t="s">
        <v>14</v>
      </c>
      <c r="C15" s="1" t="s">
        <v>2049</v>
      </c>
      <c r="D15" s="142" t="s">
        <v>106</v>
      </c>
      <c r="E15" s="80">
        <v>0</v>
      </c>
      <c r="F15" s="1" t="s">
        <v>169</v>
      </c>
      <c r="G15" s="80">
        <v>0</v>
      </c>
      <c r="H15" s="1" t="s">
        <v>163</v>
      </c>
      <c r="I15" s="143">
        <v>0</v>
      </c>
      <c r="J15" s="1" t="s">
        <v>163</v>
      </c>
      <c r="K15" s="142">
        <v>0</v>
      </c>
      <c r="L15" s="142">
        <v>0</v>
      </c>
      <c r="M15" s="142">
        <v>0</v>
      </c>
      <c r="N15" s="14" t="s">
        <v>2048</v>
      </c>
      <c r="O15" s="142" t="s">
        <v>106</v>
      </c>
      <c r="P15" s="80">
        <v>0</v>
      </c>
      <c r="Q15" s="1" t="s">
        <v>169</v>
      </c>
      <c r="R15" s="80">
        <v>0</v>
      </c>
      <c r="S15" s="1" t="s">
        <v>163</v>
      </c>
      <c r="T15" s="143">
        <v>0</v>
      </c>
      <c r="U15" s="1" t="s">
        <v>163</v>
      </c>
      <c r="V15" s="142">
        <v>0</v>
      </c>
      <c r="W15" s="142">
        <v>0</v>
      </c>
      <c r="X15" s="142">
        <v>0</v>
      </c>
      <c r="Y15" s="14" t="s">
        <v>2047</v>
      </c>
      <c r="Z15" s="142" t="s">
        <v>106</v>
      </c>
      <c r="AA15" s="80">
        <v>0</v>
      </c>
      <c r="AB15" s="1" t="s">
        <v>218</v>
      </c>
      <c r="AC15" s="80">
        <v>0</v>
      </c>
      <c r="AD15" s="1" t="s">
        <v>218</v>
      </c>
      <c r="AE15" s="143">
        <v>0</v>
      </c>
      <c r="AF15" s="1" t="s">
        <v>213</v>
      </c>
      <c r="AG15" s="142">
        <v>0</v>
      </c>
      <c r="AH15" s="142">
        <v>0</v>
      </c>
      <c r="AI15" s="142">
        <v>0</v>
      </c>
      <c r="AJ15" s="14" t="s">
        <v>2046</v>
      </c>
      <c r="AK15" s="142" t="s">
        <v>106</v>
      </c>
      <c r="AL15" s="80">
        <v>0</v>
      </c>
      <c r="AM15" s="1" t="s">
        <v>218</v>
      </c>
      <c r="AN15" s="80">
        <v>0</v>
      </c>
      <c r="AO15" s="1" t="s">
        <v>218</v>
      </c>
      <c r="AP15" s="143">
        <v>0</v>
      </c>
      <c r="AQ15" s="1" t="s">
        <v>213</v>
      </c>
      <c r="AR15" s="142">
        <v>0</v>
      </c>
      <c r="AS15" s="142">
        <v>0</v>
      </c>
      <c r="AT15" s="142">
        <v>0</v>
      </c>
      <c r="AU15" s="4" t="s">
        <v>97</v>
      </c>
    </row>
    <row r="16" spans="1:47" x14ac:dyDescent="0.2">
      <c r="A16" s="174"/>
      <c r="B16" s="9" t="s">
        <v>15</v>
      </c>
      <c r="C16" s="1" t="s">
        <v>2045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2044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2043</v>
      </c>
      <c r="Z16" s="142" t="s">
        <v>106</v>
      </c>
      <c r="AA16" s="80">
        <v>0</v>
      </c>
      <c r="AB16" s="1" t="s">
        <v>213</v>
      </c>
      <c r="AC16" s="1" t="s">
        <v>164</v>
      </c>
      <c r="AD16" s="1" t="s">
        <v>164</v>
      </c>
      <c r="AE16" s="143">
        <v>0</v>
      </c>
      <c r="AF16" s="1" t="s">
        <v>213</v>
      </c>
      <c r="AG16" s="142">
        <v>0</v>
      </c>
      <c r="AH16" s="142">
        <v>0</v>
      </c>
      <c r="AI16" s="142">
        <v>0</v>
      </c>
      <c r="AJ16" s="14" t="s">
        <v>2042</v>
      </c>
      <c r="AK16" s="142" t="s">
        <v>106</v>
      </c>
      <c r="AL16" s="80">
        <v>0</v>
      </c>
      <c r="AM16" s="1" t="s">
        <v>213</v>
      </c>
      <c r="AN16" s="1" t="s">
        <v>164</v>
      </c>
      <c r="AO16" s="1" t="s">
        <v>164</v>
      </c>
      <c r="AP16" s="143">
        <v>0</v>
      </c>
      <c r="AQ16" s="1" t="s">
        <v>213</v>
      </c>
      <c r="AR16" s="142">
        <v>0</v>
      </c>
      <c r="AS16" s="142">
        <v>0</v>
      </c>
      <c r="AT16" s="142">
        <v>0</v>
      </c>
      <c r="AU16" s="4" t="s">
        <v>97</v>
      </c>
    </row>
    <row r="17" spans="1:47" x14ac:dyDescent="0.2">
      <c r="A17" s="174"/>
      <c r="B17" s="9" t="s">
        <v>16</v>
      </c>
      <c r="C17" s="1" t="s">
        <v>2041</v>
      </c>
      <c r="D17" s="142" t="s">
        <v>106</v>
      </c>
      <c r="E17" s="80">
        <v>0</v>
      </c>
      <c r="F17" s="1" t="s">
        <v>169</v>
      </c>
      <c r="G17" s="80">
        <v>0</v>
      </c>
      <c r="H17" s="1" t="s">
        <v>163</v>
      </c>
      <c r="I17" s="143">
        <v>0</v>
      </c>
      <c r="J17" s="1" t="s">
        <v>163</v>
      </c>
      <c r="K17" s="142">
        <v>0</v>
      </c>
      <c r="L17" s="142">
        <v>0</v>
      </c>
      <c r="M17" s="142">
        <v>0</v>
      </c>
      <c r="N17" s="14" t="s">
        <v>2040</v>
      </c>
      <c r="O17" s="142" t="s">
        <v>106</v>
      </c>
      <c r="P17" s="80">
        <v>0</v>
      </c>
      <c r="Q17" s="1" t="s">
        <v>169</v>
      </c>
      <c r="R17" s="80">
        <v>0</v>
      </c>
      <c r="S17" s="1" t="s">
        <v>163</v>
      </c>
      <c r="T17" s="143">
        <v>0</v>
      </c>
      <c r="U17" s="1" t="s">
        <v>163</v>
      </c>
      <c r="V17" s="142">
        <v>0</v>
      </c>
      <c r="W17" s="142">
        <v>0</v>
      </c>
      <c r="X17" s="142">
        <v>0</v>
      </c>
      <c r="Y17" s="14" t="s">
        <v>2039</v>
      </c>
      <c r="Z17" s="142" t="s">
        <v>106</v>
      </c>
      <c r="AA17" s="80">
        <v>0</v>
      </c>
      <c r="AB17" s="1" t="s">
        <v>218</v>
      </c>
      <c r="AC17" s="80">
        <v>0</v>
      </c>
      <c r="AD17" s="1" t="s">
        <v>218</v>
      </c>
      <c r="AE17" s="143">
        <v>0</v>
      </c>
      <c r="AF17" s="1" t="s">
        <v>213</v>
      </c>
      <c r="AG17" s="142">
        <v>0</v>
      </c>
      <c r="AH17" s="142">
        <v>0</v>
      </c>
      <c r="AI17" s="142">
        <v>0</v>
      </c>
      <c r="AJ17" s="14" t="s">
        <v>2038</v>
      </c>
      <c r="AK17" s="142" t="s">
        <v>106</v>
      </c>
      <c r="AL17" s="80">
        <v>0</v>
      </c>
      <c r="AM17" s="1" t="s">
        <v>218</v>
      </c>
      <c r="AN17" s="80">
        <v>0</v>
      </c>
      <c r="AO17" s="1" t="s">
        <v>218</v>
      </c>
      <c r="AP17" s="143">
        <v>0</v>
      </c>
      <c r="AQ17" s="1" t="s">
        <v>213</v>
      </c>
      <c r="AR17" s="142">
        <v>0</v>
      </c>
      <c r="AS17" s="142">
        <v>0</v>
      </c>
      <c r="AT17" s="142">
        <v>0</v>
      </c>
      <c r="AU17" s="4" t="s">
        <v>97</v>
      </c>
    </row>
    <row r="18" spans="1:47" x14ac:dyDescent="0.2">
      <c r="A18" s="174"/>
      <c r="B18" s="9" t="s">
        <v>17</v>
      </c>
      <c r="C18" s="1" t="s">
        <v>2037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2036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2035</v>
      </c>
      <c r="Z18" s="142" t="s">
        <v>106</v>
      </c>
      <c r="AA18" s="80">
        <v>0</v>
      </c>
      <c r="AB18" s="1" t="s">
        <v>213</v>
      </c>
      <c r="AC18" s="1" t="s">
        <v>164</v>
      </c>
      <c r="AD18" s="1" t="s">
        <v>164</v>
      </c>
      <c r="AE18" s="143">
        <v>0</v>
      </c>
      <c r="AF18" s="1" t="s">
        <v>213</v>
      </c>
      <c r="AG18" s="142">
        <v>0</v>
      </c>
      <c r="AH18" s="142">
        <v>0</v>
      </c>
      <c r="AI18" s="142">
        <v>0</v>
      </c>
      <c r="AJ18" s="14" t="s">
        <v>2034</v>
      </c>
      <c r="AK18" s="142" t="s">
        <v>106</v>
      </c>
      <c r="AL18" s="80">
        <v>0</v>
      </c>
      <c r="AM18" s="1" t="s">
        <v>213</v>
      </c>
      <c r="AN18" s="1" t="s">
        <v>164</v>
      </c>
      <c r="AO18" s="1" t="s">
        <v>164</v>
      </c>
      <c r="AP18" s="143">
        <v>0</v>
      </c>
      <c r="AQ18" s="1" t="s">
        <v>213</v>
      </c>
      <c r="AR18" s="142">
        <v>0</v>
      </c>
      <c r="AS18" s="142">
        <v>0</v>
      </c>
      <c r="AT18" s="142">
        <v>0</v>
      </c>
      <c r="AU18" s="4" t="s">
        <v>97</v>
      </c>
    </row>
    <row r="19" spans="1:47" x14ac:dyDescent="0.2">
      <c r="A19" s="174"/>
      <c r="B19" s="9" t="s">
        <v>18</v>
      </c>
      <c r="C19" s="1" t="s">
        <v>2033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2032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1774</v>
      </c>
      <c r="W19" s="142">
        <v>1774</v>
      </c>
      <c r="X19" s="142">
        <v>1774</v>
      </c>
      <c r="Y19" s="14" t="s">
        <v>2031</v>
      </c>
      <c r="Z19" s="142" t="s">
        <v>106</v>
      </c>
      <c r="AA19" s="80">
        <v>0</v>
      </c>
      <c r="AB19" s="1" t="s">
        <v>218</v>
      </c>
      <c r="AC19" s="80">
        <v>0</v>
      </c>
      <c r="AD19" s="1" t="s">
        <v>218</v>
      </c>
      <c r="AE19" s="143">
        <v>0</v>
      </c>
      <c r="AF19" s="1" t="s">
        <v>213</v>
      </c>
      <c r="AG19" s="142">
        <v>0</v>
      </c>
      <c r="AH19" s="142">
        <v>0</v>
      </c>
      <c r="AI19" s="142">
        <v>0</v>
      </c>
      <c r="AJ19" s="14" t="s">
        <v>2030</v>
      </c>
      <c r="AK19" s="142" t="s">
        <v>106</v>
      </c>
      <c r="AL19" s="80">
        <v>0.2</v>
      </c>
      <c r="AM19" s="1" t="s">
        <v>1271</v>
      </c>
      <c r="AN19" s="80">
        <v>0</v>
      </c>
      <c r="AO19" s="1" t="s">
        <v>218</v>
      </c>
      <c r="AP19" s="143">
        <v>0.15</v>
      </c>
      <c r="AQ19" s="1" t="s">
        <v>1266</v>
      </c>
      <c r="AR19" s="142">
        <v>5192</v>
      </c>
      <c r="AS19" s="142">
        <v>1730.67</v>
      </c>
      <c r="AT19" s="142">
        <v>1728</v>
      </c>
      <c r="AU19" s="4" t="s">
        <v>99</v>
      </c>
    </row>
    <row r="20" spans="1:47" x14ac:dyDescent="0.2">
      <c r="A20" s="174"/>
      <c r="B20" s="9" t="s">
        <v>19</v>
      </c>
      <c r="C20" s="1" t="s">
        <v>2029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2028</v>
      </c>
      <c r="O20" s="142" t="s">
        <v>106</v>
      </c>
      <c r="P20" s="80">
        <v>0.5</v>
      </c>
      <c r="Q20" s="1" t="s">
        <v>1108</v>
      </c>
      <c r="R20" s="1" t="s">
        <v>164</v>
      </c>
      <c r="S20" s="1" t="s">
        <v>164</v>
      </c>
      <c r="T20" s="143">
        <v>0.5</v>
      </c>
      <c r="U20" s="1" t="s">
        <v>1108</v>
      </c>
      <c r="V20" s="142">
        <v>1793</v>
      </c>
      <c r="W20" s="142">
        <v>1793</v>
      </c>
      <c r="X20" s="142">
        <v>1793</v>
      </c>
      <c r="Y20" s="14" t="s">
        <v>2027</v>
      </c>
      <c r="Z20" s="142" t="s">
        <v>106</v>
      </c>
      <c r="AA20" s="80">
        <v>0</v>
      </c>
      <c r="AB20" s="1" t="s">
        <v>213</v>
      </c>
      <c r="AC20" s="1" t="s">
        <v>164</v>
      </c>
      <c r="AD20" s="1" t="s">
        <v>164</v>
      </c>
      <c r="AE20" s="143">
        <v>0</v>
      </c>
      <c r="AF20" s="1" t="s">
        <v>213</v>
      </c>
      <c r="AG20" s="142">
        <v>0</v>
      </c>
      <c r="AH20" s="142">
        <v>0</v>
      </c>
      <c r="AI20" s="142">
        <v>0</v>
      </c>
      <c r="AJ20" s="14" t="s">
        <v>2026</v>
      </c>
      <c r="AK20" s="142" t="s">
        <v>106</v>
      </c>
      <c r="AL20" s="80">
        <v>0.15</v>
      </c>
      <c r="AM20" s="1" t="s">
        <v>1266</v>
      </c>
      <c r="AN20" s="1" t="s">
        <v>164</v>
      </c>
      <c r="AO20" s="1" t="s">
        <v>164</v>
      </c>
      <c r="AP20" s="143">
        <v>0.15</v>
      </c>
      <c r="AQ20" s="1" t="s">
        <v>1266</v>
      </c>
      <c r="AR20" s="142">
        <v>5280</v>
      </c>
      <c r="AS20" s="142">
        <v>1760</v>
      </c>
      <c r="AT20" s="142">
        <v>1756</v>
      </c>
      <c r="AU20" s="4" t="s">
        <v>99</v>
      </c>
    </row>
    <row r="21" spans="1:47" x14ac:dyDescent="0.2">
      <c r="A21" s="174"/>
      <c r="B21" s="9" t="s">
        <v>20</v>
      </c>
      <c r="C21" s="1" t="s">
        <v>2025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2024</v>
      </c>
      <c r="O21" s="142" t="s">
        <v>106</v>
      </c>
      <c r="P21" s="80">
        <v>1</v>
      </c>
      <c r="Q21" s="1" t="s">
        <v>452</v>
      </c>
      <c r="R21" s="80">
        <v>0</v>
      </c>
      <c r="S21" s="1" t="s">
        <v>163</v>
      </c>
      <c r="T21" s="143">
        <v>0.5</v>
      </c>
      <c r="U21" s="1" t="s">
        <v>1108</v>
      </c>
      <c r="V21" s="142">
        <v>1780</v>
      </c>
      <c r="W21" s="142">
        <v>1780</v>
      </c>
      <c r="X21" s="142">
        <v>1780</v>
      </c>
      <c r="Y21" s="14" t="s">
        <v>2023</v>
      </c>
      <c r="Z21" s="142" t="s">
        <v>106</v>
      </c>
      <c r="AA21" s="80">
        <v>0</v>
      </c>
      <c r="AB21" s="1" t="s">
        <v>218</v>
      </c>
      <c r="AC21" s="80">
        <v>1</v>
      </c>
      <c r="AD21" s="1" t="s">
        <v>516</v>
      </c>
      <c r="AE21" s="143">
        <v>0.5</v>
      </c>
      <c r="AF21" s="1" t="s">
        <v>511</v>
      </c>
      <c r="AG21" s="142">
        <v>11108</v>
      </c>
      <c r="AH21" s="142">
        <v>2221.6</v>
      </c>
      <c r="AI21" s="142">
        <v>2220</v>
      </c>
      <c r="AJ21" s="14" t="s">
        <v>2022</v>
      </c>
      <c r="AK21" s="142" t="s">
        <v>106</v>
      </c>
      <c r="AL21" s="80">
        <v>0.66669999999999996</v>
      </c>
      <c r="AM21" s="1" t="s">
        <v>1129</v>
      </c>
      <c r="AN21" s="80">
        <v>1</v>
      </c>
      <c r="AO21" s="1" t="s">
        <v>516</v>
      </c>
      <c r="AP21" s="143">
        <v>0.75</v>
      </c>
      <c r="AQ21" s="1" t="s">
        <v>1261</v>
      </c>
      <c r="AR21" s="142">
        <v>28996</v>
      </c>
      <c r="AS21" s="142">
        <v>1933.07</v>
      </c>
      <c r="AT21" s="142">
        <v>1744</v>
      </c>
      <c r="AU21" s="4" t="s">
        <v>93</v>
      </c>
    </row>
    <row r="22" spans="1:47" x14ac:dyDescent="0.2">
      <c r="A22" s="174"/>
      <c r="B22" s="9" t="s">
        <v>21</v>
      </c>
      <c r="C22" s="1" t="s">
        <v>2021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1926</v>
      </c>
      <c r="L22" s="142">
        <v>1926</v>
      </c>
      <c r="M22" s="142">
        <v>1926</v>
      </c>
      <c r="N22" s="14" t="s">
        <v>2020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3597</v>
      </c>
      <c r="W22" s="142">
        <v>1798.5</v>
      </c>
      <c r="X22" s="142">
        <v>1798.5</v>
      </c>
      <c r="Y22" s="14" t="s">
        <v>2019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18699</v>
      </c>
      <c r="AH22" s="142">
        <v>1869.9</v>
      </c>
      <c r="AI22" s="142">
        <v>1867.5</v>
      </c>
      <c r="AJ22" s="14" t="s">
        <v>2018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37005</v>
      </c>
      <c r="AS22" s="142">
        <v>1850.25</v>
      </c>
      <c r="AT22" s="142">
        <v>1838.5</v>
      </c>
      <c r="AU22" s="4" t="s">
        <v>93</v>
      </c>
    </row>
    <row r="23" spans="1:47" x14ac:dyDescent="0.2">
      <c r="A23" s="174"/>
      <c r="B23" s="9" t="s">
        <v>26</v>
      </c>
      <c r="C23" s="1" t="s">
        <v>2017</v>
      </c>
      <c r="D23" s="142" t="s">
        <v>106</v>
      </c>
      <c r="E23" s="80">
        <v>0</v>
      </c>
      <c r="F23" s="1" t="s">
        <v>169</v>
      </c>
      <c r="G23" s="80">
        <v>1</v>
      </c>
      <c r="H23" s="1" t="s">
        <v>452</v>
      </c>
      <c r="I23" s="143">
        <v>1</v>
      </c>
      <c r="J23" s="1" t="s">
        <v>452</v>
      </c>
      <c r="K23" s="142">
        <v>204805</v>
      </c>
      <c r="L23" s="142">
        <v>204805</v>
      </c>
      <c r="M23" s="142">
        <v>204805</v>
      </c>
      <c r="N23" s="14" t="s">
        <v>2016</v>
      </c>
      <c r="O23" s="142" t="s">
        <v>106</v>
      </c>
      <c r="P23" s="80">
        <v>1</v>
      </c>
      <c r="Q23" s="1" t="s">
        <v>452</v>
      </c>
      <c r="R23" s="80">
        <v>0.33329999999999999</v>
      </c>
      <c r="S23" s="1" t="s">
        <v>932</v>
      </c>
      <c r="T23" s="143">
        <v>0.5</v>
      </c>
      <c r="U23" s="1" t="s">
        <v>1113</v>
      </c>
      <c r="V23" s="142">
        <v>131505</v>
      </c>
      <c r="W23" s="142">
        <v>65752.5</v>
      </c>
      <c r="X23" s="142">
        <v>65752.5</v>
      </c>
      <c r="Y23" s="14" t="s">
        <v>2015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2014</v>
      </c>
      <c r="AK23" s="142" t="s">
        <v>106</v>
      </c>
      <c r="AL23" s="80">
        <v>0.46150000000000002</v>
      </c>
      <c r="AM23" s="1" t="s">
        <v>1251</v>
      </c>
      <c r="AN23" s="80">
        <v>0</v>
      </c>
      <c r="AO23" s="1" t="s">
        <v>1250</v>
      </c>
      <c r="AP23" s="143">
        <v>0.15</v>
      </c>
      <c r="AQ23" s="1" t="s">
        <v>1244</v>
      </c>
      <c r="AR23" s="142">
        <v>10475</v>
      </c>
      <c r="AS23" s="142">
        <v>1745.83</v>
      </c>
      <c r="AT23" s="142">
        <v>1747</v>
      </c>
      <c r="AU23" s="4" t="s">
        <v>99</v>
      </c>
    </row>
    <row r="24" spans="1:47" x14ac:dyDescent="0.2">
      <c r="A24" s="174"/>
      <c r="B24" s="9" t="s">
        <v>27</v>
      </c>
      <c r="C24" s="1" t="s">
        <v>2013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2012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1775</v>
      </c>
      <c r="W24" s="142">
        <v>1775</v>
      </c>
      <c r="X24" s="142">
        <v>1775</v>
      </c>
      <c r="Y24" s="14" t="s">
        <v>2011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2010</v>
      </c>
      <c r="AK24" s="142" t="s">
        <v>106</v>
      </c>
      <c r="AL24" s="80">
        <v>0.15</v>
      </c>
      <c r="AM24" s="1" t="s">
        <v>1244</v>
      </c>
      <c r="AN24" s="1" t="s">
        <v>164</v>
      </c>
      <c r="AO24" s="1" t="s">
        <v>164</v>
      </c>
      <c r="AP24" s="143">
        <v>0.15</v>
      </c>
      <c r="AQ24" s="1" t="s">
        <v>1244</v>
      </c>
      <c r="AR24" s="142">
        <v>10584</v>
      </c>
      <c r="AS24" s="142">
        <v>1764</v>
      </c>
      <c r="AT24" s="142">
        <v>1769</v>
      </c>
      <c r="AU24" s="4" t="s">
        <v>99</v>
      </c>
    </row>
    <row r="25" spans="1:47" x14ac:dyDescent="0.2">
      <c r="A25" s="174"/>
      <c r="B25" s="9" t="s">
        <v>28</v>
      </c>
      <c r="C25" s="1" t="s">
        <v>2009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2012</v>
      </c>
      <c r="L25" s="142">
        <v>2012</v>
      </c>
      <c r="M25" s="142">
        <v>2012</v>
      </c>
      <c r="N25" s="14" t="s">
        <v>2008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4090</v>
      </c>
      <c r="W25" s="142">
        <v>2045</v>
      </c>
      <c r="X25" s="142">
        <v>2045</v>
      </c>
      <c r="Y25" s="14" t="s">
        <v>2007</v>
      </c>
      <c r="Z25" s="142" t="s">
        <v>106</v>
      </c>
      <c r="AA25" s="80">
        <v>0.2</v>
      </c>
      <c r="AB25" s="1" t="s">
        <v>1049</v>
      </c>
      <c r="AC25" s="80">
        <v>1</v>
      </c>
      <c r="AD25" s="1" t="s">
        <v>516</v>
      </c>
      <c r="AE25" s="143">
        <v>0.6</v>
      </c>
      <c r="AF25" s="1" t="s">
        <v>963</v>
      </c>
      <c r="AG25" s="142">
        <v>10704</v>
      </c>
      <c r="AH25" s="142">
        <v>1784</v>
      </c>
      <c r="AI25" s="142">
        <v>1784.5</v>
      </c>
      <c r="AJ25" s="14" t="s">
        <v>2006</v>
      </c>
      <c r="AK25" s="142" t="s">
        <v>106</v>
      </c>
      <c r="AL25" s="80">
        <v>0.2</v>
      </c>
      <c r="AM25" s="1" t="s">
        <v>930</v>
      </c>
      <c r="AN25" s="80">
        <v>1</v>
      </c>
      <c r="AO25" s="1" t="s">
        <v>529</v>
      </c>
      <c r="AP25" s="143">
        <v>0.6</v>
      </c>
      <c r="AQ25" s="1" t="s">
        <v>1239</v>
      </c>
      <c r="AR25" s="142">
        <v>21623</v>
      </c>
      <c r="AS25" s="142">
        <v>1801.92</v>
      </c>
      <c r="AT25" s="142">
        <v>1800</v>
      </c>
    </row>
    <row r="26" spans="1:47" x14ac:dyDescent="0.2">
      <c r="A26" s="174"/>
      <c r="B26" s="9" t="s">
        <v>112</v>
      </c>
      <c r="C26" s="1" t="s">
        <v>2005</v>
      </c>
      <c r="D26" s="142" t="s">
        <v>106</v>
      </c>
      <c r="E26" s="80">
        <v>0</v>
      </c>
      <c r="F26" s="1" t="s">
        <v>169</v>
      </c>
      <c r="G26" s="80">
        <v>1</v>
      </c>
      <c r="H26" s="1" t="s">
        <v>452</v>
      </c>
      <c r="I26" s="143">
        <v>1</v>
      </c>
      <c r="J26" s="1" t="s">
        <v>452</v>
      </c>
      <c r="K26" s="142">
        <v>2817</v>
      </c>
      <c r="L26" s="142">
        <v>2817</v>
      </c>
      <c r="M26" s="142">
        <v>2817</v>
      </c>
      <c r="N26" s="14" t="s">
        <v>2004</v>
      </c>
      <c r="O26" s="142" t="s">
        <v>106</v>
      </c>
      <c r="P26" s="80">
        <v>0</v>
      </c>
      <c r="Q26" s="1" t="s">
        <v>169</v>
      </c>
      <c r="R26" s="80">
        <v>1</v>
      </c>
      <c r="S26" s="1" t="s">
        <v>1073</v>
      </c>
      <c r="T26" s="143">
        <v>1</v>
      </c>
      <c r="U26" s="1" t="s">
        <v>1073</v>
      </c>
      <c r="V26" s="142">
        <v>5254</v>
      </c>
      <c r="W26" s="142">
        <v>2627</v>
      </c>
      <c r="X26" s="142">
        <v>2627</v>
      </c>
      <c r="Y26" s="14" t="s">
        <v>2003</v>
      </c>
      <c r="Z26" s="142" t="s">
        <v>106</v>
      </c>
      <c r="AA26" s="80">
        <v>0.2</v>
      </c>
      <c r="AB26" s="1" t="s">
        <v>1049</v>
      </c>
      <c r="AC26" s="80">
        <v>0</v>
      </c>
      <c r="AD26" s="1" t="s">
        <v>218</v>
      </c>
      <c r="AE26" s="143">
        <v>0.1</v>
      </c>
      <c r="AF26" s="1" t="s">
        <v>1235</v>
      </c>
      <c r="AG26" s="142">
        <v>1798</v>
      </c>
      <c r="AH26" s="142">
        <v>1798</v>
      </c>
      <c r="AI26" s="142">
        <v>1798</v>
      </c>
      <c r="AJ26" s="14" t="s">
        <v>2002</v>
      </c>
      <c r="AK26" s="142" t="s">
        <v>106</v>
      </c>
      <c r="AL26" s="80">
        <v>0.2</v>
      </c>
      <c r="AM26" s="1" t="s">
        <v>930</v>
      </c>
      <c r="AN26" s="80">
        <v>0</v>
      </c>
      <c r="AO26" s="1" t="s">
        <v>213</v>
      </c>
      <c r="AP26" s="143">
        <v>0.1</v>
      </c>
      <c r="AQ26" s="1" t="s">
        <v>1233</v>
      </c>
      <c r="AR26" s="142">
        <v>3596</v>
      </c>
      <c r="AS26" s="142">
        <v>1798</v>
      </c>
      <c r="AT26" s="142">
        <v>1798</v>
      </c>
    </row>
    <row r="27" spans="1:47" x14ac:dyDescent="0.2">
      <c r="A27" s="174"/>
      <c r="B27" s="9" t="s">
        <v>29</v>
      </c>
      <c r="C27" s="1" t="s">
        <v>2001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2000</v>
      </c>
      <c r="O27" s="142" t="s">
        <v>106</v>
      </c>
      <c r="P27" s="80">
        <v>1</v>
      </c>
      <c r="Q27" s="1" t="s">
        <v>452</v>
      </c>
      <c r="R27" s="80">
        <v>0</v>
      </c>
      <c r="S27" s="1" t="s">
        <v>939</v>
      </c>
      <c r="T27" s="143">
        <v>0.33329999999999999</v>
      </c>
      <c r="U27" s="1" t="s">
        <v>932</v>
      </c>
      <c r="V27" s="142">
        <v>1803</v>
      </c>
      <c r="W27" s="142">
        <v>1803</v>
      </c>
      <c r="X27" s="142">
        <v>1803</v>
      </c>
      <c r="Y27" s="14" t="s">
        <v>1999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1998</v>
      </c>
      <c r="AK27" s="142" t="s">
        <v>106</v>
      </c>
      <c r="AL27" s="80">
        <v>1</v>
      </c>
      <c r="AM27" s="1" t="s">
        <v>452</v>
      </c>
      <c r="AN27" s="80">
        <v>0</v>
      </c>
      <c r="AO27" s="1" t="s">
        <v>939</v>
      </c>
      <c r="AP27" s="143">
        <v>0.33329999999999999</v>
      </c>
      <c r="AQ27" s="1" t="s">
        <v>932</v>
      </c>
      <c r="AR27" s="142">
        <v>1770</v>
      </c>
      <c r="AS27" s="142">
        <v>1770</v>
      </c>
      <c r="AT27" s="142">
        <v>1770</v>
      </c>
      <c r="AU27" s="4" t="s">
        <v>99</v>
      </c>
    </row>
    <row r="28" spans="1:47" x14ac:dyDescent="0.2">
      <c r="A28" s="174"/>
      <c r="B28" s="9" t="s">
        <v>30</v>
      </c>
      <c r="C28" s="1" t="s">
        <v>1997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1996</v>
      </c>
      <c r="O28" s="142" t="s">
        <v>106</v>
      </c>
      <c r="P28" s="80">
        <v>0.33329999999999999</v>
      </c>
      <c r="Q28" s="1" t="s">
        <v>932</v>
      </c>
      <c r="R28" s="1" t="s">
        <v>164</v>
      </c>
      <c r="S28" s="1" t="s">
        <v>164</v>
      </c>
      <c r="T28" s="143">
        <v>0.33329999999999999</v>
      </c>
      <c r="U28" s="1" t="s">
        <v>932</v>
      </c>
      <c r="V28" s="142">
        <v>1767</v>
      </c>
      <c r="W28" s="142">
        <v>1767</v>
      </c>
      <c r="X28" s="142">
        <v>1767</v>
      </c>
      <c r="Y28" s="14" t="s">
        <v>1995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1994</v>
      </c>
      <c r="AK28" s="142" t="s">
        <v>106</v>
      </c>
      <c r="AL28" s="80">
        <v>0.33329999999999999</v>
      </c>
      <c r="AM28" s="1" t="s">
        <v>932</v>
      </c>
      <c r="AN28" s="1" t="s">
        <v>164</v>
      </c>
      <c r="AO28" s="1" t="s">
        <v>164</v>
      </c>
      <c r="AP28" s="143">
        <v>0.33329999999999999</v>
      </c>
      <c r="AQ28" s="1" t="s">
        <v>932</v>
      </c>
      <c r="AR28" s="142">
        <v>1706</v>
      </c>
      <c r="AS28" s="142">
        <v>1706</v>
      </c>
      <c r="AT28" s="142">
        <v>1706</v>
      </c>
      <c r="AU28" s="4" t="s">
        <v>99</v>
      </c>
    </row>
    <row r="29" spans="1:47" x14ac:dyDescent="0.2">
      <c r="A29" s="174"/>
      <c r="B29" s="9" t="s">
        <v>31</v>
      </c>
      <c r="C29" s="1" t="s">
        <v>1993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2046</v>
      </c>
      <c r="L29" s="142">
        <v>2046</v>
      </c>
      <c r="M29" s="142">
        <v>2046</v>
      </c>
      <c r="N29" s="14" t="s">
        <v>1992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1811</v>
      </c>
      <c r="W29" s="142">
        <v>1811</v>
      </c>
      <c r="X29" s="142">
        <v>1811</v>
      </c>
      <c r="Y29" s="14" t="s">
        <v>1991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17204</v>
      </c>
      <c r="AH29" s="142">
        <v>1720.4</v>
      </c>
      <c r="AI29" s="142">
        <v>1712</v>
      </c>
      <c r="AJ29" s="14" t="s">
        <v>1990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17348</v>
      </c>
      <c r="AS29" s="142">
        <v>1734.8</v>
      </c>
      <c r="AT29" s="142">
        <v>1725</v>
      </c>
    </row>
    <row r="30" spans="1:47" x14ac:dyDescent="0.2">
      <c r="A30" s="174"/>
      <c r="B30" s="9" t="s">
        <v>32</v>
      </c>
      <c r="C30" s="1" t="s">
        <v>1989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2210</v>
      </c>
      <c r="L30" s="142">
        <v>2210</v>
      </c>
      <c r="M30" s="142">
        <v>2210</v>
      </c>
      <c r="N30" s="14" t="s">
        <v>1988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2389</v>
      </c>
      <c r="W30" s="142">
        <v>2389</v>
      </c>
      <c r="X30" s="142">
        <v>2389</v>
      </c>
      <c r="Y30" s="14" t="s">
        <v>1987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17079</v>
      </c>
      <c r="AH30" s="142">
        <v>1707.9</v>
      </c>
      <c r="AI30" s="142">
        <v>1711.5</v>
      </c>
      <c r="AJ30" s="14" t="s">
        <v>1986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17362</v>
      </c>
      <c r="AS30" s="142">
        <v>1736.2</v>
      </c>
      <c r="AT30" s="142">
        <v>1727.5</v>
      </c>
    </row>
    <row r="31" spans="1:47" x14ac:dyDescent="0.2">
      <c r="A31" s="174"/>
      <c r="B31" s="9" t="s">
        <v>35</v>
      </c>
      <c r="C31" s="1" t="s">
        <v>1985</v>
      </c>
      <c r="D31" s="142" t="s">
        <v>106</v>
      </c>
      <c r="E31" s="80">
        <v>0</v>
      </c>
      <c r="F31" s="1" t="s">
        <v>169</v>
      </c>
      <c r="G31" s="80">
        <v>1</v>
      </c>
      <c r="H31" s="1" t="s">
        <v>452</v>
      </c>
      <c r="I31" s="143">
        <v>1</v>
      </c>
      <c r="J31" s="1" t="s">
        <v>452</v>
      </c>
      <c r="K31" s="142">
        <v>3851</v>
      </c>
      <c r="L31" s="142">
        <v>3851</v>
      </c>
      <c r="M31" s="142">
        <v>3851</v>
      </c>
      <c r="N31" s="14" t="s">
        <v>1984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3541</v>
      </c>
      <c r="W31" s="142">
        <v>3541</v>
      </c>
      <c r="X31" s="142">
        <v>3541</v>
      </c>
      <c r="Y31" s="14" t="s">
        <v>1983</v>
      </c>
      <c r="Z31" s="142" t="s">
        <v>106</v>
      </c>
      <c r="AA31" s="80">
        <v>0.8</v>
      </c>
      <c r="AB31" s="1" t="s">
        <v>506</v>
      </c>
      <c r="AC31" s="80">
        <v>1</v>
      </c>
      <c r="AD31" s="1" t="s">
        <v>516</v>
      </c>
      <c r="AE31" s="143">
        <v>0.9</v>
      </c>
      <c r="AF31" s="1" t="s">
        <v>951</v>
      </c>
      <c r="AG31" s="142">
        <v>17444</v>
      </c>
      <c r="AH31" s="142">
        <v>1938.22</v>
      </c>
      <c r="AI31" s="142">
        <v>1919</v>
      </c>
      <c r="AJ31" s="14" t="s">
        <v>1982</v>
      </c>
      <c r="AK31" s="142" t="s">
        <v>106</v>
      </c>
      <c r="AL31" s="80">
        <v>0.8</v>
      </c>
      <c r="AM31" s="1" t="s">
        <v>506</v>
      </c>
      <c r="AN31" s="80">
        <v>1</v>
      </c>
      <c r="AO31" s="1" t="s">
        <v>516</v>
      </c>
      <c r="AP31" s="143">
        <v>0.9</v>
      </c>
      <c r="AQ31" s="1" t="s">
        <v>951</v>
      </c>
      <c r="AR31" s="142">
        <v>18372</v>
      </c>
      <c r="AS31" s="142">
        <v>2041.33</v>
      </c>
      <c r="AT31" s="142">
        <v>2034</v>
      </c>
      <c r="AU31" s="4" t="s">
        <v>102</v>
      </c>
    </row>
    <row r="32" spans="1:47" x14ac:dyDescent="0.2">
      <c r="A32" s="174"/>
      <c r="B32" s="9" t="s">
        <v>36</v>
      </c>
      <c r="C32" s="1" t="s">
        <v>1981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1972</v>
      </c>
      <c r="L32" s="142">
        <v>1972</v>
      </c>
      <c r="M32" s="142">
        <v>1972</v>
      </c>
      <c r="N32" s="14" t="s">
        <v>1980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2002</v>
      </c>
      <c r="W32" s="142">
        <v>2002</v>
      </c>
      <c r="X32" s="142">
        <v>2002</v>
      </c>
      <c r="Y32" s="14" t="s">
        <v>1979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17192</v>
      </c>
      <c r="AH32" s="142">
        <v>1719.2</v>
      </c>
      <c r="AI32" s="142">
        <v>1717</v>
      </c>
      <c r="AJ32" s="14" t="s">
        <v>1978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17537</v>
      </c>
      <c r="AS32" s="142">
        <v>1753.7</v>
      </c>
      <c r="AT32" s="142">
        <v>1752.5</v>
      </c>
      <c r="AU32" s="4" t="s">
        <v>102</v>
      </c>
    </row>
    <row r="33" spans="1:47" x14ac:dyDescent="0.2">
      <c r="A33" s="174"/>
      <c r="B33" s="9" t="s">
        <v>37</v>
      </c>
      <c r="C33" s="1" t="s">
        <v>1977</v>
      </c>
      <c r="D33" s="142" t="s">
        <v>106</v>
      </c>
      <c r="E33" s="80">
        <v>0</v>
      </c>
      <c r="F33" s="1" t="s">
        <v>169</v>
      </c>
      <c r="G33" s="80">
        <v>1</v>
      </c>
      <c r="H33" s="1" t="s">
        <v>452</v>
      </c>
      <c r="I33" s="143">
        <v>1</v>
      </c>
      <c r="J33" s="1" t="s">
        <v>452</v>
      </c>
      <c r="K33" s="142">
        <v>2603</v>
      </c>
      <c r="L33" s="142">
        <v>2603</v>
      </c>
      <c r="M33" s="142">
        <v>2603</v>
      </c>
      <c r="N33" s="14" t="s">
        <v>1976</v>
      </c>
      <c r="O33" s="142" t="s">
        <v>106</v>
      </c>
      <c r="P33" s="80">
        <v>0</v>
      </c>
      <c r="Q33" s="1" t="s">
        <v>169</v>
      </c>
      <c r="R33" s="80">
        <v>1</v>
      </c>
      <c r="S33" s="1" t="s">
        <v>452</v>
      </c>
      <c r="T33" s="143">
        <v>1</v>
      </c>
      <c r="U33" s="1" t="s">
        <v>452</v>
      </c>
      <c r="V33" s="142">
        <v>1768</v>
      </c>
      <c r="W33" s="142">
        <v>1768</v>
      </c>
      <c r="X33" s="142">
        <v>1768</v>
      </c>
      <c r="Y33" s="14" t="s">
        <v>1975</v>
      </c>
      <c r="Z33" s="142" t="s">
        <v>106</v>
      </c>
      <c r="AA33" s="80">
        <v>0.8</v>
      </c>
      <c r="AB33" s="1" t="s">
        <v>506</v>
      </c>
      <c r="AC33" s="80">
        <v>1</v>
      </c>
      <c r="AD33" s="1" t="s">
        <v>516</v>
      </c>
      <c r="AE33" s="143">
        <v>0.9</v>
      </c>
      <c r="AF33" s="1" t="s">
        <v>951</v>
      </c>
      <c r="AG33" s="142">
        <v>19199</v>
      </c>
      <c r="AH33" s="142">
        <v>2133.2199999999998</v>
      </c>
      <c r="AI33" s="142">
        <v>2127</v>
      </c>
      <c r="AJ33" s="14" t="s">
        <v>1974</v>
      </c>
      <c r="AK33" s="142" t="s">
        <v>106</v>
      </c>
      <c r="AL33" s="80">
        <v>0.8</v>
      </c>
      <c r="AM33" s="1" t="s">
        <v>506</v>
      </c>
      <c r="AN33" s="80">
        <v>1</v>
      </c>
      <c r="AO33" s="1" t="s">
        <v>516</v>
      </c>
      <c r="AP33" s="143">
        <v>0.9</v>
      </c>
      <c r="AQ33" s="1" t="s">
        <v>951</v>
      </c>
      <c r="AR33" s="142">
        <v>17322</v>
      </c>
      <c r="AS33" s="142">
        <v>1924.67</v>
      </c>
      <c r="AT33" s="142">
        <v>1751</v>
      </c>
      <c r="AU33" s="4" t="s">
        <v>102</v>
      </c>
    </row>
    <row r="34" spans="1:47" x14ac:dyDescent="0.2">
      <c r="A34" s="174"/>
      <c r="B34" s="9" t="s">
        <v>38</v>
      </c>
      <c r="C34" s="1" t="s">
        <v>1973</v>
      </c>
      <c r="D34" s="142" t="s">
        <v>106</v>
      </c>
      <c r="E34" s="80">
        <v>0</v>
      </c>
      <c r="F34" s="1" t="s">
        <v>163</v>
      </c>
      <c r="G34" s="1" t="s">
        <v>164</v>
      </c>
      <c r="H34" s="1" t="s">
        <v>164</v>
      </c>
      <c r="I34" s="143">
        <v>0</v>
      </c>
      <c r="J34" s="1" t="s">
        <v>163</v>
      </c>
      <c r="K34" s="142">
        <v>0</v>
      </c>
      <c r="L34" s="142">
        <v>0</v>
      </c>
      <c r="M34" s="142">
        <v>0</v>
      </c>
      <c r="N34" s="14" t="s">
        <v>1972</v>
      </c>
      <c r="O34" s="142" t="s">
        <v>106</v>
      </c>
      <c r="P34" s="80">
        <v>0</v>
      </c>
      <c r="Q34" s="1" t="s">
        <v>163</v>
      </c>
      <c r="R34" s="1" t="s">
        <v>164</v>
      </c>
      <c r="S34" s="1" t="s">
        <v>164</v>
      </c>
      <c r="T34" s="143">
        <v>0</v>
      </c>
      <c r="U34" s="1" t="s">
        <v>163</v>
      </c>
      <c r="V34" s="142">
        <v>0</v>
      </c>
      <c r="W34" s="142">
        <v>0</v>
      </c>
      <c r="X34" s="142">
        <v>0</v>
      </c>
      <c r="Y34" s="14" t="s">
        <v>1971</v>
      </c>
      <c r="Z34" s="142" t="s">
        <v>106</v>
      </c>
      <c r="AA34" s="80">
        <v>0.6</v>
      </c>
      <c r="AB34" s="1" t="s">
        <v>963</v>
      </c>
      <c r="AC34" s="1" t="s">
        <v>164</v>
      </c>
      <c r="AD34" s="1" t="s">
        <v>164</v>
      </c>
      <c r="AE34" s="143">
        <v>0.6</v>
      </c>
      <c r="AF34" s="1" t="s">
        <v>963</v>
      </c>
      <c r="AG34" s="142">
        <v>11024</v>
      </c>
      <c r="AH34" s="142">
        <v>1837.33</v>
      </c>
      <c r="AI34" s="142">
        <v>1758.5</v>
      </c>
      <c r="AJ34" s="14" t="s">
        <v>1970</v>
      </c>
      <c r="AK34" s="142" t="s">
        <v>106</v>
      </c>
      <c r="AL34" s="80">
        <v>0.6</v>
      </c>
      <c r="AM34" s="1" t="s">
        <v>963</v>
      </c>
      <c r="AN34" s="1" t="s">
        <v>164</v>
      </c>
      <c r="AO34" s="1" t="s">
        <v>164</v>
      </c>
      <c r="AP34" s="143">
        <v>0.6</v>
      </c>
      <c r="AQ34" s="1" t="s">
        <v>963</v>
      </c>
      <c r="AR34" s="142">
        <v>10504</v>
      </c>
      <c r="AS34" s="142">
        <v>1750.67</v>
      </c>
      <c r="AT34" s="142">
        <v>1754</v>
      </c>
      <c r="AU34" s="4" t="s">
        <v>102</v>
      </c>
    </row>
    <row r="35" spans="1:47" x14ac:dyDescent="0.2">
      <c r="A35" s="174"/>
      <c r="B35" s="9" t="s">
        <v>39</v>
      </c>
      <c r="C35" s="1" t="s">
        <v>1969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1770</v>
      </c>
      <c r="L35" s="142">
        <v>1770</v>
      </c>
      <c r="M35" s="142">
        <v>1770</v>
      </c>
      <c r="N35" s="14" t="s">
        <v>1968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1798</v>
      </c>
      <c r="W35" s="142">
        <v>1798</v>
      </c>
      <c r="X35" s="142">
        <v>1798</v>
      </c>
      <c r="Y35" s="14" t="s">
        <v>1967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17193</v>
      </c>
      <c r="AH35" s="142">
        <v>1719.3</v>
      </c>
      <c r="AI35" s="142">
        <v>1720</v>
      </c>
      <c r="AJ35" s="14" t="s">
        <v>1966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17243</v>
      </c>
      <c r="AS35" s="142">
        <v>1724.3</v>
      </c>
      <c r="AT35" s="142">
        <v>1727</v>
      </c>
      <c r="AU35" s="4" t="s">
        <v>102</v>
      </c>
    </row>
    <row r="36" spans="1:47" x14ac:dyDescent="0.2">
      <c r="A36" s="174"/>
      <c r="B36" s="9" t="s">
        <v>40</v>
      </c>
      <c r="C36" s="1" t="s">
        <v>1965</v>
      </c>
      <c r="D36" s="142" t="s">
        <v>106</v>
      </c>
      <c r="E36" s="80">
        <v>0</v>
      </c>
      <c r="F36" s="1" t="s">
        <v>169</v>
      </c>
      <c r="G36" s="80">
        <v>1</v>
      </c>
      <c r="H36" s="1" t="s">
        <v>452</v>
      </c>
      <c r="I36" s="143">
        <v>1</v>
      </c>
      <c r="J36" s="1" t="s">
        <v>452</v>
      </c>
      <c r="K36" s="142">
        <v>1797</v>
      </c>
      <c r="L36" s="142">
        <v>1797</v>
      </c>
      <c r="M36" s="142">
        <v>1797</v>
      </c>
      <c r="N36" s="14" t="s">
        <v>1964</v>
      </c>
      <c r="O36" s="142" t="s">
        <v>106</v>
      </c>
      <c r="P36" s="80">
        <v>0</v>
      </c>
      <c r="Q36" s="1" t="s">
        <v>169</v>
      </c>
      <c r="R36" s="80">
        <v>1</v>
      </c>
      <c r="S36" s="1" t="s">
        <v>452</v>
      </c>
      <c r="T36" s="143">
        <v>1</v>
      </c>
      <c r="U36" s="1" t="s">
        <v>452</v>
      </c>
      <c r="V36" s="142">
        <v>1875</v>
      </c>
      <c r="W36" s="142">
        <v>1875</v>
      </c>
      <c r="X36" s="142">
        <v>1875</v>
      </c>
      <c r="Y36" s="14" t="s">
        <v>1963</v>
      </c>
      <c r="Z36" s="142" t="s">
        <v>106</v>
      </c>
      <c r="AA36" s="80">
        <v>1</v>
      </c>
      <c r="AB36" s="1" t="s">
        <v>516</v>
      </c>
      <c r="AC36" s="80">
        <v>1</v>
      </c>
      <c r="AD36" s="1" t="s">
        <v>516</v>
      </c>
      <c r="AE36" s="143">
        <v>1</v>
      </c>
      <c r="AF36" s="1" t="s">
        <v>529</v>
      </c>
      <c r="AG36" s="142">
        <v>17492</v>
      </c>
      <c r="AH36" s="142">
        <v>1749.2</v>
      </c>
      <c r="AI36" s="142">
        <v>1748.5</v>
      </c>
      <c r="AJ36" s="14" t="s">
        <v>1962</v>
      </c>
      <c r="AK36" s="142" t="s">
        <v>106</v>
      </c>
      <c r="AL36" s="80">
        <v>1</v>
      </c>
      <c r="AM36" s="1" t="s">
        <v>516</v>
      </c>
      <c r="AN36" s="80">
        <v>1</v>
      </c>
      <c r="AO36" s="1" t="s">
        <v>516</v>
      </c>
      <c r="AP36" s="143">
        <v>1</v>
      </c>
      <c r="AQ36" s="1" t="s">
        <v>529</v>
      </c>
      <c r="AR36" s="142">
        <v>18010</v>
      </c>
      <c r="AS36" s="142">
        <v>1801</v>
      </c>
      <c r="AT36" s="142">
        <v>1784</v>
      </c>
    </row>
    <row r="37" spans="1:47" x14ac:dyDescent="0.2">
      <c r="A37" s="174"/>
      <c r="B37" s="9" t="s">
        <v>41</v>
      </c>
      <c r="C37" s="1" t="s">
        <v>1961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1831</v>
      </c>
      <c r="L37" s="142">
        <v>1831</v>
      </c>
      <c r="M37" s="142">
        <v>1831</v>
      </c>
      <c r="N37" s="14" t="s">
        <v>1960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1806</v>
      </c>
      <c r="W37" s="142">
        <v>1806</v>
      </c>
      <c r="X37" s="142">
        <v>1806</v>
      </c>
      <c r="Y37" s="14" t="s">
        <v>1959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17562</v>
      </c>
      <c r="AH37" s="142">
        <v>1756.2</v>
      </c>
      <c r="AI37" s="142">
        <v>1761.5</v>
      </c>
      <c r="AJ37" s="14" t="s">
        <v>1958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17606</v>
      </c>
      <c r="AS37" s="142">
        <v>1760.6</v>
      </c>
      <c r="AT37" s="142">
        <v>1757</v>
      </c>
    </row>
    <row r="38" spans="1:47" x14ac:dyDescent="0.2">
      <c r="A38" s="174"/>
      <c r="B38" s="9" t="s">
        <v>42</v>
      </c>
      <c r="C38" s="1" t="s">
        <v>1957</v>
      </c>
      <c r="D38" s="142" t="s">
        <v>106</v>
      </c>
      <c r="E38" s="80">
        <v>0</v>
      </c>
      <c r="F38" s="1" t="s">
        <v>169</v>
      </c>
      <c r="G38" s="80">
        <v>0</v>
      </c>
      <c r="H38" s="1" t="s">
        <v>163</v>
      </c>
      <c r="I38" s="143">
        <v>0</v>
      </c>
      <c r="J38" s="1" t="s">
        <v>163</v>
      </c>
      <c r="K38" s="142">
        <v>0</v>
      </c>
      <c r="L38" s="142">
        <v>0</v>
      </c>
      <c r="M38" s="142">
        <v>0</v>
      </c>
      <c r="N38" s="14" t="s">
        <v>1956</v>
      </c>
      <c r="O38" s="142" t="s">
        <v>106</v>
      </c>
      <c r="P38" s="80">
        <v>0</v>
      </c>
      <c r="Q38" s="1" t="s">
        <v>169</v>
      </c>
      <c r="R38" s="80">
        <v>0</v>
      </c>
      <c r="S38" s="1" t="s">
        <v>163</v>
      </c>
      <c r="T38" s="143">
        <v>0</v>
      </c>
      <c r="U38" s="1" t="s">
        <v>163</v>
      </c>
      <c r="V38" s="142">
        <v>0</v>
      </c>
      <c r="W38" s="142">
        <v>0</v>
      </c>
      <c r="X38" s="142">
        <v>0</v>
      </c>
      <c r="Y38" s="14" t="s">
        <v>1955</v>
      </c>
      <c r="Z38" s="142" t="s">
        <v>106</v>
      </c>
      <c r="AA38" s="80">
        <v>0</v>
      </c>
      <c r="AB38" s="1" t="s">
        <v>218</v>
      </c>
      <c r="AC38" s="80">
        <v>0</v>
      </c>
      <c r="AD38" s="1" t="s">
        <v>218</v>
      </c>
      <c r="AE38" s="143">
        <v>0</v>
      </c>
      <c r="AF38" s="1" t="s">
        <v>213</v>
      </c>
      <c r="AG38" s="142">
        <v>0</v>
      </c>
      <c r="AH38" s="142">
        <v>0</v>
      </c>
      <c r="AI38" s="142">
        <v>0</v>
      </c>
      <c r="AJ38" s="14" t="s">
        <v>1954</v>
      </c>
      <c r="AK38" s="142" t="s">
        <v>106</v>
      </c>
      <c r="AL38" s="80">
        <v>0</v>
      </c>
      <c r="AM38" s="1" t="s">
        <v>218</v>
      </c>
      <c r="AN38" s="80">
        <v>0</v>
      </c>
      <c r="AO38" s="1" t="s">
        <v>218</v>
      </c>
      <c r="AP38" s="143">
        <v>0</v>
      </c>
      <c r="AQ38" s="1" t="s">
        <v>213</v>
      </c>
      <c r="AR38" s="142">
        <v>0</v>
      </c>
      <c r="AS38" s="142">
        <v>0</v>
      </c>
      <c r="AT38" s="142">
        <v>0</v>
      </c>
      <c r="AU38" s="4" t="s">
        <v>97</v>
      </c>
    </row>
    <row r="39" spans="1:47" x14ac:dyDescent="0.2">
      <c r="A39" s="174"/>
      <c r="B39" s="9" t="s">
        <v>43</v>
      </c>
      <c r="C39" s="1" t="s">
        <v>1953</v>
      </c>
      <c r="D39" s="142" t="s">
        <v>106</v>
      </c>
      <c r="E39" s="80">
        <v>0</v>
      </c>
      <c r="F39" s="1" t="s">
        <v>163</v>
      </c>
      <c r="G39" s="1" t="s">
        <v>164</v>
      </c>
      <c r="H39" s="1" t="s">
        <v>164</v>
      </c>
      <c r="I39" s="143">
        <v>0</v>
      </c>
      <c r="J39" s="1" t="s">
        <v>163</v>
      </c>
      <c r="K39" s="142">
        <v>0</v>
      </c>
      <c r="L39" s="142">
        <v>0</v>
      </c>
      <c r="M39" s="142">
        <v>0</v>
      </c>
      <c r="N39" s="14" t="s">
        <v>1952</v>
      </c>
      <c r="O39" s="142" t="s">
        <v>106</v>
      </c>
      <c r="P39" s="80">
        <v>0</v>
      </c>
      <c r="Q39" s="1" t="s">
        <v>163</v>
      </c>
      <c r="R39" s="1" t="s">
        <v>164</v>
      </c>
      <c r="S39" s="1" t="s">
        <v>164</v>
      </c>
      <c r="T39" s="143">
        <v>0</v>
      </c>
      <c r="U39" s="1" t="s">
        <v>163</v>
      </c>
      <c r="V39" s="142">
        <v>0</v>
      </c>
      <c r="W39" s="142">
        <v>0</v>
      </c>
      <c r="X39" s="142">
        <v>0</v>
      </c>
      <c r="Y39" s="14" t="s">
        <v>1951</v>
      </c>
      <c r="Z39" s="142" t="s">
        <v>106</v>
      </c>
      <c r="AA39" s="80">
        <v>0</v>
      </c>
      <c r="AB39" s="1" t="s">
        <v>213</v>
      </c>
      <c r="AC39" s="1" t="s">
        <v>164</v>
      </c>
      <c r="AD39" s="1" t="s">
        <v>164</v>
      </c>
      <c r="AE39" s="143">
        <v>0</v>
      </c>
      <c r="AF39" s="1" t="s">
        <v>213</v>
      </c>
      <c r="AG39" s="142">
        <v>0</v>
      </c>
      <c r="AH39" s="142">
        <v>0</v>
      </c>
      <c r="AI39" s="142">
        <v>0</v>
      </c>
      <c r="AJ39" s="14" t="s">
        <v>1950</v>
      </c>
      <c r="AK39" s="142" t="s">
        <v>106</v>
      </c>
      <c r="AL39" s="80">
        <v>0</v>
      </c>
      <c r="AM39" s="1" t="s">
        <v>213</v>
      </c>
      <c r="AN39" s="1" t="s">
        <v>164</v>
      </c>
      <c r="AO39" s="1" t="s">
        <v>164</v>
      </c>
      <c r="AP39" s="143">
        <v>0</v>
      </c>
      <c r="AQ39" s="1" t="s">
        <v>213</v>
      </c>
      <c r="AR39" s="142">
        <v>0</v>
      </c>
      <c r="AS39" s="142">
        <v>0</v>
      </c>
      <c r="AT39" s="142">
        <v>0</v>
      </c>
      <c r="AU39" s="4" t="s">
        <v>97</v>
      </c>
    </row>
    <row r="40" spans="1:47" x14ac:dyDescent="0.2">
      <c r="A40" s="174"/>
      <c r="B40" s="9" t="s">
        <v>44</v>
      </c>
      <c r="C40" s="1" t="s">
        <v>1949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1948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1947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1946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4"/>
      <c r="B41" s="9" t="s">
        <v>45</v>
      </c>
      <c r="C41" s="1" t="s">
        <v>1945</v>
      </c>
      <c r="D41" s="142" t="s">
        <v>106</v>
      </c>
      <c r="E41" s="80">
        <v>1</v>
      </c>
      <c r="F41" s="1" t="s">
        <v>452</v>
      </c>
      <c r="G41" s="1" t="s">
        <v>164</v>
      </c>
      <c r="H41" s="1" t="s">
        <v>164</v>
      </c>
      <c r="I41" s="143">
        <v>1</v>
      </c>
      <c r="J41" s="1" t="s">
        <v>452</v>
      </c>
      <c r="K41" s="142">
        <v>92210</v>
      </c>
      <c r="L41" s="142">
        <v>92210</v>
      </c>
      <c r="M41" s="142">
        <v>92210</v>
      </c>
      <c r="N41" s="14" t="s">
        <v>1944</v>
      </c>
      <c r="O41" s="142" t="s">
        <v>106</v>
      </c>
      <c r="P41" s="80">
        <v>1</v>
      </c>
      <c r="Q41" s="1" t="s">
        <v>1280</v>
      </c>
      <c r="R41" s="1" t="s">
        <v>164</v>
      </c>
      <c r="S41" s="1" t="s">
        <v>164</v>
      </c>
      <c r="T41" s="143">
        <v>1</v>
      </c>
      <c r="U41" s="1" t="s">
        <v>1280</v>
      </c>
      <c r="V41" s="142">
        <v>130970</v>
      </c>
      <c r="W41" s="142">
        <v>32742.5</v>
      </c>
      <c r="X41" s="142">
        <v>29929</v>
      </c>
      <c r="Y41" s="14" t="s">
        <v>1943</v>
      </c>
      <c r="Z41" s="142" t="s">
        <v>106</v>
      </c>
      <c r="AA41" s="80">
        <v>1</v>
      </c>
      <c r="AB41" s="1" t="s">
        <v>529</v>
      </c>
      <c r="AC41" s="1" t="s">
        <v>164</v>
      </c>
      <c r="AD41" s="1" t="s">
        <v>164</v>
      </c>
      <c r="AE41" s="143">
        <v>1</v>
      </c>
      <c r="AF41" s="1" t="s">
        <v>529</v>
      </c>
      <c r="AG41" s="142">
        <v>50598</v>
      </c>
      <c r="AH41" s="142">
        <v>5059.8</v>
      </c>
      <c r="AI41" s="142">
        <v>5391</v>
      </c>
      <c r="AJ41" s="14" t="s">
        <v>1942</v>
      </c>
      <c r="AK41" s="142" t="s">
        <v>106</v>
      </c>
      <c r="AL41" s="80">
        <v>1</v>
      </c>
      <c r="AM41" s="1" t="s">
        <v>1564</v>
      </c>
      <c r="AN41" s="1" t="s">
        <v>164</v>
      </c>
      <c r="AO41" s="1" t="s">
        <v>164</v>
      </c>
      <c r="AP41" s="143">
        <v>1</v>
      </c>
      <c r="AQ41" s="1" t="s">
        <v>1564</v>
      </c>
      <c r="AR41" s="142">
        <v>219356</v>
      </c>
      <c r="AS41" s="142">
        <v>5483.9</v>
      </c>
      <c r="AT41" s="142">
        <v>5686.5</v>
      </c>
      <c r="AU41" s="4" t="s">
        <v>94</v>
      </c>
    </row>
    <row r="42" spans="1:47" x14ac:dyDescent="0.2">
      <c r="A42" s="174"/>
      <c r="B42" s="9" t="s">
        <v>46</v>
      </c>
      <c r="C42" s="1" t="s">
        <v>1941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1940</v>
      </c>
      <c r="O42" s="142" t="s">
        <v>106</v>
      </c>
      <c r="P42" s="80">
        <v>0</v>
      </c>
      <c r="Q42" s="1" t="s">
        <v>939</v>
      </c>
      <c r="R42" s="80">
        <v>0</v>
      </c>
      <c r="S42" s="1" t="s">
        <v>163</v>
      </c>
      <c r="T42" s="143">
        <v>0</v>
      </c>
      <c r="U42" s="1" t="s">
        <v>1161</v>
      </c>
      <c r="V42" s="142">
        <v>0</v>
      </c>
      <c r="W42" s="142">
        <v>0</v>
      </c>
      <c r="X42" s="142">
        <v>0</v>
      </c>
      <c r="Y42" s="14" t="s">
        <v>1939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10725</v>
      </c>
      <c r="AH42" s="142">
        <v>2145</v>
      </c>
      <c r="AI42" s="142">
        <v>2152</v>
      </c>
      <c r="AJ42" s="14" t="s">
        <v>1938</v>
      </c>
      <c r="AK42" s="142" t="s">
        <v>106</v>
      </c>
      <c r="AL42" s="80">
        <v>0</v>
      </c>
      <c r="AM42" s="1" t="s">
        <v>1164</v>
      </c>
      <c r="AN42" s="80">
        <v>0</v>
      </c>
      <c r="AO42" s="1" t="s">
        <v>218</v>
      </c>
      <c r="AP42" s="143">
        <v>0</v>
      </c>
      <c r="AQ42" s="1" t="s">
        <v>1158</v>
      </c>
      <c r="AR42" s="142">
        <v>0</v>
      </c>
      <c r="AS42" s="142">
        <v>0</v>
      </c>
      <c r="AT42" s="142">
        <v>0</v>
      </c>
      <c r="AU42" s="4" t="s">
        <v>98</v>
      </c>
    </row>
    <row r="43" spans="1:47" x14ac:dyDescent="0.2">
      <c r="A43" s="174"/>
      <c r="B43" s="9" t="s">
        <v>47</v>
      </c>
      <c r="C43" s="1" t="s">
        <v>1937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1936</v>
      </c>
      <c r="O43" s="142" t="s">
        <v>106</v>
      </c>
      <c r="P43" s="80">
        <v>0</v>
      </c>
      <c r="Q43" s="1" t="s">
        <v>1161</v>
      </c>
      <c r="R43" s="1" t="s">
        <v>164</v>
      </c>
      <c r="S43" s="1" t="s">
        <v>164</v>
      </c>
      <c r="T43" s="143">
        <v>0</v>
      </c>
      <c r="U43" s="1" t="s">
        <v>1161</v>
      </c>
      <c r="V43" s="142">
        <v>0</v>
      </c>
      <c r="W43" s="142">
        <v>0</v>
      </c>
      <c r="X43" s="142">
        <v>0</v>
      </c>
      <c r="Y43" s="14" t="s">
        <v>1935</v>
      </c>
      <c r="Z43" s="142" t="s">
        <v>106</v>
      </c>
      <c r="AA43" s="80">
        <v>0.6</v>
      </c>
      <c r="AB43" s="1" t="s">
        <v>963</v>
      </c>
      <c r="AC43" s="1" t="s">
        <v>164</v>
      </c>
      <c r="AD43" s="1" t="s">
        <v>164</v>
      </c>
      <c r="AE43" s="143">
        <v>0.6</v>
      </c>
      <c r="AF43" s="1" t="s">
        <v>963</v>
      </c>
      <c r="AG43" s="142">
        <v>13063</v>
      </c>
      <c r="AH43" s="142">
        <v>2177.17</v>
      </c>
      <c r="AI43" s="142">
        <v>2171.5</v>
      </c>
      <c r="AJ43" s="14" t="s">
        <v>1934</v>
      </c>
      <c r="AK43" s="142" t="s">
        <v>106</v>
      </c>
      <c r="AL43" s="80">
        <v>0</v>
      </c>
      <c r="AM43" s="1" t="s">
        <v>1158</v>
      </c>
      <c r="AN43" s="1" t="s">
        <v>164</v>
      </c>
      <c r="AO43" s="1" t="s">
        <v>164</v>
      </c>
      <c r="AP43" s="143">
        <v>0</v>
      </c>
      <c r="AQ43" s="1" t="s">
        <v>1158</v>
      </c>
      <c r="AR43" s="142">
        <v>0</v>
      </c>
      <c r="AS43" s="142">
        <v>0</v>
      </c>
      <c r="AT43" s="142">
        <v>0</v>
      </c>
      <c r="AU43" s="4" t="s">
        <v>98</v>
      </c>
    </row>
    <row r="44" spans="1:47" x14ac:dyDescent="0.2">
      <c r="A44" s="174"/>
      <c r="B44" s="9" t="s">
        <v>48</v>
      </c>
      <c r="C44" s="1" t="s">
        <v>1933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1769</v>
      </c>
      <c r="L44" s="142">
        <v>1769</v>
      </c>
      <c r="M44" s="142">
        <v>1769</v>
      </c>
      <c r="N44" s="14" t="s">
        <v>1932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3640</v>
      </c>
      <c r="W44" s="142">
        <v>1820</v>
      </c>
      <c r="X44" s="142">
        <v>1820</v>
      </c>
      <c r="Y44" s="14" t="s">
        <v>1931</v>
      </c>
      <c r="Z44" s="142" t="s">
        <v>106</v>
      </c>
      <c r="AA44" s="80">
        <v>1</v>
      </c>
      <c r="AB44" s="1" t="s">
        <v>516</v>
      </c>
      <c r="AC44" s="80">
        <v>1</v>
      </c>
      <c r="AD44" s="1" t="s">
        <v>516</v>
      </c>
      <c r="AE44" s="143">
        <v>1</v>
      </c>
      <c r="AF44" s="1" t="s">
        <v>529</v>
      </c>
      <c r="AG44" s="142">
        <v>17206</v>
      </c>
      <c r="AH44" s="142">
        <v>1720.6</v>
      </c>
      <c r="AI44" s="142">
        <v>1720</v>
      </c>
      <c r="AJ44" s="14" t="s">
        <v>1930</v>
      </c>
      <c r="AK44" s="142" t="s">
        <v>106</v>
      </c>
      <c r="AL44" s="80">
        <v>1</v>
      </c>
      <c r="AM44" s="1" t="s">
        <v>529</v>
      </c>
      <c r="AN44" s="80">
        <v>1</v>
      </c>
      <c r="AO44" s="1" t="s">
        <v>529</v>
      </c>
      <c r="AP44" s="143">
        <v>1</v>
      </c>
      <c r="AQ44" s="1" t="s">
        <v>1070</v>
      </c>
      <c r="AR44" s="142">
        <v>36718</v>
      </c>
      <c r="AS44" s="142">
        <v>1835.9</v>
      </c>
      <c r="AT44" s="142">
        <v>1744</v>
      </c>
    </row>
    <row r="45" spans="1:47" x14ac:dyDescent="0.2">
      <c r="A45" s="174"/>
      <c r="B45" s="9" t="s">
        <v>49</v>
      </c>
      <c r="C45" s="1" t="s">
        <v>1929</v>
      </c>
      <c r="D45" s="142" t="s">
        <v>106</v>
      </c>
      <c r="E45" s="80">
        <v>1</v>
      </c>
      <c r="F45" s="1" t="s">
        <v>452</v>
      </c>
      <c r="G45" s="1" t="s">
        <v>164</v>
      </c>
      <c r="H45" s="1" t="s">
        <v>164</v>
      </c>
      <c r="I45" s="143">
        <v>1</v>
      </c>
      <c r="J45" s="1" t="s">
        <v>452</v>
      </c>
      <c r="K45" s="142">
        <v>1920</v>
      </c>
      <c r="L45" s="142">
        <v>1920</v>
      </c>
      <c r="M45" s="142">
        <v>1920</v>
      </c>
      <c r="N45" s="14" t="s">
        <v>1928</v>
      </c>
      <c r="O45" s="142" t="s">
        <v>106</v>
      </c>
      <c r="P45" s="80">
        <v>1</v>
      </c>
      <c r="Q45" s="1" t="s">
        <v>1073</v>
      </c>
      <c r="R45" s="1" t="s">
        <v>164</v>
      </c>
      <c r="S45" s="1" t="s">
        <v>164</v>
      </c>
      <c r="T45" s="143">
        <v>1</v>
      </c>
      <c r="U45" s="1" t="s">
        <v>1073</v>
      </c>
      <c r="V45" s="142">
        <v>4170</v>
      </c>
      <c r="W45" s="142">
        <v>2085</v>
      </c>
      <c r="X45" s="142">
        <v>2085</v>
      </c>
      <c r="Y45" s="14" t="s">
        <v>1927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17939</v>
      </c>
      <c r="AH45" s="142">
        <v>1793.9</v>
      </c>
      <c r="AI45" s="142">
        <v>1705</v>
      </c>
      <c r="AJ45" s="14" t="s">
        <v>1926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38834</v>
      </c>
      <c r="AS45" s="142">
        <v>1941.7</v>
      </c>
      <c r="AT45" s="142">
        <v>1764</v>
      </c>
    </row>
    <row r="46" spans="1:47" x14ac:dyDescent="0.2">
      <c r="A46" s="174"/>
      <c r="B46" s="9" t="s">
        <v>50</v>
      </c>
      <c r="C46" s="1" t="s">
        <v>1925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1840</v>
      </c>
      <c r="L46" s="142">
        <v>1840</v>
      </c>
      <c r="M46" s="142">
        <v>1840</v>
      </c>
      <c r="N46" s="14" t="s">
        <v>1924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1923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17378</v>
      </c>
      <c r="AH46" s="142">
        <v>1737.8</v>
      </c>
      <c r="AI46" s="142">
        <v>1738</v>
      </c>
      <c r="AJ46" s="14" t="s">
        <v>1922</v>
      </c>
      <c r="AK46" s="142" t="s">
        <v>106</v>
      </c>
      <c r="AL46" s="80">
        <v>1</v>
      </c>
      <c r="AM46" s="1" t="s">
        <v>516</v>
      </c>
      <c r="AN46" s="80">
        <v>0</v>
      </c>
      <c r="AO46" s="1" t="s">
        <v>218</v>
      </c>
      <c r="AP46" s="143">
        <v>0.5</v>
      </c>
      <c r="AQ46" s="1" t="s">
        <v>511</v>
      </c>
      <c r="AR46" s="142">
        <v>8898</v>
      </c>
      <c r="AS46" s="142">
        <v>1779.6</v>
      </c>
      <c r="AT46" s="142">
        <v>1778</v>
      </c>
    </row>
    <row r="47" spans="1:47" x14ac:dyDescent="0.2">
      <c r="A47" s="174"/>
      <c r="B47" s="9" t="s">
        <v>51</v>
      </c>
      <c r="C47" s="1" t="s">
        <v>1921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2047</v>
      </c>
      <c r="L47" s="142">
        <v>2047</v>
      </c>
      <c r="M47" s="142">
        <v>2047</v>
      </c>
      <c r="N47" s="14" t="s">
        <v>1920</v>
      </c>
      <c r="O47" s="142" t="s">
        <v>106</v>
      </c>
      <c r="P47" s="80">
        <v>1</v>
      </c>
      <c r="Q47" s="1" t="s">
        <v>1073</v>
      </c>
      <c r="R47" s="1" t="s">
        <v>164</v>
      </c>
      <c r="S47" s="1" t="s">
        <v>164</v>
      </c>
      <c r="T47" s="143">
        <v>1</v>
      </c>
      <c r="U47" s="1" t="s">
        <v>1073</v>
      </c>
      <c r="V47" s="142">
        <v>3822</v>
      </c>
      <c r="W47" s="142">
        <v>1911</v>
      </c>
      <c r="X47" s="142">
        <v>1911</v>
      </c>
      <c r="Y47" s="14" t="s">
        <v>1919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17409</v>
      </c>
      <c r="AH47" s="142">
        <v>1740.9</v>
      </c>
      <c r="AI47" s="142">
        <v>1737</v>
      </c>
      <c r="AJ47" s="14" t="s">
        <v>1918</v>
      </c>
      <c r="AK47" s="142" t="s">
        <v>106</v>
      </c>
      <c r="AL47" s="80">
        <v>1</v>
      </c>
      <c r="AM47" s="1" t="s">
        <v>1070</v>
      </c>
      <c r="AN47" s="1" t="s">
        <v>164</v>
      </c>
      <c r="AO47" s="1" t="s">
        <v>164</v>
      </c>
      <c r="AP47" s="143">
        <v>1</v>
      </c>
      <c r="AQ47" s="1" t="s">
        <v>1070</v>
      </c>
      <c r="AR47" s="142">
        <v>37507</v>
      </c>
      <c r="AS47" s="142">
        <v>1875.35</v>
      </c>
      <c r="AT47" s="142">
        <v>1771</v>
      </c>
    </row>
    <row r="48" spans="1:47" x14ac:dyDescent="0.2">
      <c r="A48" s="174"/>
      <c r="B48" s="9" t="s">
        <v>52</v>
      </c>
      <c r="C48" s="1" t="s">
        <v>1917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1858</v>
      </c>
      <c r="L48" s="142">
        <v>1858</v>
      </c>
      <c r="M48" s="142">
        <v>1858</v>
      </c>
      <c r="N48" s="14" t="s">
        <v>1916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1856</v>
      </c>
      <c r="W48" s="142">
        <v>1856</v>
      </c>
      <c r="X48" s="142">
        <v>1856</v>
      </c>
      <c r="Y48" s="14" t="s">
        <v>1915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17708</v>
      </c>
      <c r="AH48" s="142">
        <v>1770.8</v>
      </c>
      <c r="AI48" s="142">
        <v>1763</v>
      </c>
      <c r="AJ48" s="14" t="s">
        <v>1914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19279</v>
      </c>
      <c r="AS48" s="142">
        <v>1927.9</v>
      </c>
      <c r="AT48" s="142">
        <v>1777.5</v>
      </c>
    </row>
    <row r="49" spans="1:47" x14ac:dyDescent="0.2">
      <c r="A49" s="174"/>
      <c r="B49" s="9" t="s">
        <v>53</v>
      </c>
      <c r="C49" s="1" t="s">
        <v>1913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1953</v>
      </c>
      <c r="L49" s="142">
        <v>1953</v>
      </c>
      <c r="M49" s="142">
        <v>1953</v>
      </c>
      <c r="N49" s="14" t="s">
        <v>1912</v>
      </c>
      <c r="O49" s="142" t="s">
        <v>106</v>
      </c>
      <c r="P49" s="80">
        <v>1</v>
      </c>
      <c r="Q49" s="1" t="s">
        <v>452</v>
      </c>
      <c r="R49" s="1" t="s">
        <v>164</v>
      </c>
      <c r="S49" s="1" t="s">
        <v>164</v>
      </c>
      <c r="T49" s="143">
        <v>1</v>
      </c>
      <c r="U49" s="1" t="s">
        <v>452</v>
      </c>
      <c r="V49" s="142">
        <v>2056</v>
      </c>
      <c r="W49" s="142">
        <v>2056</v>
      </c>
      <c r="X49" s="142">
        <v>2056</v>
      </c>
      <c r="Y49" s="14" t="s">
        <v>1911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17391</v>
      </c>
      <c r="AH49" s="142">
        <v>1739.1</v>
      </c>
      <c r="AI49" s="142">
        <v>1738.5</v>
      </c>
      <c r="AJ49" s="14" t="s">
        <v>1910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17757</v>
      </c>
      <c r="AS49" s="142">
        <v>1775.7</v>
      </c>
      <c r="AT49" s="142">
        <v>1781</v>
      </c>
    </row>
    <row r="50" spans="1:47" x14ac:dyDescent="0.2">
      <c r="A50" s="174"/>
      <c r="B50" s="10" t="s">
        <v>54</v>
      </c>
      <c r="C50" s="1" t="s">
        <v>1909</v>
      </c>
      <c r="D50" s="142" t="s">
        <v>106</v>
      </c>
      <c r="E50" s="80">
        <v>0</v>
      </c>
      <c r="F50" s="1" t="s">
        <v>169</v>
      </c>
      <c r="G50" s="80">
        <v>1</v>
      </c>
      <c r="H50" s="1" t="s">
        <v>452</v>
      </c>
      <c r="I50" s="143">
        <v>1</v>
      </c>
      <c r="J50" s="1" t="s">
        <v>452</v>
      </c>
      <c r="K50" s="142">
        <v>184495</v>
      </c>
      <c r="L50" s="142">
        <v>184495</v>
      </c>
      <c r="M50" s="142">
        <v>184495</v>
      </c>
      <c r="N50" s="14" t="s">
        <v>1908</v>
      </c>
      <c r="O50" s="142" t="s">
        <v>106</v>
      </c>
      <c r="P50" s="80">
        <v>1</v>
      </c>
      <c r="Q50" s="1" t="s">
        <v>452</v>
      </c>
      <c r="R50" s="80">
        <v>0</v>
      </c>
      <c r="S50" s="1" t="s">
        <v>163</v>
      </c>
      <c r="T50" s="143">
        <v>0.5</v>
      </c>
      <c r="U50" s="1" t="s">
        <v>1108</v>
      </c>
      <c r="V50" s="142">
        <v>1901</v>
      </c>
      <c r="W50" s="142">
        <v>1901</v>
      </c>
      <c r="X50" s="142">
        <v>1901</v>
      </c>
      <c r="Y50" s="14" t="s">
        <v>1907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1906</v>
      </c>
      <c r="AK50" s="142" t="s">
        <v>106</v>
      </c>
      <c r="AL50" s="80">
        <v>0.66669999999999996</v>
      </c>
      <c r="AM50" s="1" t="s">
        <v>1129</v>
      </c>
      <c r="AN50" s="80">
        <v>0</v>
      </c>
      <c r="AO50" s="1" t="s">
        <v>218</v>
      </c>
      <c r="AP50" s="143">
        <v>0.5</v>
      </c>
      <c r="AQ50" s="1" t="s">
        <v>936</v>
      </c>
      <c r="AR50" s="142">
        <v>18019</v>
      </c>
      <c r="AS50" s="142">
        <v>1801.9</v>
      </c>
      <c r="AT50" s="142">
        <v>1799</v>
      </c>
      <c r="AU50" s="4" t="s">
        <v>99</v>
      </c>
    </row>
    <row r="51" spans="1:47" x14ac:dyDescent="0.2">
      <c r="A51" s="174"/>
      <c r="B51" s="10" t="s">
        <v>55</v>
      </c>
      <c r="C51" s="1" t="s">
        <v>1905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1904</v>
      </c>
      <c r="O51" s="142" t="s">
        <v>106</v>
      </c>
      <c r="P51" s="80">
        <v>0.5</v>
      </c>
      <c r="Q51" s="1" t="s">
        <v>1108</v>
      </c>
      <c r="R51" s="1" t="s">
        <v>164</v>
      </c>
      <c r="S51" s="1" t="s">
        <v>164</v>
      </c>
      <c r="T51" s="143">
        <v>0.5</v>
      </c>
      <c r="U51" s="1" t="s">
        <v>1108</v>
      </c>
      <c r="V51" s="142">
        <v>1898</v>
      </c>
      <c r="W51" s="142">
        <v>1898</v>
      </c>
      <c r="X51" s="142">
        <v>1898</v>
      </c>
      <c r="Y51" s="14" t="s">
        <v>1903</v>
      </c>
      <c r="Z51" s="142" t="s">
        <v>106</v>
      </c>
      <c r="AA51" s="80">
        <v>0</v>
      </c>
      <c r="AB51" s="1" t="s">
        <v>213</v>
      </c>
      <c r="AC51" s="1" t="s">
        <v>164</v>
      </c>
      <c r="AD51" s="1" t="s">
        <v>164</v>
      </c>
      <c r="AE51" s="143">
        <v>0</v>
      </c>
      <c r="AF51" s="1" t="s">
        <v>213</v>
      </c>
      <c r="AG51" s="142">
        <v>0</v>
      </c>
      <c r="AH51" s="142">
        <v>0</v>
      </c>
      <c r="AI51" s="142">
        <v>0</v>
      </c>
      <c r="AJ51" s="14" t="s">
        <v>1902</v>
      </c>
      <c r="AK51" s="142" t="s">
        <v>106</v>
      </c>
      <c r="AL51" s="80">
        <v>0.5</v>
      </c>
      <c r="AM51" s="1" t="s">
        <v>936</v>
      </c>
      <c r="AN51" s="1" t="s">
        <v>164</v>
      </c>
      <c r="AO51" s="1" t="s">
        <v>164</v>
      </c>
      <c r="AP51" s="143">
        <v>0.5</v>
      </c>
      <c r="AQ51" s="1" t="s">
        <v>936</v>
      </c>
      <c r="AR51" s="142">
        <v>18016</v>
      </c>
      <c r="AS51" s="142">
        <v>1801.6</v>
      </c>
      <c r="AT51" s="142">
        <v>1798.5</v>
      </c>
      <c r="AU51" s="4" t="s">
        <v>99</v>
      </c>
    </row>
    <row r="52" spans="1:47" x14ac:dyDescent="0.2">
      <c r="A52" s="174"/>
      <c r="B52" s="9" t="s">
        <v>56</v>
      </c>
      <c r="C52" s="1" t="s">
        <v>1901</v>
      </c>
      <c r="D52" s="142" t="s">
        <v>106</v>
      </c>
      <c r="E52" s="80">
        <v>0</v>
      </c>
      <c r="F52" s="1" t="s">
        <v>169</v>
      </c>
      <c r="G52" s="80">
        <v>1</v>
      </c>
      <c r="H52" s="1" t="s">
        <v>452</v>
      </c>
      <c r="I52" s="143">
        <v>1</v>
      </c>
      <c r="J52" s="1" t="s">
        <v>452</v>
      </c>
      <c r="K52" s="142">
        <v>2158</v>
      </c>
      <c r="L52" s="142">
        <v>2158</v>
      </c>
      <c r="M52" s="142">
        <v>2158</v>
      </c>
      <c r="N52" s="14" t="s">
        <v>1900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3623</v>
      </c>
      <c r="W52" s="142">
        <v>1811.5</v>
      </c>
      <c r="X52" s="142">
        <v>1811.5</v>
      </c>
      <c r="Y52" s="14" t="s">
        <v>1899</v>
      </c>
      <c r="Z52" s="142" t="s">
        <v>106</v>
      </c>
      <c r="AA52" s="80">
        <v>1</v>
      </c>
      <c r="AB52" s="1" t="s">
        <v>516</v>
      </c>
      <c r="AC52" s="80">
        <v>1</v>
      </c>
      <c r="AD52" s="1" t="s">
        <v>516</v>
      </c>
      <c r="AE52" s="143">
        <v>1</v>
      </c>
      <c r="AF52" s="1" t="s">
        <v>529</v>
      </c>
      <c r="AG52" s="142">
        <v>17596</v>
      </c>
      <c r="AH52" s="142">
        <v>1759.6</v>
      </c>
      <c r="AI52" s="142">
        <v>1729</v>
      </c>
      <c r="AJ52" s="14" t="s">
        <v>1898</v>
      </c>
      <c r="AK52" s="142" t="s">
        <v>106</v>
      </c>
      <c r="AL52" s="80">
        <v>1</v>
      </c>
      <c r="AM52" s="1" t="s">
        <v>529</v>
      </c>
      <c r="AN52" s="80">
        <v>1</v>
      </c>
      <c r="AO52" s="1" t="s">
        <v>529</v>
      </c>
      <c r="AP52" s="143">
        <v>1</v>
      </c>
      <c r="AQ52" s="1" t="s">
        <v>1070</v>
      </c>
      <c r="AR52" s="142">
        <v>34982</v>
      </c>
      <c r="AS52" s="142">
        <v>1749.1</v>
      </c>
      <c r="AT52" s="142">
        <v>1731</v>
      </c>
    </row>
    <row r="53" spans="1:47" x14ac:dyDescent="0.2">
      <c r="A53" s="174"/>
      <c r="B53" s="9" t="s">
        <v>57</v>
      </c>
      <c r="C53" s="1" t="s">
        <v>1897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2963</v>
      </c>
      <c r="L53" s="142">
        <v>2963</v>
      </c>
      <c r="M53" s="142">
        <v>2963</v>
      </c>
      <c r="N53" s="14" t="s">
        <v>1896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4024</v>
      </c>
      <c r="W53" s="142">
        <v>2012</v>
      </c>
      <c r="X53" s="142">
        <v>2012</v>
      </c>
      <c r="Y53" s="14" t="s">
        <v>1895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18619</v>
      </c>
      <c r="AH53" s="142">
        <v>1861.9</v>
      </c>
      <c r="AI53" s="142">
        <v>1728</v>
      </c>
      <c r="AJ53" s="14" t="s">
        <v>1894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36054</v>
      </c>
      <c r="AS53" s="142">
        <v>1802.7</v>
      </c>
      <c r="AT53" s="142">
        <v>1768.5</v>
      </c>
    </row>
    <row r="54" spans="1:47" x14ac:dyDescent="0.2">
      <c r="A54" s="174"/>
      <c r="B54" s="9" t="s">
        <v>58</v>
      </c>
      <c r="C54" s="1" t="s">
        <v>1893</v>
      </c>
      <c r="D54" s="142" t="s">
        <v>106</v>
      </c>
      <c r="E54" s="80">
        <v>0</v>
      </c>
      <c r="F54" s="1" t="s">
        <v>169</v>
      </c>
      <c r="G54" s="80">
        <v>1</v>
      </c>
      <c r="H54" s="1" t="s">
        <v>452</v>
      </c>
      <c r="I54" s="143">
        <v>1</v>
      </c>
      <c r="J54" s="1" t="s">
        <v>452</v>
      </c>
      <c r="K54" s="142">
        <v>1810</v>
      </c>
      <c r="L54" s="142">
        <v>1810</v>
      </c>
      <c r="M54" s="142">
        <v>1810</v>
      </c>
      <c r="N54" s="14" t="s">
        <v>1892</v>
      </c>
      <c r="O54" s="142" t="s">
        <v>106</v>
      </c>
      <c r="P54" s="80">
        <v>0</v>
      </c>
      <c r="Q54" s="1" t="s">
        <v>169</v>
      </c>
      <c r="R54" s="80">
        <v>0.5</v>
      </c>
      <c r="S54" s="1" t="s">
        <v>1108</v>
      </c>
      <c r="T54" s="143">
        <v>0.5</v>
      </c>
      <c r="U54" s="1" t="s">
        <v>1108</v>
      </c>
      <c r="V54" s="142">
        <v>1930</v>
      </c>
      <c r="W54" s="142">
        <v>1930</v>
      </c>
      <c r="X54" s="142">
        <v>1930</v>
      </c>
      <c r="Y54" s="14" t="s">
        <v>1891</v>
      </c>
      <c r="Z54" s="142" t="s">
        <v>106</v>
      </c>
      <c r="AA54" s="80">
        <v>0.6</v>
      </c>
      <c r="AB54" s="1" t="s">
        <v>964</v>
      </c>
      <c r="AC54" s="80">
        <v>1</v>
      </c>
      <c r="AD54" s="1" t="s">
        <v>516</v>
      </c>
      <c r="AE54" s="143">
        <v>0.8</v>
      </c>
      <c r="AF54" s="1" t="s">
        <v>1077</v>
      </c>
      <c r="AG54" s="142">
        <v>13928</v>
      </c>
      <c r="AH54" s="142">
        <v>1741</v>
      </c>
      <c r="AI54" s="142">
        <v>1738.5</v>
      </c>
      <c r="AJ54" s="14" t="s">
        <v>1890</v>
      </c>
      <c r="AK54" s="142" t="s">
        <v>106</v>
      </c>
      <c r="AL54" s="80">
        <v>0.3</v>
      </c>
      <c r="AM54" s="1" t="s">
        <v>1004</v>
      </c>
      <c r="AN54" s="80">
        <v>0.4</v>
      </c>
      <c r="AO54" s="1" t="s">
        <v>501</v>
      </c>
      <c r="AP54" s="143">
        <v>0.35</v>
      </c>
      <c r="AQ54" s="1" t="s">
        <v>3999</v>
      </c>
      <c r="AR54" s="142">
        <v>253342</v>
      </c>
      <c r="AS54" s="142">
        <v>36191.71</v>
      </c>
      <c r="AT54" s="142">
        <v>1943</v>
      </c>
      <c r="AU54" s="4" t="s">
        <v>93</v>
      </c>
    </row>
    <row r="55" spans="1:47" x14ac:dyDescent="0.2">
      <c r="A55" s="174"/>
      <c r="B55" s="9" t="s">
        <v>59</v>
      </c>
      <c r="C55" s="1" t="s">
        <v>1889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1820</v>
      </c>
      <c r="L55" s="142">
        <v>1820</v>
      </c>
      <c r="M55" s="142">
        <v>1820</v>
      </c>
      <c r="N55" s="14" t="s">
        <v>1888</v>
      </c>
      <c r="O55" s="142" t="s">
        <v>106</v>
      </c>
      <c r="P55" s="80">
        <v>0.5</v>
      </c>
      <c r="Q55" s="1" t="s">
        <v>1108</v>
      </c>
      <c r="R55" s="1" t="s">
        <v>164</v>
      </c>
      <c r="S55" s="1" t="s">
        <v>164</v>
      </c>
      <c r="T55" s="143">
        <v>0.5</v>
      </c>
      <c r="U55" s="1" t="s">
        <v>1108</v>
      </c>
      <c r="V55" s="142">
        <v>1879</v>
      </c>
      <c r="W55" s="142">
        <v>1879</v>
      </c>
      <c r="X55" s="142">
        <v>1879</v>
      </c>
      <c r="Y55" s="14" t="s">
        <v>1887</v>
      </c>
      <c r="Z55" s="142" t="s">
        <v>106</v>
      </c>
      <c r="AA55" s="80">
        <v>1</v>
      </c>
      <c r="AB55" s="1" t="s">
        <v>529</v>
      </c>
      <c r="AC55" s="1" t="s">
        <v>164</v>
      </c>
      <c r="AD55" s="1" t="s">
        <v>164</v>
      </c>
      <c r="AE55" s="143">
        <v>1</v>
      </c>
      <c r="AF55" s="1" t="s">
        <v>529</v>
      </c>
      <c r="AG55" s="142">
        <v>17511</v>
      </c>
      <c r="AH55" s="142">
        <v>1751.1</v>
      </c>
      <c r="AI55" s="142">
        <v>1741.5</v>
      </c>
      <c r="AJ55" s="14" t="s">
        <v>1886</v>
      </c>
      <c r="AK55" s="142" t="s">
        <v>106</v>
      </c>
      <c r="AL55" s="80">
        <v>0.5</v>
      </c>
      <c r="AM55" s="1" t="s">
        <v>936</v>
      </c>
      <c r="AN55" s="1" t="s">
        <v>164</v>
      </c>
      <c r="AO55" s="1" t="s">
        <v>164</v>
      </c>
      <c r="AP55" s="143">
        <v>0.5</v>
      </c>
      <c r="AQ55" s="1" t="s">
        <v>936</v>
      </c>
      <c r="AR55" s="142">
        <v>20175</v>
      </c>
      <c r="AS55" s="142">
        <v>2017.5</v>
      </c>
      <c r="AT55" s="142">
        <v>1854.5</v>
      </c>
      <c r="AU55" s="4" t="s">
        <v>93</v>
      </c>
    </row>
    <row r="56" spans="1:47" x14ac:dyDescent="0.2">
      <c r="A56" s="174"/>
      <c r="B56" s="9" t="s">
        <v>62</v>
      </c>
      <c r="C56" s="1" t="s">
        <v>1885</v>
      </c>
      <c r="D56" s="142" t="s">
        <v>106</v>
      </c>
      <c r="E56" s="80">
        <v>0</v>
      </c>
      <c r="F56" s="1" t="s">
        <v>169</v>
      </c>
      <c r="G56" s="80">
        <v>0</v>
      </c>
      <c r="H56" s="1" t="s">
        <v>163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1884</v>
      </c>
      <c r="O56" s="142" t="s">
        <v>106</v>
      </c>
      <c r="P56" s="80">
        <v>1</v>
      </c>
      <c r="Q56" s="1" t="s">
        <v>452</v>
      </c>
      <c r="R56" s="80">
        <v>0.5</v>
      </c>
      <c r="S56" s="1" t="s">
        <v>1108</v>
      </c>
      <c r="T56" s="143">
        <v>0.66669999999999996</v>
      </c>
      <c r="U56" s="1" t="s">
        <v>1881</v>
      </c>
      <c r="V56" s="142">
        <v>3486</v>
      </c>
      <c r="W56" s="142">
        <v>1743</v>
      </c>
      <c r="X56" s="142">
        <v>1743</v>
      </c>
      <c r="Y56" s="14" t="s">
        <v>1883</v>
      </c>
      <c r="Z56" s="142" t="s">
        <v>106</v>
      </c>
      <c r="AA56" s="80">
        <v>0</v>
      </c>
      <c r="AB56" s="1" t="s">
        <v>169</v>
      </c>
      <c r="AC56" s="80">
        <v>0</v>
      </c>
      <c r="AD56" s="1" t="s">
        <v>163</v>
      </c>
      <c r="AE56" s="143">
        <v>0</v>
      </c>
      <c r="AF56" s="1" t="s">
        <v>163</v>
      </c>
      <c r="AG56" s="142">
        <v>0</v>
      </c>
      <c r="AH56" s="142">
        <v>0</v>
      </c>
      <c r="AI56" s="142">
        <v>0</v>
      </c>
      <c r="AJ56" s="14" t="s">
        <v>1882</v>
      </c>
      <c r="AK56" s="142" t="s">
        <v>106</v>
      </c>
      <c r="AL56" s="80">
        <v>1</v>
      </c>
      <c r="AM56" s="1" t="s">
        <v>452</v>
      </c>
      <c r="AN56" s="80">
        <v>0.5</v>
      </c>
      <c r="AO56" s="1" t="s">
        <v>1108</v>
      </c>
      <c r="AP56" s="143">
        <v>0.66669999999999996</v>
      </c>
      <c r="AQ56" s="1" t="s">
        <v>1881</v>
      </c>
      <c r="AR56" s="142">
        <v>3487</v>
      </c>
      <c r="AS56" s="142">
        <v>1743.5</v>
      </c>
      <c r="AT56" s="142">
        <v>1743.5</v>
      </c>
      <c r="AU56" s="4" t="s">
        <v>102</v>
      </c>
    </row>
    <row r="57" spans="1:47" x14ac:dyDescent="0.2">
      <c r="A57" s="174"/>
      <c r="B57" s="9" t="s">
        <v>63</v>
      </c>
      <c r="C57" s="1" t="s">
        <v>1880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3108</v>
      </c>
      <c r="L57" s="142">
        <v>3108</v>
      </c>
      <c r="M57" s="142">
        <v>3108</v>
      </c>
      <c r="N57" s="14" t="s">
        <v>1879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6126</v>
      </c>
      <c r="W57" s="142">
        <v>2042</v>
      </c>
      <c r="X57" s="142">
        <v>1863</v>
      </c>
      <c r="Y57" s="14" t="s">
        <v>1878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2290</v>
      </c>
      <c r="AH57" s="142">
        <v>2290</v>
      </c>
      <c r="AI57" s="142">
        <v>2290</v>
      </c>
      <c r="AJ57" s="14" t="s">
        <v>1877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6319</v>
      </c>
      <c r="AS57" s="142">
        <v>2106.33</v>
      </c>
      <c r="AT57" s="142">
        <v>1954</v>
      </c>
      <c r="AU57" s="4" t="s">
        <v>102</v>
      </c>
    </row>
    <row r="58" spans="1:47" x14ac:dyDescent="0.2">
      <c r="A58" s="174"/>
      <c r="B58" s="9" t="s">
        <v>64</v>
      </c>
      <c r="C58" s="1" t="s">
        <v>1876</v>
      </c>
      <c r="D58" s="142" t="s">
        <v>106</v>
      </c>
      <c r="E58" s="80">
        <v>0</v>
      </c>
      <c r="F58" s="1" t="s">
        <v>169</v>
      </c>
      <c r="G58" s="80">
        <v>0</v>
      </c>
      <c r="H58" s="1" t="s">
        <v>163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1875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1874</v>
      </c>
      <c r="Z58" s="142" t="s">
        <v>106</v>
      </c>
      <c r="AA58" s="80">
        <v>1</v>
      </c>
      <c r="AB58" s="1" t="s">
        <v>516</v>
      </c>
      <c r="AC58" s="80">
        <v>0</v>
      </c>
      <c r="AD58" s="1" t="s">
        <v>218</v>
      </c>
      <c r="AE58" s="143">
        <v>0.5</v>
      </c>
      <c r="AF58" s="1" t="s">
        <v>511</v>
      </c>
      <c r="AG58" s="142">
        <v>8735</v>
      </c>
      <c r="AH58" s="142">
        <v>1747</v>
      </c>
      <c r="AI58" s="142">
        <v>1745</v>
      </c>
      <c r="AJ58" s="14" t="s">
        <v>1873</v>
      </c>
      <c r="AK58" s="142" t="s">
        <v>106</v>
      </c>
      <c r="AL58" s="80">
        <v>1</v>
      </c>
      <c r="AM58" s="1" t="s">
        <v>516</v>
      </c>
      <c r="AN58" s="80">
        <v>0</v>
      </c>
      <c r="AO58" s="1" t="s">
        <v>218</v>
      </c>
      <c r="AP58" s="143">
        <v>0.5</v>
      </c>
      <c r="AQ58" s="1" t="s">
        <v>511</v>
      </c>
      <c r="AR58" s="142">
        <v>9571</v>
      </c>
      <c r="AS58" s="142">
        <v>1914.2</v>
      </c>
      <c r="AT58" s="142">
        <v>1786</v>
      </c>
      <c r="AU58" s="4" t="s">
        <v>102</v>
      </c>
    </row>
    <row r="59" spans="1:47" x14ac:dyDescent="0.2">
      <c r="A59" s="174"/>
      <c r="B59" s="9" t="s">
        <v>65</v>
      </c>
      <c r="C59" s="1" t="s">
        <v>1872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1820</v>
      </c>
      <c r="L59" s="142">
        <v>1820</v>
      </c>
      <c r="M59" s="142">
        <v>1820</v>
      </c>
      <c r="N59" s="14" t="s">
        <v>1871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1775</v>
      </c>
      <c r="W59" s="142">
        <v>1775</v>
      </c>
      <c r="X59" s="142">
        <v>1775</v>
      </c>
      <c r="Y59" s="14" t="s">
        <v>1870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17400</v>
      </c>
      <c r="AH59" s="142">
        <v>1740</v>
      </c>
      <c r="AI59" s="142">
        <v>1739</v>
      </c>
      <c r="AJ59" s="14" t="s">
        <v>1869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17776</v>
      </c>
      <c r="AS59" s="142">
        <v>1777.6</v>
      </c>
      <c r="AT59" s="142">
        <v>1773</v>
      </c>
      <c r="AU59" s="4" t="s">
        <v>102</v>
      </c>
    </row>
    <row r="60" spans="1:47" x14ac:dyDescent="0.2">
      <c r="A60" s="174"/>
      <c r="B60" s="9" t="s">
        <v>66</v>
      </c>
      <c r="C60" s="1" t="s">
        <v>1868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1767</v>
      </c>
      <c r="L60" s="142">
        <v>1767</v>
      </c>
      <c r="M60" s="142">
        <v>1767</v>
      </c>
      <c r="N60" s="14" t="s">
        <v>1867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3578</v>
      </c>
      <c r="W60" s="142">
        <v>1789</v>
      </c>
      <c r="X60" s="142">
        <v>1789</v>
      </c>
      <c r="Y60" s="14" t="s">
        <v>1866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17170</v>
      </c>
      <c r="AH60" s="142">
        <v>1717</v>
      </c>
      <c r="AI60" s="142">
        <v>1712</v>
      </c>
      <c r="AJ60" s="14" t="s">
        <v>1865</v>
      </c>
      <c r="AK60" s="142" t="s">
        <v>106</v>
      </c>
      <c r="AL60" s="80">
        <v>1</v>
      </c>
      <c r="AM60" s="1" t="s">
        <v>529</v>
      </c>
      <c r="AN60" s="80">
        <v>1</v>
      </c>
      <c r="AO60" s="1" t="s">
        <v>529</v>
      </c>
      <c r="AP60" s="143">
        <v>1</v>
      </c>
      <c r="AQ60" s="1" t="s">
        <v>1070</v>
      </c>
      <c r="AR60" s="142">
        <v>36932</v>
      </c>
      <c r="AS60" s="142">
        <v>1846.6</v>
      </c>
      <c r="AT60" s="142">
        <v>1750.5</v>
      </c>
    </row>
    <row r="61" spans="1:47" x14ac:dyDescent="0.2">
      <c r="A61" s="174"/>
      <c r="B61" s="9" t="s">
        <v>67</v>
      </c>
      <c r="C61" s="1" t="s">
        <v>1864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3287</v>
      </c>
      <c r="L61" s="142">
        <v>3287</v>
      </c>
      <c r="M61" s="142">
        <v>3287</v>
      </c>
      <c r="N61" s="14" t="s">
        <v>1863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4262</v>
      </c>
      <c r="W61" s="142">
        <v>2131</v>
      </c>
      <c r="X61" s="142">
        <v>2131</v>
      </c>
      <c r="Y61" s="14" t="s">
        <v>1862</v>
      </c>
      <c r="Z61" s="142" t="s">
        <v>106</v>
      </c>
      <c r="AA61" s="80">
        <v>1</v>
      </c>
      <c r="AB61" s="1" t="s">
        <v>529</v>
      </c>
      <c r="AC61" s="1" t="s">
        <v>164</v>
      </c>
      <c r="AD61" s="1" t="s">
        <v>164</v>
      </c>
      <c r="AE61" s="143">
        <v>1</v>
      </c>
      <c r="AF61" s="1" t="s">
        <v>529</v>
      </c>
      <c r="AG61" s="142">
        <v>18161</v>
      </c>
      <c r="AH61" s="142">
        <v>1816.1</v>
      </c>
      <c r="AI61" s="142">
        <v>1808.5</v>
      </c>
      <c r="AJ61" s="14" t="s">
        <v>1861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36762</v>
      </c>
      <c r="AS61" s="142">
        <v>1838.1</v>
      </c>
      <c r="AT61" s="142">
        <v>1756</v>
      </c>
    </row>
    <row r="62" spans="1:47" x14ac:dyDescent="0.2">
      <c r="A62" s="174"/>
      <c r="B62" s="9" t="s">
        <v>68</v>
      </c>
      <c r="C62" s="1" t="s">
        <v>1860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3906</v>
      </c>
      <c r="L62" s="142">
        <v>3906</v>
      </c>
      <c r="M62" s="142">
        <v>3906</v>
      </c>
      <c r="N62" s="14" t="s">
        <v>1859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8375</v>
      </c>
      <c r="W62" s="142">
        <v>4187.5</v>
      </c>
      <c r="X62" s="142">
        <v>4187.5</v>
      </c>
      <c r="Y62" s="14" t="s">
        <v>1858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13658</v>
      </c>
      <c r="AH62" s="142">
        <v>1707.25</v>
      </c>
      <c r="AI62" s="142">
        <v>1703</v>
      </c>
      <c r="AJ62" s="14" t="s">
        <v>1857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37044</v>
      </c>
      <c r="AS62" s="142">
        <v>1852.2</v>
      </c>
      <c r="AT62" s="142">
        <v>1748.5</v>
      </c>
    </row>
    <row r="63" spans="1:47" x14ac:dyDescent="0.2">
      <c r="A63" s="174"/>
      <c r="B63" s="9" t="s">
        <v>69</v>
      </c>
      <c r="C63" s="1" t="s">
        <v>1856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2228</v>
      </c>
      <c r="L63" s="142">
        <v>2228</v>
      </c>
      <c r="M63" s="142">
        <v>2228</v>
      </c>
      <c r="N63" s="14" t="s">
        <v>1855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3937</v>
      </c>
      <c r="W63" s="142">
        <v>1968.5</v>
      </c>
      <c r="X63" s="142">
        <v>1968.5</v>
      </c>
      <c r="Y63" s="14" t="s">
        <v>1854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17979</v>
      </c>
      <c r="AH63" s="142">
        <v>1797.9</v>
      </c>
      <c r="AI63" s="142">
        <v>1773</v>
      </c>
      <c r="AJ63" s="14" t="s">
        <v>1853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39278</v>
      </c>
      <c r="AS63" s="142">
        <v>1963.9</v>
      </c>
      <c r="AT63" s="142">
        <v>1748.5</v>
      </c>
    </row>
    <row r="64" spans="1:47" x14ac:dyDescent="0.2">
      <c r="A64" s="174"/>
      <c r="B64" s="9" t="s">
        <v>3973</v>
      </c>
      <c r="C64" s="1" t="s">
        <v>1852</v>
      </c>
      <c r="D64" s="142" t="s">
        <v>106</v>
      </c>
      <c r="E64" s="80">
        <v>0</v>
      </c>
      <c r="F64" s="1" t="s">
        <v>163</v>
      </c>
      <c r="G64" s="1" t="s">
        <v>164</v>
      </c>
      <c r="H64" s="1" t="s">
        <v>164</v>
      </c>
      <c r="I64" s="143">
        <v>0</v>
      </c>
      <c r="J64" s="1" t="s">
        <v>163</v>
      </c>
      <c r="K64" s="142">
        <v>0</v>
      </c>
      <c r="L64" s="142">
        <v>0</v>
      </c>
      <c r="M64" s="142">
        <v>0</v>
      </c>
      <c r="N64" s="14" t="s">
        <v>1851</v>
      </c>
      <c r="O64" s="142" t="s">
        <v>106</v>
      </c>
      <c r="P64" s="80">
        <v>0</v>
      </c>
      <c r="Q64" s="1" t="s">
        <v>163</v>
      </c>
      <c r="R64" s="1" t="s">
        <v>164</v>
      </c>
      <c r="S64" s="1" t="s">
        <v>164</v>
      </c>
      <c r="T64" s="143">
        <v>0</v>
      </c>
      <c r="U64" s="1" t="s">
        <v>163</v>
      </c>
      <c r="V64" s="142">
        <v>0</v>
      </c>
      <c r="W64" s="142">
        <v>0</v>
      </c>
      <c r="X64" s="142">
        <v>0</v>
      </c>
      <c r="Y64" s="14" t="s">
        <v>1850</v>
      </c>
      <c r="Z64" s="142" t="s">
        <v>106</v>
      </c>
      <c r="AA64" s="80">
        <v>0</v>
      </c>
      <c r="AB64" s="1" t="s">
        <v>163</v>
      </c>
      <c r="AC64" s="1" t="s">
        <v>164</v>
      </c>
      <c r="AD64" s="1" t="s">
        <v>164</v>
      </c>
      <c r="AE64" s="143">
        <v>0</v>
      </c>
      <c r="AF64" s="1" t="s">
        <v>163</v>
      </c>
      <c r="AG64" s="142">
        <v>0</v>
      </c>
      <c r="AH64" s="142">
        <v>0</v>
      </c>
      <c r="AI64" s="142">
        <v>0</v>
      </c>
      <c r="AJ64" s="14" t="s">
        <v>1849</v>
      </c>
      <c r="AK64" s="142" t="s">
        <v>106</v>
      </c>
      <c r="AL64" s="80">
        <v>0</v>
      </c>
      <c r="AM64" s="1" t="s">
        <v>163</v>
      </c>
      <c r="AN64" s="1" t="s">
        <v>164</v>
      </c>
      <c r="AO64" s="1" t="s">
        <v>164</v>
      </c>
      <c r="AP64" s="143">
        <v>0</v>
      </c>
      <c r="AQ64" s="1" t="s">
        <v>163</v>
      </c>
      <c r="AR64" s="142">
        <v>0</v>
      </c>
      <c r="AS64" s="142">
        <v>0</v>
      </c>
      <c r="AT64" s="142">
        <v>0</v>
      </c>
      <c r="AU64" s="4" t="s">
        <v>103</v>
      </c>
    </row>
    <row r="65" spans="1:47" x14ac:dyDescent="0.2">
      <c r="A65" s="174"/>
      <c r="B65" s="9" t="s">
        <v>3968</v>
      </c>
      <c r="C65" s="1" t="s">
        <v>1848</v>
      </c>
      <c r="D65" s="142" t="s">
        <v>106</v>
      </c>
      <c r="E65" s="80">
        <v>0</v>
      </c>
      <c r="F65" s="1" t="s">
        <v>163</v>
      </c>
      <c r="G65" s="1" t="s">
        <v>164</v>
      </c>
      <c r="H65" s="1" t="s">
        <v>164</v>
      </c>
      <c r="I65" s="143">
        <v>0</v>
      </c>
      <c r="J65" s="1" t="s">
        <v>163</v>
      </c>
      <c r="K65" s="142">
        <v>0</v>
      </c>
      <c r="L65" s="142">
        <v>0</v>
      </c>
      <c r="M65" s="142">
        <v>0</v>
      </c>
      <c r="N65" s="14" t="s">
        <v>1847</v>
      </c>
      <c r="O65" s="142" t="s">
        <v>106</v>
      </c>
      <c r="P65" s="80">
        <v>0</v>
      </c>
      <c r="Q65" s="1" t="s">
        <v>163</v>
      </c>
      <c r="R65" s="1" t="s">
        <v>164</v>
      </c>
      <c r="S65" s="1" t="s">
        <v>164</v>
      </c>
      <c r="T65" s="143">
        <v>0</v>
      </c>
      <c r="U65" s="1" t="s">
        <v>163</v>
      </c>
      <c r="V65" s="142">
        <v>0</v>
      </c>
      <c r="W65" s="142">
        <v>0</v>
      </c>
      <c r="X65" s="142">
        <v>0</v>
      </c>
      <c r="Y65" s="14" t="s">
        <v>1846</v>
      </c>
      <c r="Z65" s="142" t="s">
        <v>106</v>
      </c>
      <c r="AA65" s="80">
        <v>0</v>
      </c>
      <c r="AB65" s="1" t="s">
        <v>163</v>
      </c>
      <c r="AC65" s="1" t="s">
        <v>164</v>
      </c>
      <c r="AD65" s="1" t="s">
        <v>164</v>
      </c>
      <c r="AE65" s="143">
        <v>0</v>
      </c>
      <c r="AF65" s="1" t="s">
        <v>163</v>
      </c>
      <c r="AG65" s="142">
        <v>0</v>
      </c>
      <c r="AH65" s="142">
        <v>0</v>
      </c>
      <c r="AI65" s="142">
        <v>0</v>
      </c>
      <c r="AJ65" s="14" t="s">
        <v>1845</v>
      </c>
      <c r="AK65" s="142" t="s">
        <v>106</v>
      </c>
      <c r="AL65" s="80">
        <v>0</v>
      </c>
      <c r="AM65" s="1" t="s">
        <v>163</v>
      </c>
      <c r="AN65" s="1" t="s">
        <v>164</v>
      </c>
      <c r="AO65" s="1" t="s">
        <v>164</v>
      </c>
      <c r="AP65" s="143">
        <v>0</v>
      </c>
      <c r="AQ65" s="1" t="s">
        <v>163</v>
      </c>
      <c r="AR65" s="142">
        <v>0</v>
      </c>
      <c r="AS65" s="142">
        <v>0</v>
      </c>
      <c r="AT65" s="142">
        <v>0</v>
      </c>
      <c r="AU65" s="4" t="s">
        <v>103</v>
      </c>
    </row>
    <row r="66" spans="1:47" x14ac:dyDescent="0.2">
      <c r="A66" s="174"/>
      <c r="B66" s="9" t="s">
        <v>3969</v>
      </c>
      <c r="C66" s="1" t="s">
        <v>1844</v>
      </c>
      <c r="D66" s="142" t="s">
        <v>106</v>
      </c>
      <c r="E66" s="80">
        <v>0</v>
      </c>
      <c r="F66" s="1" t="s">
        <v>169</v>
      </c>
      <c r="G66" s="80">
        <v>0</v>
      </c>
      <c r="H66" s="1" t="s">
        <v>163</v>
      </c>
      <c r="I66" s="143">
        <v>0</v>
      </c>
      <c r="J66" s="1" t="s">
        <v>163</v>
      </c>
      <c r="K66" s="142">
        <v>0</v>
      </c>
      <c r="L66" s="142">
        <v>0</v>
      </c>
      <c r="M66" s="142">
        <v>0</v>
      </c>
      <c r="N66" s="14" t="s">
        <v>1843</v>
      </c>
      <c r="O66" s="142" t="s">
        <v>106</v>
      </c>
      <c r="P66" s="80">
        <v>0</v>
      </c>
      <c r="Q66" s="1" t="s">
        <v>169</v>
      </c>
      <c r="R66" s="80">
        <v>0</v>
      </c>
      <c r="S66" s="1" t="s">
        <v>163</v>
      </c>
      <c r="T66" s="143">
        <v>0</v>
      </c>
      <c r="U66" s="1" t="s">
        <v>163</v>
      </c>
      <c r="V66" s="142">
        <v>0</v>
      </c>
      <c r="W66" s="142">
        <v>0</v>
      </c>
      <c r="X66" s="142">
        <v>0</v>
      </c>
      <c r="Y66" s="14" t="s">
        <v>1842</v>
      </c>
      <c r="Z66" s="142" t="s">
        <v>106</v>
      </c>
      <c r="AA66" s="80">
        <v>0</v>
      </c>
      <c r="AB66" s="1" t="s">
        <v>218</v>
      </c>
      <c r="AC66" s="80">
        <v>0</v>
      </c>
      <c r="AD66" s="1" t="s">
        <v>218</v>
      </c>
      <c r="AE66" s="143">
        <v>0</v>
      </c>
      <c r="AF66" s="1" t="s">
        <v>213</v>
      </c>
      <c r="AG66" s="142">
        <v>0</v>
      </c>
      <c r="AH66" s="142">
        <v>0</v>
      </c>
      <c r="AI66" s="142">
        <v>0</v>
      </c>
      <c r="AJ66" s="14" t="s">
        <v>1841</v>
      </c>
      <c r="AK66" s="142" t="s">
        <v>106</v>
      </c>
      <c r="AL66" s="80">
        <v>0</v>
      </c>
      <c r="AM66" s="1" t="s">
        <v>218</v>
      </c>
      <c r="AN66" s="80">
        <v>0</v>
      </c>
      <c r="AO66" s="1" t="s">
        <v>218</v>
      </c>
      <c r="AP66" s="143">
        <v>0</v>
      </c>
      <c r="AQ66" s="1" t="s">
        <v>213</v>
      </c>
      <c r="AR66" s="142">
        <v>0</v>
      </c>
      <c r="AS66" s="142">
        <v>0</v>
      </c>
      <c r="AT66" s="142">
        <v>0</v>
      </c>
      <c r="AU66" s="4" t="s">
        <v>103</v>
      </c>
    </row>
    <row r="67" spans="1:47" x14ac:dyDescent="0.2">
      <c r="A67" s="174"/>
      <c r="B67" s="9" t="s">
        <v>3970</v>
      </c>
      <c r="C67" s="1" t="s">
        <v>1840</v>
      </c>
      <c r="D67" s="142" t="s">
        <v>106</v>
      </c>
      <c r="E67" s="80">
        <v>0</v>
      </c>
      <c r="F67" s="1" t="s">
        <v>163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1839</v>
      </c>
      <c r="O67" s="142" t="s">
        <v>106</v>
      </c>
      <c r="P67" s="80">
        <v>0</v>
      </c>
      <c r="Q67" s="1" t="s">
        <v>163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1838</v>
      </c>
      <c r="Z67" s="142" t="s">
        <v>106</v>
      </c>
      <c r="AA67" s="80">
        <v>0</v>
      </c>
      <c r="AB67" s="1" t="s">
        <v>213</v>
      </c>
      <c r="AC67" s="1" t="s">
        <v>164</v>
      </c>
      <c r="AD67" s="1" t="s">
        <v>164</v>
      </c>
      <c r="AE67" s="143">
        <v>0</v>
      </c>
      <c r="AF67" s="1" t="s">
        <v>213</v>
      </c>
      <c r="AG67" s="142">
        <v>0</v>
      </c>
      <c r="AH67" s="142">
        <v>0</v>
      </c>
      <c r="AI67" s="142">
        <v>0</v>
      </c>
      <c r="AJ67" s="14" t="s">
        <v>1837</v>
      </c>
      <c r="AK67" s="142" t="s">
        <v>106</v>
      </c>
      <c r="AL67" s="80">
        <v>0</v>
      </c>
      <c r="AM67" s="1" t="s">
        <v>213</v>
      </c>
      <c r="AN67" s="1" t="s">
        <v>164</v>
      </c>
      <c r="AO67" s="1" t="s">
        <v>164</v>
      </c>
      <c r="AP67" s="143">
        <v>0</v>
      </c>
      <c r="AQ67" s="1" t="s">
        <v>213</v>
      </c>
      <c r="AR67" s="142">
        <v>0</v>
      </c>
      <c r="AS67" s="142">
        <v>0</v>
      </c>
      <c r="AT67" s="142">
        <v>0</v>
      </c>
      <c r="AU67" s="4" t="s">
        <v>103</v>
      </c>
    </row>
    <row r="68" spans="1:47" x14ac:dyDescent="0.2">
      <c r="A68" s="174"/>
      <c r="B68" s="9" t="s">
        <v>3971</v>
      </c>
      <c r="C68" s="1" t="s">
        <v>1836</v>
      </c>
      <c r="D68" s="142" t="s">
        <v>106</v>
      </c>
      <c r="E68" s="80">
        <v>0</v>
      </c>
      <c r="F68" s="1" t="s">
        <v>169</v>
      </c>
      <c r="G68" s="80">
        <v>0</v>
      </c>
      <c r="H68" s="1" t="s">
        <v>163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1835</v>
      </c>
      <c r="O68" s="142" t="s">
        <v>106</v>
      </c>
      <c r="P68" s="80">
        <v>0</v>
      </c>
      <c r="Q68" s="1" t="s">
        <v>169</v>
      </c>
      <c r="R68" s="80">
        <v>0</v>
      </c>
      <c r="S68" s="1" t="s">
        <v>163</v>
      </c>
      <c r="T68" s="143">
        <v>0</v>
      </c>
      <c r="U68" s="1" t="s">
        <v>163</v>
      </c>
      <c r="V68" s="142">
        <v>0</v>
      </c>
      <c r="W68" s="142">
        <v>0</v>
      </c>
      <c r="X68" s="142">
        <v>0</v>
      </c>
      <c r="Y68" s="14" t="s">
        <v>1834</v>
      </c>
      <c r="Z68" s="142" t="s">
        <v>106</v>
      </c>
      <c r="AA68" s="80">
        <v>0.8</v>
      </c>
      <c r="AB68" s="1" t="s">
        <v>506</v>
      </c>
      <c r="AC68" s="80">
        <v>0</v>
      </c>
      <c r="AD68" s="1" t="s">
        <v>218</v>
      </c>
      <c r="AE68" s="143">
        <v>0.4</v>
      </c>
      <c r="AF68" s="1" t="s">
        <v>501</v>
      </c>
      <c r="AG68" s="142">
        <v>7266</v>
      </c>
      <c r="AH68" s="142">
        <v>1816.5</v>
      </c>
      <c r="AI68" s="142">
        <v>1768</v>
      </c>
      <c r="AJ68" s="14" t="s">
        <v>1833</v>
      </c>
      <c r="AK68" s="142" t="s">
        <v>106</v>
      </c>
      <c r="AL68" s="80">
        <v>0.8</v>
      </c>
      <c r="AM68" s="1" t="s">
        <v>506</v>
      </c>
      <c r="AN68" s="80">
        <v>0</v>
      </c>
      <c r="AO68" s="1" t="s">
        <v>218</v>
      </c>
      <c r="AP68" s="143">
        <v>0.4</v>
      </c>
      <c r="AQ68" s="1" t="s">
        <v>501</v>
      </c>
      <c r="AR68" s="142">
        <v>7008</v>
      </c>
      <c r="AS68" s="142">
        <v>1752</v>
      </c>
      <c r="AT68" s="142">
        <v>1755.5</v>
      </c>
      <c r="AU68" s="4" t="s">
        <v>102</v>
      </c>
    </row>
    <row r="69" spans="1:47" x14ac:dyDescent="0.2">
      <c r="A69" s="174"/>
      <c r="B69" s="9" t="s">
        <v>3972</v>
      </c>
      <c r="C69" s="1" t="s">
        <v>1832</v>
      </c>
      <c r="D69" s="142" t="s">
        <v>106</v>
      </c>
      <c r="E69" s="80">
        <v>1</v>
      </c>
      <c r="F69" s="1" t="s">
        <v>452</v>
      </c>
      <c r="G69" s="1" t="s">
        <v>164</v>
      </c>
      <c r="H69" s="1" t="s">
        <v>164</v>
      </c>
      <c r="I69" s="143">
        <v>1</v>
      </c>
      <c r="J69" s="1" t="s">
        <v>452</v>
      </c>
      <c r="K69" s="142">
        <v>1787</v>
      </c>
      <c r="L69" s="142">
        <v>1787</v>
      </c>
      <c r="M69" s="142">
        <v>1787</v>
      </c>
      <c r="N69" s="14" t="s">
        <v>1831</v>
      </c>
      <c r="O69" s="142" t="s">
        <v>106</v>
      </c>
      <c r="P69" s="80">
        <v>1</v>
      </c>
      <c r="Q69" s="1" t="s">
        <v>452</v>
      </c>
      <c r="R69" s="1" t="s">
        <v>164</v>
      </c>
      <c r="S69" s="1" t="s">
        <v>164</v>
      </c>
      <c r="T69" s="143">
        <v>1</v>
      </c>
      <c r="U69" s="1" t="s">
        <v>452</v>
      </c>
      <c r="V69" s="142">
        <v>1769</v>
      </c>
      <c r="W69" s="142">
        <v>1769</v>
      </c>
      <c r="X69" s="142">
        <v>1769</v>
      </c>
      <c r="Y69" s="14" t="s">
        <v>1830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15411</v>
      </c>
      <c r="AH69" s="142">
        <v>1712.33</v>
      </c>
      <c r="AI69" s="142">
        <v>1705</v>
      </c>
      <c r="AJ69" s="14" t="s">
        <v>1829</v>
      </c>
      <c r="AK69" s="142" t="s">
        <v>106</v>
      </c>
      <c r="AL69" s="80">
        <v>0.9</v>
      </c>
      <c r="AM69" s="1" t="s">
        <v>951</v>
      </c>
      <c r="AN69" s="1" t="s">
        <v>164</v>
      </c>
      <c r="AO69" s="1" t="s">
        <v>164</v>
      </c>
      <c r="AP69" s="143">
        <v>0.9</v>
      </c>
      <c r="AQ69" s="1" t="s">
        <v>951</v>
      </c>
      <c r="AR69" s="142">
        <v>15752</v>
      </c>
      <c r="AS69" s="142">
        <v>1750.22</v>
      </c>
      <c r="AT69" s="142">
        <v>1750</v>
      </c>
      <c r="AU69" s="4" t="s">
        <v>102</v>
      </c>
    </row>
    <row r="70" spans="1:47" x14ac:dyDescent="0.2">
      <c r="A70" s="174"/>
      <c r="B70" s="9" t="s">
        <v>70</v>
      </c>
      <c r="C70" s="1" t="s">
        <v>1828</v>
      </c>
      <c r="D70" s="142" t="s">
        <v>106</v>
      </c>
      <c r="E70" s="80">
        <v>0</v>
      </c>
      <c r="F70" s="1" t="s">
        <v>169</v>
      </c>
      <c r="G70" s="80">
        <v>0</v>
      </c>
      <c r="H70" s="1" t="s">
        <v>163</v>
      </c>
      <c r="I70" s="143">
        <v>0</v>
      </c>
      <c r="J70" s="1" t="s">
        <v>163</v>
      </c>
      <c r="K70" s="142">
        <v>0</v>
      </c>
      <c r="L70" s="142">
        <v>0</v>
      </c>
      <c r="M70" s="142">
        <v>0</v>
      </c>
      <c r="N70" s="14" t="s">
        <v>1827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1826</v>
      </c>
      <c r="Z70" s="142" t="s">
        <v>106</v>
      </c>
      <c r="AA70" s="80">
        <v>1</v>
      </c>
      <c r="AB70" s="1" t="s">
        <v>516</v>
      </c>
      <c r="AC70" s="80">
        <v>0</v>
      </c>
      <c r="AD70" s="1" t="s">
        <v>218</v>
      </c>
      <c r="AE70" s="143">
        <v>0.5</v>
      </c>
      <c r="AF70" s="1" t="s">
        <v>511</v>
      </c>
      <c r="AG70" s="142">
        <v>8849</v>
      </c>
      <c r="AH70" s="142">
        <v>1769.8</v>
      </c>
      <c r="AI70" s="142">
        <v>1764</v>
      </c>
      <c r="AJ70" s="14" t="s">
        <v>1825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2">
        <v>0</v>
      </c>
      <c r="AU70" s="4" t="s">
        <v>102</v>
      </c>
    </row>
    <row r="71" spans="1:47" x14ac:dyDescent="0.2">
      <c r="A71" s="174"/>
      <c r="B71" s="9" t="s">
        <v>71</v>
      </c>
      <c r="C71" s="1" t="s">
        <v>1824</v>
      </c>
      <c r="D71" s="142" t="s">
        <v>106</v>
      </c>
      <c r="E71" s="80">
        <v>1</v>
      </c>
      <c r="F71" s="1" t="s">
        <v>452</v>
      </c>
      <c r="G71" s="1" t="s">
        <v>164</v>
      </c>
      <c r="H71" s="1" t="s">
        <v>164</v>
      </c>
      <c r="I71" s="143">
        <v>1</v>
      </c>
      <c r="J71" s="1" t="s">
        <v>452</v>
      </c>
      <c r="K71" s="142">
        <v>1841</v>
      </c>
      <c r="L71" s="142">
        <v>1841</v>
      </c>
      <c r="M71" s="142">
        <v>1841</v>
      </c>
      <c r="N71" s="14" t="s">
        <v>1823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1822</v>
      </c>
      <c r="Z71" s="142" t="s">
        <v>106</v>
      </c>
      <c r="AA71" s="80">
        <v>1</v>
      </c>
      <c r="AB71" s="1" t="s">
        <v>529</v>
      </c>
      <c r="AC71" s="1" t="s">
        <v>164</v>
      </c>
      <c r="AD71" s="1" t="s">
        <v>164</v>
      </c>
      <c r="AE71" s="143">
        <v>1</v>
      </c>
      <c r="AF71" s="1" t="s">
        <v>529</v>
      </c>
      <c r="AG71" s="142">
        <v>17655</v>
      </c>
      <c r="AH71" s="142">
        <v>1765.5</v>
      </c>
      <c r="AI71" s="142">
        <v>1765.5</v>
      </c>
      <c r="AJ71" s="14" t="s">
        <v>1821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4"/>
      <c r="B72" s="9" t="s">
        <v>72</v>
      </c>
      <c r="C72" s="1" t="s">
        <v>1820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1819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1818</v>
      </c>
      <c r="Z72" s="142" t="s">
        <v>106</v>
      </c>
      <c r="AA72" s="80">
        <v>1</v>
      </c>
      <c r="AB72" s="1" t="s">
        <v>516</v>
      </c>
      <c r="AC72" s="80">
        <v>0</v>
      </c>
      <c r="AD72" s="1" t="s">
        <v>218</v>
      </c>
      <c r="AE72" s="143">
        <v>0.5</v>
      </c>
      <c r="AF72" s="1" t="s">
        <v>511</v>
      </c>
      <c r="AG72" s="142">
        <v>8529</v>
      </c>
      <c r="AH72" s="142">
        <v>1705.8</v>
      </c>
      <c r="AI72" s="142">
        <v>1707</v>
      </c>
      <c r="AJ72" s="14" t="s">
        <v>1817</v>
      </c>
      <c r="AK72" s="142" t="s">
        <v>106</v>
      </c>
      <c r="AL72" s="80">
        <v>1</v>
      </c>
      <c r="AM72" s="1" t="s">
        <v>516</v>
      </c>
      <c r="AN72" s="80">
        <v>0</v>
      </c>
      <c r="AO72" s="1" t="s">
        <v>218</v>
      </c>
      <c r="AP72" s="143">
        <v>0.5</v>
      </c>
      <c r="AQ72" s="1" t="s">
        <v>511</v>
      </c>
      <c r="AR72" s="142">
        <v>8800</v>
      </c>
      <c r="AS72" s="142">
        <v>1760</v>
      </c>
      <c r="AT72" s="142">
        <v>1728</v>
      </c>
      <c r="AU72" s="4" t="s">
        <v>102</v>
      </c>
    </row>
    <row r="73" spans="1:47" x14ac:dyDescent="0.2">
      <c r="A73" s="174"/>
      <c r="B73" s="9" t="s">
        <v>73</v>
      </c>
      <c r="C73" s="1" t="s">
        <v>1816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1747</v>
      </c>
      <c r="L73" s="142">
        <v>1747</v>
      </c>
      <c r="M73" s="142">
        <v>1747</v>
      </c>
      <c r="N73" s="14" t="s">
        <v>1815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1725</v>
      </c>
      <c r="W73" s="142">
        <v>1725</v>
      </c>
      <c r="X73" s="142">
        <v>1725</v>
      </c>
      <c r="Y73" s="14" t="s">
        <v>1814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17040</v>
      </c>
      <c r="AH73" s="142">
        <v>1704</v>
      </c>
      <c r="AI73" s="142">
        <v>1699.5</v>
      </c>
      <c r="AJ73" s="14" t="s">
        <v>1813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17250</v>
      </c>
      <c r="AS73" s="142">
        <v>1725</v>
      </c>
      <c r="AT73" s="142">
        <v>1724</v>
      </c>
      <c r="AU73" s="4" t="s">
        <v>102</v>
      </c>
    </row>
    <row r="74" spans="1:47" x14ac:dyDescent="0.2">
      <c r="A74" s="174"/>
      <c r="B74" s="9" t="s">
        <v>74</v>
      </c>
      <c r="C74" s="1" t="s">
        <v>1812</v>
      </c>
      <c r="D74" s="142" t="s">
        <v>106</v>
      </c>
      <c r="E74" s="80">
        <v>0</v>
      </c>
      <c r="F74" s="1" t="s">
        <v>169</v>
      </c>
      <c r="G74" s="80">
        <v>1</v>
      </c>
      <c r="H74" s="1" t="s">
        <v>452</v>
      </c>
      <c r="I74" s="143">
        <v>1</v>
      </c>
      <c r="J74" s="1" t="s">
        <v>452</v>
      </c>
      <c r="K74" s="142">
        <v>1767</v>
      </c>
      <c r="L74" s="142">
        <v>1767</v>
      </c>
      <c r="M74" s="142">
        <v>1767</v>
      </c>
      <c r="N74" s="14" t="s">
        <v>1811</v>
      </c>
      <c r="O74" s="142" t="s">
        <v>106</v>
      </c>
      <c r="P74" s="80">
        <v>0</v>
      </c>
      <c r="Q74" s="1" t="s">
        <v>169</v>
      </c>
      <c r="R74" s="80">
        <v>1</v>
      </c>
      <c r="S74" s="1" t="s">
        <v>452</v>
      </c>
      <c r="T74" s="143">
        <v>1</v>
      </c>
      <c r="U74" s="1" t="s">
        <v>452</v>
      </c>
      <c r="V74" s="142">
        <v>1708</v>
      </c>
      <c r="W74" s="142">
        <v>1708</v>
      </c>
      <c r="X74" s="142">
        <v>1708</v>
      </c>
      <c r="Y74" s="14" t="s">
        <v>1810</v>
      </c>
      <c r="Z74" s="142" t="s">
        <v>106</v>
      </c>
      <c r="AA74" s="80">
        <v>0.8</v>
      </c>
      <c r="AB74" s="1" t="s">
        <v>506</v>
      </c>
      <c r="AC74" s="80">
        <v>0.8</v>
      </c>
      <c r="AD74" s="1" t="s">
        <v>506</v>
      </c>
      <c r="AE74" s="143">
        <v>0.8</v>
      </c>
      <c r="AF74" s="1" t="s">
        <v>1077</v>
      </c>
      <c r="AG74" s="142">
        <v>13663</v>
      </c>
      <c r="AH74" s="142">
        <v>1707.88</v>
      </c>
      <c r="AI74" s="142">
        <v>1708</v>
      </c>
      <c r="AJ74" s="14" t="s">
        <v>1809</v>
      </c>
      <c r="AK74" s="142" t="s">
        <v>106</v>
      </c>
      <c r="AL74" s="80">
        <v>0.8</v>
      </c>
      <c r="AM74" s="1" t="s">
        <v>506</v>
      </c>
      <c r="AN74" s="80">
        <v>0.6</v>
      </c>
      <c r="AO74" s="1" t="s">
        <v>964</v>
      </c>
      <c r="AP74" s="143">
        <v>0.7</v>
      </c>
      <c r="AQ74" s="1" t="s">
        <v>973</v>
      </c>
      <c r="AR74" s="142">
        <v>12163</v>
      </c>
      <c r="AS74" s="142">
        <v>1737.57</v>
      </c>
      <c r="AT74" s="142">
        <v>1739</v>
      </c>
      <c r="AU74" s="4" t="s">
        <v>102</v>
      </c>
    </row>
    <row r="75" spans="1:47" x14ac:dyDescent="0.2">
      <c r="A75" s="174"/>
      <c r="B75" s="9" t="s">
        <v>75</v>
      </c>
      <c r="C75" s="1" t="s">
        <v>1808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1807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1806</v>
      </c>
      <c r="Z75" s="142" t="s">
        <v>106</v>
      </c>
      <c r="AA75" s="80">
        <v>0.5</v>
      </c>
      <c r="AB75" s="1" t="s">
        <v>511</v>
      </c>
      <c r="AC75" s="1" t="s">
        <v>164</v>
      </c>
      <c r="AD75" s="1" t="s">
        <v>164</v>
      </c>
      <c r="AE75" s="143">
        <v>0.5</v>
      </c>
      <c r="AF75" s="1" t="s">
        <v>511</v>
      </c>
      <c r="AG75" s="142">
        <v>8648</v>
      </c>
      <c r="AH75" s="142">
        <v>1729.6</v>
      </c>
      <c r="AI75" s="142">
        <v>1720</v>
      </c>
      <c r="AJ75" s="14" t="s">
        <v>1805</v>
      </c>
      <c r="AK75" s="142" t="s">
        <v>106</v>
      </c>
      <c r="AL75" s="80">
        <v>0.5</v>
      </c>
      <c r="AM75" s="1" t="s">
        <v>511</v>
      </c>
      <c r="AN75" s="1" t="s">
        <v>164</v>
      </c>
      <c r="AO75" s="1" t="s">
        <v>164</v>
      </c>
      <c r="AP75" s="143">
        <v>0.5</v>
      </c>
      <c r="AQ75" s="1" t="s">
        <v>511</v>
      </c>
      <c r="AR75" s="142">
        <v>8679</v>
      </c>
      <c r="AS75" s="142">
        <v>1735.8</v>
      </c>
      <c r="AT75" s="142">
        <v>1729</v>
      </c>
      <c r="AU75" s="4" t="s">
        <v>102</v>
      </c>
    </row>
    <row r="76" spans="1:47" x14ac:dyDescent="0.2">
      <c r="A76" s="174"/>
      <c r="B76" s="9" t="s">
        <v>160</v>
      </c>
      <c r="C76" s="1" t="s">
        <v>1804</v>
      </c>
      <c r="D76" s="142" t="s">
        <v>106</v>
      </c>
      <c r="E76" s="80">
        <v>0</v>
      </c>
      <c r="F76" s="1" t="s">
        <v>163</v>
      </c>
      <c r="G76" s="1" t="s">
        <v>164</v>
      </c>
      <c r="H76" s="1" t="s">
        <v>164</v>
      </c>
      <c r="I76" s="143">
        <v>0</v>
      </c>
      <c r="J76" s="1" t="s">
        <v>163</v>
      </c>
      <c r="K76" s="142">
        <v>0</v>
      </c>
      <c r="L76" s="142">
        <v>0</v>
      </c>
      <c r="M76" s="142">
        <v>0</v>
      </c>
      <c r="N76" s="14" t="s">
        <v>1803</v>
      </c>
      <c r="O76" s="142" t="s">
        <v>106</v>
      </c>
      <c r="P76" s="80">
        <v>0</v>
      </c>
      <c r="Q76" s="1" t="s">
        <v>163</v>
      </c>
      <c r="R76" s="1" t="s">
        <v>164</v>
      </c>
      <c r="S76" s="1" t="s">
        <v>164</v>
      </c>
      <c r="T76" s="143">
        <v>0</v>
      </c>
      <c r="U76" s="1" t="s">
        <v>163</v>
      </c>
      <c r="V76" s="142">
        <v>0</v>
      </c>
      <c r="W76" s="142">
        <v>0</v>
      </c>
      <c r="X76" s="142">
        <v>0</v>
      </c>
      <c r="Y76" s="14" t="s">
        <v>1802</v>
      </c>
      <c r="Z76" s="142" t="s">
        <v>106</v>
      </c>
      <c r="AA76" s="80">
        <v>0</v>
      </c>
      <c r="AB76" s="1" t="s">
        <v>213</v>
      </c>
      <c r="AC76" s="1" t="s">
        <v>164</v>
      </c>
      <c r="AD76" s="1" t="s">
        <v>164</v>
      </c>
      <c r="AE76" s="143">
        <v>0</v>
      </c>
      <c r="AF76" s="1" t="s">
        <v>213</v>
      </c>
      <c r="AG76" s="142">
        <v>0</v>
      </c>
      <c r="AH76" s="142">
        <v>0</v>
      </c>
      <c r="AI76" s="142">
        <v>0</v>
      </c>
      <c r="AJ76" s="14" t="s">
        <v>1801</v>
      </c>
      <c r="AK76" s="142" t="s">
        <v>106</v>
      </c>
      <c r="AL76" s="80">
        <v>0</v>
      </c>
      <c r="AM76" s="1" t="s">
        <v>213</v>
      </c>
      <c r="AN76" s="1" t="s">
        <v>164</v>
      </c>
      <c r="AO76" s="1" t="s">
        <v>164</v>
      </c>
      <c r="AP76" s="143">
        <v>0</v>
      </c>
      <c r="AQ76" s="1" t="s">
        <v>213</v>
      </c>
      <c r="AR76" s="142">
        <v>0</v>
      </c>
      <c r="AS76" s="142">
        <v>0</v>
      </c>
      <c r="AT76" s="142">
        <v>0</v>
      </c>
      <c r="AU76" s="4" t="s">
        <v>103</v>
      </c>
    </row>
    <row r="77" spans="1:47" x14ac:dyDescent="0.2">
      <c r="A77" s="174"/>
      <c r="B77" s="9" t="s">
        <v>76</v>
      </c>
      <c r="C77" s="1" t="s">
        <v>1800</v>
      </c>
      <c r="D77" s="142" t="s">
        <v>106</v>
      </c>
      <c r="E77" s="80">
        <v>0</v>
      </c>
      <c r="F77" s="1" t="s">
        <v>163</v>
      </c>
      <c r="G77" s="1" t="s">
        <v>164</v>
      </c>
      <c r="H77" s="1" t="s">
        <v>164</v>
      </c>
      <c r="I77" s="143">
        <v>0</v>
      </c>
      <c r="J77" s="1" t="s">
        <v>163</v>
      </c>
      <c r="K77" s="142">
        <v>0</v>
      </c>
      <c r="L77" s="142">
        <v>0</v>
      </c>
      <c r="M77" s="142">
        <v>0</v>
      </c>
      <c r="N77" s="14" t="s">
        <v>1799</v>
      </c>
      <c r="O77" s="142" t="s">
        <v>106</v>
      </c>
      <c r="P77" s="80">
        <v>0</v>
      </c>
      <c r="Q77" s="1" t="s">
        <v>163</v>
      </c>
      <c r="R77" s="1" t="s">
        <v>164</v>
      </c>
      <c r="S77" s="1" t="s">
        <v>164</v>
      </c>
      <c r="T77" s="143">
        <v>0</v>
      </c>
      <c r="U77" s="1" t="s">
        <v>163</v>
      </c>
      <c r="V77" s="142">
        <v>0</v>
      </c>
      <c r="W77" s="142">
        <v>0</v>
      </c>
      <c r="X77" s="142">
        <v>0</v>
      </c>
      <c r="Y77" s="14" t="s">
        <v>1798</v>
      </c>
      <c r="Z77" s="142" t="s">
        <v>106</v>
      </c>
      <c r="AA77" s="80">
        <v>0</v>
      </c>
      <c r="AB77" s="1" t="s">
        <v>213</v>
      </c>
      <c r="AC77" s="1" t="s">
        <v>164</v>
      </c>
      <c r="AD77" s="1" t="s">
        <v>164</v>
      </c>
      <c r="AE77" s="143">
        <v>0</v>
      </c>
      <c r="AF77" s="1" t="s">
        <v>213</v>
      </c>
      <c r="AG77" s="142">
        <v>0</v>
      </c>
      <c r="AH77" s="142">
        <v>0</v>
      </c>
      <c r="AI77" s="142">
        <v>0</v>
      </c>
      <c r="AJ77" s="14" t="s">
        <v>1797</v>
      </c>
      <c r="AK77" s="142" t="s">
        <v>106</v>
      </c>
      <c r="AL77" s="80">
        <v>0</v>
      </c>
      <c r="AM77" s="1" t="s">
        <v>213</v>
      </c>
      <c r="AN77" s="1" t="s">
        <v>164</v>
      </c>
      <c r="AO77" s="1" t="s">
        <v>164</v>
      </c>
      <c r="AP77" s="143">
        <v>0</v>
      </c>
      <c r="AQ77" s="1" t="s">
        <v>213</v>
      </c>
      <c r="AR77" s="142">
        <v>0</v>
      </c>
      <c r="AS77" s="142">
        <v>0</v>
      </c>
      <c r="AT77" s="142">
        <v>0</v>
      </c>
      <c r="AU77" s="4" t="s">
        <v>103</v>
      </c>
    </row>
    <row r="78" spans="1:47" x14ac:dyDescent="0.2">
      <c r="A78" s="174"/>
      <c r="B78" s="9" t="s">
        <v>161</v>
      </c>
      <c r="C78" s="1" t="s">
        <v>1796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1795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1794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1793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4"/>
      <c r="B79" s="9" t="s">
        <v>77</v>
      </c>
      <c r="C79" s="1" t="s">
        <v>1792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1791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1790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1789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4"/>
      <c r="B80" s="9" t="s">
        <v>162</v>
      </c>
      <c r="C80" s="1" t="s">
        <v>1788</v>
      </c>
      <c r="D80" s="142" t="s">
        <v>106</v>
      </c>
      <c r="E80" s="80">
        <v>0</v>
      </c>
      <c r="F80" s="1" t="s">
        <v>163</v>
      </c>
      <c r="G80" s="1" t="s">
        <v>164</v>
      </c>
      <c r="H80" s="1" t="s">
        <v>164</v>
      </c>
      <c r="I80" s="143">
        <v>0</v>
      </c>
      <c r="J80" s="1" t="s">
        <v>163</v>
      </c>
      <c r="K80" s="142">
        <v>0</v>
      </c>
      <c r="L80" s="142">
        <v>0</v>
      </c>
      <c r="M80" s="142">
        <v>0</v>
      </c>
      <c r="N80" s="14" t="s">
        <v>1787</v>
      </c>
      <c r="O80" s="142" t="s">
        <v>106</v>
      </c>
      <c r="P80" s="80">
        <v>0</v>
      </c>
      <c r="Q80" s="1" t="s">
        <v>163</v>
      </c>
      <c r="R80" s="1" t="s">
        <v>164</v>
      </c>
      <c r="S80" s="1" t="s">
        <v>164</v>
      </c>
      <c r="T80" s="143">
        <v>0</v>
      </c>
      <c r="U80" s="1" t="s">
        <v>163</v>
      </c>
      <c r="V80" s="142">
        <v>0</v>
      </c>
      <c r="W80" s="142">
        <v>0</v>
      </c>
      <c r="X80" s="142">
        <v>0</v>
      </c>
      <c r="Y80" s="14" t="s">
        <v>1786</v>
      </c>
      <c r="Z80" s="142" t="s">
        <v>106</v>
      </c>
      <c r="AA80" s="80">
        <v>0</v>
      </c>
      <c r="AB80" s="1" t="s">
        <v>213</v>
      </c>
      <c r="AC80" s="1" t="s">
        <v>164</v>
      </c>
      <c r="AD80" s="1" t="s">
        <v>164</v>
      </c>
      <c r="AE80" s="143">
        <v>0</v>
      </c>
      <c r="AF80" s="1" t="s">
        <v>213</v>
      </c>
      <c r="AG80" s="142">
        <v>0</v>
      </c>
      <c r="AH80" s="142">
        <v>0</v>
      </c>
      <c r="AI80" s="142">
        <v>0</v>
      </c>
      <c r="AJ80" s="14" t="s">
        <v>1785</v>
      </c>
      <c r="AK80" s="142" t="s">
        <v>106</v>
      </c>
      <c r="AL80" s="80">
        <v>0</v>
      </c>
      <c r="AM80" s="1" t="s">
        <v>213</v>
      </c>
      <c r="AN80" s="1" t="s">
        <v>164</v>
      </c>
      <c r="AO80" s="1" t="s">
        <v>164</v>
      </c>
      <c r="AP80" s="143">
        <v>0</v>
      </c>
      <c r="AQ80" s="1" t="s">
        <v>213</v>
      </c>
      <c r="AR80" s="142">
        <v>0</v>
      </c>
      <c r="AS80" s="142">
        <v>0</v>
      </c>
      <c r="AT80" s="142">
        <v>0</v>
      </c>
      <c r="AU80" s="4" t="s">
        <v>103</v>
      </c>
    </row>
    <row r="81" spans="1:47" x14ac:dyDescent="0.2">
      <c r="A81" s="174"/>
      <c r="B81" s="9" t="s">
        <v>78</v>
      </c>
      <c r="C81" s="1" t="s">
        <v>1784</v>
      </c>
      <c r="D81" s="142" t="s">
        <v>106</v>
      </c>
      <c r="E81" s="80">
        <v>0</v>
      </c>
      <c r="F81" s="1" t="s">
        <v>163</v>
      </c>
      <c r="G81" s="1" t="s">
        <v>164</v>
      </c>
      <c r="H81" s="1" t="s">
        <v>164</v>
      </c>
      <c r="I81" s="143">
        <v>0</v>
      </c>
      <c r="J81" s="1" t="s">
        <v>163</v>
      </c>
      <c r="K81" s="142">
        <v>0</v>
      </c>
      <c r="L81" s="142">
        <v>0</v>
      </c>
      <c r="M81" s="142">
        <v>0</v>
      </c>
      <c r="N81" s="14" t="s">
        <v>1783</v>
      </c>
      <c r="O81" s="142" t="s">
        <v>106</v>
      </c>
      <c r="P81" s="80">
        <v>0</v>
      </c>
      <c r="Q81" s="1" t="s">
        <v>163</v>
      </c>
      <c r="R81" s="1" t="s">
        <v>164</v>
      </c>
      <c r="S81" s="1" t="s">
        <v>164</v>
      </c>
      <c r="T81" s="143">
        <v>0</v>
      </c>
      <c r="U81" s="1" t="s">
        <v>163</v>
      </c>
      <c r="V81" s="142">
        <v>0</v>
      </c>
      <c r="W81" s="142">
        <v>0</v>
      </c>
      <c r="X81" s="142">
        <v>0</v>
      </c>
      <c r="Y81" s="14" t="s">
        <v>1782</v>
      </c>
      <c r="Z81" s="142" t="s">
        <v>106</v>
      </c>
      <c r="AA81" s="80">
        <v>0</v>
      </c>
      <c r="AB81" s="1" t="s">
        <v>213</v>
      </c>
      <c r="AC81" s="1" t="s">
        <v>164</v>
      </c>
      <c r="AD81" s="1" t="s">
        <v>164</v>
      </c>
      <c r="AE81" s="143">
        <v>0</v>
      </c>
      <c r="AF81" s="1" t="s">
        <v>213</v>
      </c>
      <c r="AG81" s="142">
        <v>0</v>
      </c>
      <c r="AH81" s="142">
        <v>0</v>
      </c>
      <c r="AI81" s="142">
        <v>0</v>
      </c>
      <c r="AJ81" s="14" t="s">
        <v>1781</v>
      </c>
      <c r="AK81" s="142" t="s">
        <v>106</v>
      </c>
      <c r="AL81" s="80">
        <v>0</v>
      </c>
      <c r="AM81" s="1" t="s">
        <v>213</v>
      </c>
      <c r="AN81" s="1" t="s">
        <v>164</v>
      </c>
      <c r="AO81" s="1" t="s">
        <v>164</v>
      </c>
      <c r="AP81" s="143">
        <v>0</v>
      </c>
      <c r="AQ81" s="1" t="s">
        <v>213</v>
      </c>
      <c r="AR81" s="142">
        <v>0</v>
      </c>
      <c r="AS81" s="142">
        <v>0</v>
      </c>
      <c r="AT81" s="142">
        <v>0</v>
      </c>
      <c r="AU81" s="4" t="s">
        <v>103</v>
      </c>
    </row>
    <row r="82" spans="1:47" x14ac:dyDescent="0.2">
      <c r="A82" s="174"/>
      <c r="B82" s="9" t="s">
        <v>79</v>
      </c>
      <c r="C82" s="1" t="s">
        <v>1780</v>
      </c>
      <c r="D82" s="142" t="s">
        <v>106</v>
      </c>
      <c r="E82" s="80">
        <v>0</v>
      </c>
      <c r="F82" s="1" t="s">
        <v>169</v>
      </c>
      <c r="G82" s="80">
        <v>1</v>
      </c>
      <c r="H82" s="1" t="s">
        <v>452</v>
      </c>
      <c r="I82" s="143">
        <v>1</v>
      </c>
      <c r="J82" s="1" t="s">
        <v>452</v>
      </c>
      <c r="K82" s="142">
        <v>1884</v>
      </c>
      <c r="L82" s="142">
        <v>1884</v>
      </c>
      <c r="M82" s="142">
        <v>1884</v>
      </c>
      <c r="N82" s="14" t="s">
        <v>1779</v>
      </c>
      <c r="O82" s="142" t="s">
        <v>106</v>
      </c>
      <c r="P82" s="80">
        <v>0</v>
      </c>
      <c r="Q82" s="1" t="s">
        <v>169</v>
      </c>
      <c r="R82" s="80">
        <v>1</v>
      </c>
      <c r="S82" s="1" t="s">
        <v>452</v>
      </c>
      <c r="T82" s="143">
        <v>1</v>
      </c>
      <c r="U82" s="1" t="s">
        <v>452</v>
      </c>
      <c r="V82" s="142">
        <v>2077</v>
      </c>
      <c r="W82" s="142">
        <v>2077</v>
      </c>
      <c r="X82" s="142">
        <v>2077</v>
      </c>
      <c r="Y82" s="14" t="s">
        <v>1778</v>
      </c>
      <c r="Z82" s="142" t="s">
        <v>106</v>
      </c>
      <c r="AA82" s="80">
        <v>1</v>
      </c>
      <c r="AB82" s="1" t="s">
        <v>516</v>
      </c>
      <c r="AC82" s="80">
        <v>0</v>
      </c>
      <c r="AD82" s="1" t="s">
        <v>218</v>
      </c>
      <c r="AE82" s="143">
        <v>0.5</v>
      </c>
      <c r="AF82" s="1" t="s">
        <v>511</v>
      </c>
      <c r="AG82" s="142">
        <v>8671</v>
      </c>
      <c r="AH82" s="142">
        <v>1734.2</v>
      </c>
      <c r="AI82" s="142">
        <v>1721</v>
      </c>
      <c r="AJ82" s="14" t="s">
        <v>1777</v>
      </c>
      <c r="AK82" s="142" t="s">
        <v>106</v>
      </c>
      <c r="AL82" s="80">
        <v>1</v>
      </c>
      <c r="AM82" s="1" t="s">
        <v>516</v>
      </c>
      <c r="AN82" s="80">
        <v>0</v>
      </c>
      <c r="AO82" s="1" t="s">
        <v>218</v>
      </c>
      <c r="AP82" s="143">
        <v>0.5</v>
      </c>
      <c r="AQ82" s="1" t="s">
        <v>511</v>
      </c>
      <c r="AR82" s="142">
        <v>11419</v>
      </c>
      <c r="AS82" s="142">
        <v>2283.8000000000002</v>
      </c>
      <c r="AT82" s="142">
        <v>1729</v>
      </c>
      <c r="AU82" s="4" t="s">
        <v>102</v>
      </c>
    </row>
    <row r="83" spans="1:47" x14ac:dyDescent="0.2">
      <c r="A83" s="174"/>
      <c r="B83" s="9" t="s">
        <v>80</v>
      </c>
      <c r="C83" s="1" t="s">
        <v>1776</v>
      </c>
      <c r="D83" s="142" t="s">
        <v>106</v>
      </c>
      <c r="E83" s="80">
        <v>1</v>
      </c>
      <c r="F83" s="1" t="s">
        <v>452</v>
      </c>
      <c r="G83" s="1" t="s">
        <v>164</v>
      </c>
      <c r="H83" s="1" t="s">
        <v>164</v>
      </c>
      <c r="I83" s="143">
        <v>1</v>
      </c>
      <c r="J83" s="1" t="s">
        <v>452</v>
      </c>
      <c r="K83" s="142">
        <v>1770</v>
      </c>
      <c r="L83" s="142">
        <v>1770</v>
      </c>
      <c r="M83" s="142">
        <v>1770</v>
      </c>
      <c r="N83" s="14" t="s">
        <v>1775</v>
      </c>
      <c r="O83" s="142" t="s">
        <v>106</v>
      </c>
      <c r="P83" s="80">
        <v>1</v>
      </c>
      <c r="Q83" s="1" t="s">
        <v>452</v>
      </c>
      <c r="R83" s="1" t="s">
        <v>164</v>
      </c>
      <c r="S83" s="1" t="s">
        <v>164</v>
      </c>
      <c r="T83" s="143">
        <v>1</v>
      </c>
      <c r="U83" s="1" t="s">
        <v>452</v>
      </c>
      <c r="V83" s="142">
        <v>1808</v>
      </c>
      <c r="W83" s="142">
        <v>1808</v>
      </c>
      <c r="X83" s="142">
        <v>1808</v>
      </c>
      <c r="Y83" s="14" t="s">
        <v>1774</v>
      </c>
      <c r="Z83" s="142" t="s">
        <v>106</v>
      </c>
      <c r="AA83" s="80">
        <v>1</v>
      </c>
      <c r="AB83" s="1" t="s">
        <v>529</v>
      </c>
      <c r="AC83" s="1" t="s">
        <v>164</v>
      </c>
      <c r="AD83" s="1" t="s">
        <v>164</v>
      </c>
      <c r="AE83" s="143">
        <v>1</v>
      </c>
      <c r="AF83" s="1" t="s">
        <v>529</v>
      </c>
      <c r="AG83" s="142">
        <v>17112</v>
      </c>
      <c r="AH83" s="142">
        <v>1711.2</v>
      </c>
      <c r="AI83" s="142">
        <v>1707.5</v>
      </c>
      <c r="AJ83" s="14" t="s">
        <v>1773</v>
      </c>
      <c r="AK83" s="142" t="s">
        <v>106</v>
      </c>
      <c r="AL83" s="80">
        <v>1</v>
      </c>
      <c r="AM83" s="1" t="s">
        <v>529</v>
      </c>
      <c r="AN83" s="1" t="s">
        <v>164</v>
      </c>
      <c r="AO83" s="1" t="s">
        <v>164</v>
      </c>
      <c r="AP83" s="143">
        <v>1</v>
      </c>
      <c r="AQ83" s="1" t="s">
        <v>529</v>
      </c>
      <c r="AR83" s="142">
        <v>17961</v>
      </c>
      <c r="AS83" s="142">
        <v>1796.1</v>
      </c>
      <c r="AT83" s="142">
        <v>1739.5</v>
      </c>
      <c r="AU83" s="4" t="s">
        <v>102</v>
      </c>
    </row>
    <row r="84" spans="1:47" x14ac:dyDescent="0.2">
      <c r="A84" s="174"/>
      <c r="B84" s="9" t="s">
        <v>81</v>
      </c>
      <c r="C84" s="1" t="s">
        <v>1772</v>
      </c>
      <c r="D84" s="142" t="s">
        <v>106</v>
      </c>
      <c r="E84" s="80">
        <v>0</v>
      </c>
      <c r="F84" s="1" t="s">
        <v>169</v>
      </c>
      <c r="G84" s="80">
        <v>0</v>
      </c>
      <c r="H84" s="1" t="s">
        <v>163</v>
      </c>
      <c r="I84" s="143">
        <v>0</v>
      </c>
      <c r="J84" s="1" t="s">
        <v>163</v>
      </c>
      <c r="K84" s="142">
        <v>0</v>
      </c>
      <c r="L84" s="142">
        <v>0</v>
      </c>
      <c r="M84" s="142">
        <v>0</v>
      </c>
      <c r="N84" s="14" t="s">
        <v>1771</v>
      </c>
      <c r="O84" s="142" t="s">
        <v>106</v>
      </c>
      <c r="P84" s="80">
        <v>0</v>
      </c>
      <c r="Q84" s="1" t="s">
        <v>169</v>
      </c>
      <c r="R84" s="80">
        <v>0</v>
      </c>
      <c r="S84" s="1" t="s">
        <v>163</v>
      </c>
      <c r="T84" s="143">
        <v>0</v>
      </c>
      <c r="U84" s="1" t="s">
        <v>163</v>
      </c>
      <c r="V84" s="142">
        <v>0</v>
      </c>
      <c r="W84" s="142">
        <v>0</v>
      </c>
      <c r="X84" s="142">
        <v>0</v>
      </c>
      <c r="Y84" s="14" t="s">
        <v>1770</v>
      </c>
      <c r="Z84" s="142" t="s">
        <v>106</v>
      </c>
      <c r="AA84" s="80">
        <v>1</v>
      </c>
      <c r="AB84" s="1" t="s">
        <v>516</v>
      </c>
      <c r="AC84" s="80">
        <v>0</v>
      </c>
      <c r="AD84" s="1" t="s">
        <v>218</v>
      </c>
      <c r="AE84" s="143">
        <v>0.5</v>
      </c>
      <c r="AF84" s="1" t="s">
        <v>511</v>
      </c>
      <c r="AG84" s="142">
        <v>8625</v>
      </c>
      <c r="AH84" s="142">
        <v>1725</v>
      </c>
      <c r="AI84" s="142">
        <v>1714</v>
      </c>
      <c r="AJ84" s="14" t="s">
        <v>1769</v>
      </c>
      <c r="AK84" s="142" t="s">
        <v>106</v>
      </c>
      <c r="AL84" s="80">
        <v>1</v>
      </c>
      <c r="AM84" s="1" t="s">
        <v>516</v>
      </c>
      <c r="AN84" s="80">
        <v>0</v>
      </c>
      <c r="AO84" s="1" t="s">
        <v>218</v>
      </c>
      <c r="AP84" s="143">
        <v>0.5</v>
      </c>
      <c r="AQ84" s="1" t="s">
        <v>511</v>
      </c>
      <c r="AR84" s="142">
        <v>8722</v>
      </c>
      <c r="AS84" s="142">
        <v>1744.4</v>
      </c>
      <c r="AT84" s="142">
        <v>1737</v>
      </c>
      <c r="AU84" s="4" t="s">
        <v>102</v>
      </c>
    </row>
    <row r="85" spans="1:47" x14ac:dyDescent="0.2">
      <c r="A85" s="174"/>
      <c r="B85" s="9" t="s">
        <v>82</v>
      </c>
      <c r="C85" s="1" t="s">
        <v>1768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1809</v>
      </c>
      <c r="L85" s="142">
        <v>1809</v>
      </c>
      <c r="M85" s="142">
        <v>1809</v>
      </c>
      <c r="N85" s="14" t="s">
        <v>1767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1781</v>
      </c>
      <c r="W85" s="142">
        <v>1781</v>
      </c>
      <c r="X85" s="142">
        <v>1781</v>
      </c>
      <c r="Y85" s="14" t="s">
        <v>1766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17245</v>
      </c>
      <c r="AH85" s="142">
        <v>1724.5</v>
      </c>
      <c r="AI85" s="142">
        <v>1728.5</v>
      </c>
      <c r="AJ85" s="14" t="s">
        <v>1765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20099</v>
      </c>
      <c r="AS85" s="142">
        <v>2009.9</v>
      </c>
      <c r="AT85" s="142">
        <v>1756</v>
      </c>
      <c r="AU85" s="4" t="s">
        <v>102</v>
      </c>
    </row>
    <row r="86" spans="1:47" x14ac:dyDescent="0.2">
      <c r="A86" s="174"/>
      <c r="B86" s="9" t="s">
        <v>83</v>
      </c>
      <c r="C86" s="1" t="s">
        <v>1764</v>
      </c>
      <c r="D86" s="142" t="s">
        <v>106</v>
      </c>
      <c r="E86" s="80">
        <v>0</v>
      </c>
      <c r="F86" s="1" t="s">
        <v>169</v>
      </c>
      <c r="G86" s="80">
        <v>1</v>
      </c>
      <c r="H86" s="1" t="s">
        <v>452</v>
      </c>
      <c r="I86" s="143">
        <v>1</v>
      </c>
      <c r="J86" s="1" t="s">
        <v>452</v>
      </c>
      <c r="K86" s="142">
        <v>1944</v>
      </c>
      <c r="L86" s="142">
        <v>1944</v>
      </c>
      <c r="M86" s="142">
        <v>1944</v>
      </c>
      <c r="N86" s="14" t="s">
        <v>1763</v>
      </c>
      <c r="O86" s="142" t="s">
        <v>106</v>
      </c>
      <c r="P86" s="80">
        <v>0</v>
      </c>
      <c r="Q86" s="1" t="s">
        <v>169</v>
      </c>
      <c r="R86" s="80">
        <v>1</v>
      </c>
      <c r="S86" s="1" t="s">
        <v>452</v>
      </c>
      <c r="T86" s="143">
        <v>1</v>
      </c>
      <c r="U86" s="1" t="s">
        <v>452</v>
      </c>
      <c r="V86" s="142">
        <v>1785</v>
      </c>
      <c r="W86" s="142">
        <v>1785</v>
      </c>
      <c r="X86" s="142">
        <v>1785</v>
      </c>
      <c r="Y86" s="14" t="s">
        <v>1762</v>
      </c>
      <c r="Z86" s="142" t="s">
        <v>106</v>
      </c>
      <c r="AA86" s="80">
        <v>1</v>
      </c>
      <c r="AB86" s="1" t="s">
        <v>516</v>
      </c>
      <c r="AC86" s="80">
        <v>0</v>
      </c>
      <c r="AD86" s="1" t="s">
        <v>218</v>
      </c>
      <c r="AE86" s="143">
        <v>0.5</v>
      </c>
      <c r="AF86" s="1" t="s">
        <v>511</v>
      </c>
      <c r="AG86" s="142">
        <v>8715</v>
      </c>
      <c r="AH86" s="142">
        <v>1743</v>
      </c>
      <c r="AI86" s="142">
        <v>1747</v>
      </c>
      <c r="AJ86" s="14" t="s">
        <v>1761</v>
      </c>
      <c r="AK86" s="142" t="s">
        <v>106</v>
      </c>
      <c r="AL86" s="80">
        <v>1</v>
      </c>
      <c r="AM86" s="1" t="s">
        <v>516</v>
      </c>
      <c r="AN86" s="80">
        <v>0</v>
      </c>
      <c r="AO86" s="1" t="s">
        <v>218</v>
      </c>
      <c r="AP86" s="143">
        <v>0.5</v>
      </c>
      <c r="AQ86" s="1" t="s">
        <v>511</v>
      </c>
      <c r="AR86" s="142">
        <v>8844</v>
      </c>
      <c r="AS86" s="142">
        <v>1768.8</v>
      </c>
      <c r="AT86" s="142">
        <v>1765</v>
      </c>
      <c r="AU86" s="4" t="s">
        <v>102</v>
      </c>
    </row>
    <row r="87" spans="1:47" x14ac:dyDescent="0.2">
      <c r="A87" s="174"/>
      <c r="B87" s="9" t="s">
        <v>84</v>
      </c>
      <c r="C87" s="1" t="s">
        <v>1760</v>
      </c>
      <c r="D87" s="142" t="s">
        <v>106</v>
      </c>
      <c r="E87" s="80">
        <v>0</v>
      </c>
      <c r="F87" s="1" t="s">
        <v>163</v>
      </c>
      <c r="G87" s="1" t="s">
        <v>164</v>
      </c>
      <c r="H87" s="1" t="s">
        <v>164</v>
      </c>
      <c r="I87" s="143">
        <v>0</v>
      </c>
      <c r="J87" s="1" t="s">
        <v>163</v>
      </c>
      <c r="K87" s="142">
        <v>0</v>
      </c>
      <c r="L87" s="142">
        <v>0</v>
      </c>
      <c r="M87" s="142">
        <v>0</v>
      </c>
      <c r="N87" s="14" t="s">
        <v>1759</v>
      </c>
      <c r="O87" s="142" t="s">
        <v>106</v>
      </c>
      <c r="P87" s="80">
        <v>0</v>
      </c>
      <c r="Q87" s="1" t="s">
        <v>163</v>
      </c>
      <c r="R87" s="1" t="s">
        <v>164</v>
      </c>
      <c r="S87" s="1" t="s">
        <v>164</v>
      </c>
      <c r="T87" s="143">
        <v>0</v>
      </c>
      <c r="U87" s="1" t="s">
        <v>163</v>
      </c>
      <c r="V87" s="142">
        <v>0</v>
      </c>
      <c r="W87" s="142">
        <v>0</v>
      </c>
      <c r="X87" s="142">
        <v>0</v>
      </c>
      <c r="Y87" s="14" t="s">
        <v>1758</v>
      </c>
      <c r="Z87" s="142" t="s">
        <v>106</v>
      </c>
      <c r="AA87" s="80">
        <v>0.8</v>
      </c>
      <c r="AB87" s="1" t="s">
        <v>1077</v>
      </c>
      <c r="AC87" s="1" t="s">
        <v>164</v>
      </c>
      <c r="AD87" s="1" t="s">
        <v>164</v>
      </c>
      <c r="AE87" s="143">
        <v>0.8</v>
      </c>
      <c r="AF87" s="1" t="s">
        <v>1077</v>
      </c>
      <c r="AG87" s="142">
        <v>13753</v>
      </c>
      <c r="AH87" s="142">
        <v>1719.12</v>
      </c>
      <c r="AI87" s="142">
        <v>1720.5</v>
      </c>
      <c r="AJ87" s="14" t="s">
        <v>1757</v>
      </c>
      <c r="AK87" s="142" t="s">
        <v>106</v>
      </c>
      <c r="AL87" s="80">
        <v>0.8</v>
      </c>
      <c r="AM87" s="1" t="s">
        <v>1077</v>
      </c>
      <c r="AN87" s="1" t="s">
        <v>164</v>
      </c>
      <c r="AO87" s="1" t="s">
        <v>164</v>
      </c>
      <c r="AP87" s="143">
        <v>0.8</v>
      </c>
      <c r="AQ87" s="1" t="s">
        <v>1077</v>
      </c>
      <c r="AR87" s="142">
        <v>16495</v>
      </c>
      <c r="AS87" s="142">
        <v>2061.88</v>
      </c>
      <c r="AT87" s="142">
        <v>1758</v>
      </c>
      <c r="AU87" s="4" t="s">
        <v>102</v>
      </c>
    </row>
    <row r="88" spans="1:47" x14ac:dyDescent="0.2">
      <c r="A88" s="174"/>
      <c r="B88" s="9" t="s">
        <v>85</v>
      </c>
      <c r="C88" s="1" t="s">
        <v>1756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1755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1754</v>
      </c>
      <c r="Z88" s="142" t="s">
        <v>106</v>
      </c>
      <c r="AA88" s="80">
        <v>1</v>
      </c>
      <c r="AB88" s="1" t="s">
        <v>516</v>
      </c>
      <c r="AC88" s="80">
        <v>0</v>
      </c>
      <c r="AD88" s="1" t="s">
        <v>218</v>
      </c>
      <c r="AE88" s="143">
        <v>0.5</v>
      </c>
      <c r="AF88" s="1" t="s">
        <v>511</v>
      </c>
      <c r="AG88" s="142">
        <v>8825</v>
      </c>
      <c r="AH88" s="142">
        <v>1765</v>
      </c>
      <c r="AI88" s="142">
        <v>1735</v>
      </c>
      <c r="AJ88" s="14" t="s">
        <v>1753</v>
      </c>
      <c r="AK88" s="142" t="s">
        <v>106</v>
      </c>
      <c r="AL88" s="80">
        <v>1</v>
      </c>
      <c r="AM88" s="1" t="s">
        <v>516</v>
      </c>
      <c r="AN88" s="80">
        <v>0</v>
      </c>
      <c r="AO88" s="1" t="s">
        <v>218</v>
      </c>
      <c r="AP88" s="143">
        <v>0.5</v>
      </c>
      <c r="AQ88" s="1" t="s">
        <v>511</v>
      </c>
      <c r="AR88" s="142">
        <v>9492</v>
      </c>
      <c r="AS88" s="142">
        <v>1898.4</v>
      </c>
      <c r="AT88" s="142">
        <v>1769</v>
      </c>
      <c r="AU88" s="4" t="s">
        <v>102</v>
      </c>
    </row>
    <row r="89" spans="1:47" x14ac:dyDescent="0.2">
      <c r="A89" s="174"/>
      <c r="B89" s="9" t="s">
        <v>86</v>
      </c>
      <c r="C89" s="1" t="s">
        <v>1752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1779</v>
      </c>
      <c r="L89" s="142">
        <v>1779</v>
      </c>
      <c r="M89" s="142">
        <v>1779</v>
      </c>
      <c r="N89" s="14" t="s">
        <v>1751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1790</v>
      </c>
      <c r="W89" s="142">
        <v>1790</v>
      </c>
      <c r="X89" s="142">
        <v>1790</v>
      </c>
      <c r="Y89" s="14" t="s">
        <v>1750</v>
      </c>
      <c r="Z89" s="142" t="s">
        <v>106</v>
      </c>
      <c r="AA89" s="80">
        <v>1</v>
      </c>
      <c r="AB89" s="1" t="s">
        <v>529</v>
      </c>
      <c r="AC89" s="1" t="s">
        <v>164</v>
      </c>
      <c r="AD89" s="1" t="s">
        <v>164</v>
      </c>
      <c r="AE89" s="143">
        <v>1</v>
      </c>
      <c r="AF89" s="1" t="s">
        <v>529</v>
      </c>
      <c r="AG89" s="142">
        <v>17323</v>
      </c>
      <c r="AH89" s="142">
        <v>1732.3</v>
      </c>
      <c r="AI89" s="142">
        <v>1724.5</v>
      </c>
      <c r="AJ89" s="14" t="s">
        <v>1749</v>
      </c>
      <c r="AK89" s="142" t="s">
        <v>106</v>
      </c>
      <c r="AL89" s="80">
        <v>1</v>
      </c>
      <c r="AM89" s="1" t="s">
        <v>529</v>
      </c>
      <c r="AN89" s="1" t="s">
        <v>164</v>
      </c>
      <c r="AO89" s="1" t="s">
        <v>164</v>
      </c>
      <c r="AP89" s="143">
        <v>1</v>
      </c>
      <c r="AQ89" s="1" t="s">
        <v>529</v>
      </c>
      <c r="AR89" s="142">
        <v>17666</v>
      </c>
      <c r="AS89" s="142">
        <v>1766.6</v>
      </c>
      <c r="AT89" s="142">
        <v>1753.5</v>
      </c>
      <c r="AU89" s="4" t="s">
        <v>102</v>
      </c>
    </row>
    <row r="90" spans="1:47" x14ac:dyDescent="0.2">
      <c r="A90" s="174"/>
      <c r="B90" s="9" t="s">
        <v>87</v>
      </c>
      <c r="C90" s="1" t="s">
        <v>1748</v>
      </c>
      <c r="D90" s="142" t="s">
        <v>106</v>
      </c>
      <c r="E90" s="80">
        <v>0</v>
      </c>
      <c r="F90" s="1" t="s">
        <v>169</v>
      </c>
      <c r="G90" s="80">
        <v>1</v>
      </c>
      <c r="H90" s="1" t="s">
        <v>452</v>
      </c>
      <c r="I90" s="143">
        <v>1</v>
      </c>
      <c r="J90" s="1" t="s">
        <v>452</v>
      </c>
      <c r="K90" s="142">
        <v>3495</v>
      </c>
      <c r="L90" s="142">
        <v>3495</v>
      </c>
      <c r="M90" s="142">
        <v>3495</v>
      </c>
      <c r="N90" s="14" t="s">
        <v>1747</v>
      </c>
      <c r="O90" s="142" t="s">
        <v>106</v>
      </c>
      <c r="P90" s="80">
        <v>0</v>
      </c>
      <c r="Q90" s="1" t="s">
        <v>169</v>
      </c>
      <c r="R90" s="80">
        <v>1</v>
      </c>
      <c r="S90" s="1" t="s">
        <v>452</v>
      </c>
      <c r="T90" s="143">
        <v>1</v>
      </c>
      <c r="U90" s="1" t="s">
        <v>452</v>
      </c>
      <c r="V90" s="142">
        <v>2106</v>
      </c>
      <c r="W90" s="142">
        <v>2106</v>
      </c>
      <c r="X90" s="142">
        <v>2106</v>
      </c>
      <c r="Y90" s="14" t="s">
        <v>1746</v>
      </c>
      <c r="Z90" s="142" t="s">
        <v>106</v>
      </c>
      <c r="AA90" s="80">
        <v>1</v>
      </c>
      <c r="AB90" s="1" t="s">
        <v>516</v>
      </c>
      <c r="AC90" s="80">
        <v>1</v>
      </c>
      <c r="AD90" s="1" t="s">
        <v>516</v>
      </c>
      <c r="AE90" s="143">
        <v>1</v>
      </c>
      <c r="AF90" s="1" t="s">
        <v>529</v>
      </c>
      <c r="AG90" s="142">
        <v>30857</v>
      </c>
      <c r="AH90" s="142">
        <v>3085.7</v>
      </c>
      <c r="AI90" s="142">
        <v>2571</v>
      </c>
      <c r="AJ90" s="14" t="s">
        <v>1745</v>
      </c>
      <c r="AK90" s="142" t="s">
        <v>106</v>
      </c>
      <c r="AL90" s="80">
        <v>1</v>
      </c>
      <c r="AM90" s="1" t="s">
        <v>516</v>
      </c>
      <c r="AN90" s="80">
        <v>1</v>
      </c>
      <c r="AO90" s="1" t="s">
        <v>516</v>
      </c>
      <c r="AP90" s="143">
        <v>1</v>
      </c>
      <c r="AQ90" s="1" t="s">
        <v>529</v>
      </c>
      <c r="AR90" s="142">
        <v>31800</v>
      </c>
      <c r="AS90" s="142">
        <v>3180</v>
      </c>
      <c r="AT90" s="142">
        <v>2635.5</v>
      </c>
      <c r="AU90" s="4" t="s">
        <v>98</v>
      </c>
    </row>
    <row r="91" spans="1:47" x14ac:dyDescent="0.2">
      <c r="A91" s="174"/>
      <c r="B91" s="9" t="s">
        <v>88</v>
      </c>
      <c r="C91" s="1" t="s">
        <v>1744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1743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1742</v>
      </c>
      <c r="Z91" s="142" t="s">
        <v>106</v>
      </c>
      <c r="AA91" s="80">
        <v>1</v>
      </c>
      <c r="AB91" s="1" t="s">
        <v>529</v>
      </c>
      <c r="AC91" s="1" t="s">
        <v>164</v>
      </c>
      <c r="AD91" s="1" t="s">
        <v>164</v>
      </c>
      <c r="AE91" s="143">
        <v>1</v>
      </c>
      <c r="AF91" s="1" t="s">
        <v>529</v>
      </c>
      <c r="AG91" s="142">
        <v>37816</v>
      </c>
      <c r="AH91" s="142">
        <v>3781.6</v>
      </c>
      <c r="AI91" s="142">
        <v>2376.5</v>
      </c>
      <c r="AJ91" s="14" t="s">
        <v>1741</v>
      </c>
      <c r="AK91" s="142" t="s">
        <v>106</v>
      </c>
      <c r="AL91" s="80">
        <v>1</v>
      </c>
      <c r="AM91" s="1" t="s">
        <v>529</v>
      </c>
      <c r="AN91" s="1" t="s">
        <v>164</v>
      </c>
      <c r="AO91" s="1" t="s">
        <v>164</v>
      </c>
      <c r="AP91" s="143">
        <v>1</v>
      </c>
      <c r="AQ91" s="1" t="s">
        <v>529</v>
      </c>
      <c r="AR91" s="142">
        <v>48289</v>
      </c>
      <c r="AS91" s="142">
        <v>4828.8999999999996</v>
      </c>
      <c r="AT91" s="142">
        <v>3394.5</v>
      </c>
      <c r="AU91" s="4" t="s">
        <v>98</v>
      </c>
    </row>
    <row r="92" spans="1:47" x14ac:dyDescent="0.2">
      <c r="A92" s="174"/>
      <c r="B92" s="9" t="s">
        <v>89</v>
      </c>
      <c r="C92" s="1" t="s">
        <v>1740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1742</v>
      </c>
      <c r="L92" s="142">
        <v>1742</v>
      </c>
      <c r="M92" s="142">
        <v>1742</v>
      </c>
      <c r="N92" s="14" t="s">
        <v>1739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1771</v>
      </c>
      <c r="W92" s="142">
        <v>1771</v>
      </c>
      <c r="X92" s="142">
        <v>1771</v>
      </c>
      <c r="Y92" s="14" t="s">
        <v>1738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17261</v>
      </c>
      <c r="AH92" s="142">
        <v>1726.1</v>
      </c>
      <c r="AI92" s="142">
        <v>1705.5</v>
      </c>
      <c r="AJ92" s="14" t="s">
        <v>1737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17092</v>
      </c>
      <c r="AS92" s="142">
        <v>1709.2</v>
      </c>
      <c r="AT92" s="142">
        <v>1715.5</v>
      </c>
    </row>
    <row r="93" spans="1:47" x14ac:dyDescent="0.2">
      <c r="A93" s="174"/>
      <c r="B93" s="9" t="s">
        <v>90</v>
      </c>
      <c r="C93" s="1" t="s">
        <v>1736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1798</v>
      </c>
      <c r="L93" s="142">
        <v>1798</v>
      </c>
      <c r="M93" s="142">
        <v>1798</v>
      </c>
      <c r="N93" s="14" t="s">
        <v>1735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1778</v>
      </c>
      <c r="W93" s="142">
        <v>1778</v>
      </c>
      <c r="X93" s="142">
        <v>1778</v>
      </c>
      <c r="Y93" s="14" t="s">
        <v>1734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17045</v>
      </c>
      <c r="AH93" s="142">
        <v>1704.5</v>
      </c>
      <c r="AI93" s="142">
        <v>1707</v>
      </c>
      <c r="AJ93" s="14" t="s">
        <v>1733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17316</v>
      </c>
      <c r="AS93" s="142">
        <v>1731.6</v>
      </c>
      <c r="AT93" s="142">
        <v>1723.5</v>
      </c>
    </row>
    <row r="94" spans="1:47" x14ac:dyDescent="0.2">
      <c r="A94" s="174"/>
      <c r="B94" s="9" t="s">
        <v>91</v>
      </c>
      <c r="C94" s="1" t="s">
        <v>1732</v>
      </c>
      <c r="D94" s="142" t="s">
        <v>106</v>
      </c>
      <c r="E94" s="80">
        <v>0</v>
      </c>
      <c r="F94" s="1" t="s">
        <v>169</v>
      </c>
      <c r="G94" s="80">
        <v>1</v>
      </c>
      <c r="H94" s="1" t="s">
        <v>452</v>
      </c>
      <c r="I94" s="143">
        <v>1</v>
      </c>
      <c r="J94" s="1" t="s">
        <v>452</v>
      </c>
      <c r="K94" s="142">
        <v>2334</v>
      </c>
      <c r="L94" s="142">
        <v>2334</v>
      </c>
      <c r="M94" s="142">
        <v>2334</v>
      </c>
      <c r="N94" s="14" t="s">
        <v>1731</v>
      </c>
      <c r="O94" s="142" t="s">
        <v>106</v>
      </c>
      <c r="P94" s="80">
        <v>1</v>
      </c>
      <c r="Q94" s="1" t="s">
        <v>452</v>
      </c>
      <c r="R94" s="80">
        <v>1</v>
      </c>
      <c r="S94" s="1" t="s">
        <v>1073</v>
      </c>
      <c r="T94" s="143">
        <v>1</v>
      </c>
      <c r="U94" s="1" t="s">
        <v>1078</v>
      </c>
      <c r="V94" s="142">
        <v>6513</v>
      </c>
      <c r="W94" s="142">
        <v>2171</v>
      </c>
      <c r="X94" s="142">
        <v>2331</v>
      </c>
      <c r="Y94" s="14" t="s">
        <v>1730</v>
      </c>
      <c r="Z94" s="142" t="s">
        <v>106</v>
      </c>
      <c r="AA94" s="80">
        <v>0</v>
      </c>
      <c r="AB94" s="1" t="s">
        <v>218</v>
      </c>
      <c r="AC94" s="80">
        <v>1</v>
      </c>
      <c r="AD94" s="1" t="s">
        <v>516</v>
      </c>
      <c r="AE94" s="143">
        <v>0.5</v>
      </c>
      <c r="AF94" s="1" t="s">
        <v>511</v>
      </c>
      <c r="AG94" s="142">
        <v>10609</v>
      </c>
      <c r="AH94" s="142">
        <v>2121.8000000000002</v>
      </c>
      <c r="AI94" s="142">
        <v>2132</v>
      </c>
      <c r="AJ94" s="14" t="s">
        <v>1729</v>
      </c>
      <c r="AK94" s="142" t="s">
        <v>106</v>
      </c>
      <c r="AL94" s="80">
        <v>0.5</v>
      </c>
      <c r="AM94" s="1" t="s">
        <v>936</v>
      </c>
      <c r="AN94" s="80">
        <v>1</v>
      </c>
      <c r="AO94" s="1" t="s">
        <v>529</v>
      </c>
      <c r="AP94" s="143">
        <v>0.66669999999999996</v>
      </c>
      <c r="AQ94" s="1" t="s">
        <v>935</v>
      </c>
      <c r="AR94" s="142">
        <v>41962</v>
      </c>
      <c r="AS94" s="142">
        <v>2098.1</v>
      </c>
      <c r="AT94" s="142">
        <v>2148</v>
      </c>
      <c r="AU94" s="4" t="s">
        <v>93</v>
      </c>
    </row>
    <row r="95" spans="1:47" s="5" customFormat="1" ht="21" thickBot="1" x14ac:dyDescent="0.25">
      <c r="A95" s="175"/>
      <c r="B95" s="11" t="s">
        <v>92</v>
      </c>
      <c r="C95" s="139" t="s">
        <v>1728</v>
      </c>
      <c r="D95" s="145" t="s">
        <v>106</v>
      </c>
      <c r="E95" s="146">
        <v>1</v>
      </c>
      <c r="F95" s="139" t="s">
        <v>452</v>
      </c>
      <c r="G95" s="139" t="s">
        <v>164</v>
      </c>
      <c r="H95" s="139" t="s">
        <v>164</v>
      </c>
      <c r="I95" s="147">
        <v>1</v>
      </c>
      <c r="J95" s="139" t="s">
        <v>452</v>
      </c>
      <c r="K95" s="145">
        <v>13690</v>
      </c>
      <c r="L95" s="145">
        <v>13690</v>
      </c>
      <c r="M95" s="145">
        <v>13690</v>
      </c>
      <c r="N95" s="36" t="s">
        <v>1727</v>
      </c>
      <c r="O95" s="145" t="s">
        <v>106</v>
      </c>
      <c r="P95" s="146">
        <v>1</v>
      </c>
      <c r="Q95" s="139" t="s">
        <v>1078</v>
      </c>
      <c r="R95" s="139" t="s">
        <v>164</v>
      </c>
      <c r="S95" s="139" t="s">
        <v>164</v>
      </c>
      <c r="T95" s="147">
        <v>1</v>
      </c>
      <c r="U95" s="139" t="s">
        <v>1078</v>
      </c>
      <c r="V95" s="145">
        <v>52704</v>
      </c>
      <c r="W95" s="145">
        <v>17568</v>
      </c>
      <c r="X95" s="145">
        <v>21021</v>
      </c>
      <c r="Y95" s="36" t="s">
        <v>1726</v>
      </c>
      <c r="Z95" s="145" t="s">
        <v>106</v>
      </c>
      <c r="AA95" s="146">
        <v>1</v>
      </c>
      <c r="AB95" s="139" t="s">
        <v>529</v>
      </c>
      <c r="AC95" s="139" t="s">
        <v>164</v>
      </c>
      <c r="AD95" s="139" t="s">
        <v>164</v>
      </c>
      <c r="AE95" s="147">
        <v>1</v>
      </c>
      <c r="AF95" s="139" t="s">
        <v>529</v>
      </c>
      <c r="AG95" s="145">
        <v>111253</v>
      </c>
      <c r="AH95" s="145">
        <v>11125.3</v>
      </c>
      <c r="AI95" s="145">
        <v>2229</v>
      </c>
      <c r="AJ95" s="36" t="s">
        <v>1725</v>
      </c>
      <c r="AK95" s="145" t="s">
        <v>106</v>
      </c>
      <c r="AL95" s="146">
        <v>1</v>
      </c>
      <c r="AM95" s="139" t="s">
        <v>1724</v>
      </c>
      <c r="AN95" s="139" t="s">
        <v>164</v>
      </c>
      <c r="AO95" s="139" t="s">
        <v>164</v>
      </c>
      <c r="AP95" s="147">
        <v>1</v>
      </c>
      <c r="AQ95" s="139" t="s">
        <v>1724</v>
      </c>
      <c r="AR95" s="145">
        <v>237195</v>
      </c>
      <c r="AS95" s="145">
        <v>7906.5</v>
      </c>
      <c r="AT95" s="145">
        <v>2160.5</v>
      </c>
      <c r="AU95" s="46" t="s">
        <v>93</v>
      </c>
    </row>
    <row r="96" spans="1:47" ht="19.5" customHeight="1" x14ac:dyDescent="0.2">
      <c r="A96" s="168" t="s">
        <v>101</v>
      </c>
      <c r="B96" s="76" t="s">
        <v>10</v>
      </c>
      <c r="C96" s="1" t="s">
        <v>451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450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449</v>
      </c>
      <c r="Z96" s="142" t="s">
        <v>106</v>
      </c>
      <c r="AA96" s="80">
        <v>0</v>
      </c>
      <c r="AB96" s="1" t="s">
        <v>218</v>
      </c>
      <c r="AC96" s="80">
        <v>0</v>
      </c>
      <c r="AD96" s="1" t="s">
        <v>218</v>
      </c>
      <c r="AE96" s="143">
        <v>0</v>
      </c>
      <c r="AF96" s="1" t="s">
        <v>213</v>
      </c>
      <c r="AG96" s="142">
        <v>0</v>
      </c>
      <c r="AH96" s="142">
        <v>0</v>
      </c>
      <c r="AI96" s="142">
        <v>0</v>
      </c>
      <c r="AJ96" s="14" t="s">
        <v>448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2">
        <v>0</v>
      </c>
      <c r="AU96" s="4" t="s">
        <v>96</v>
      </c>
    </row>
    <row r="97" spans="1:47" x14ac:dyDescent="0.2">
      <c r="A97" s="168"/>
      <c r="B97" s="76" t="s">
        <v>11</v>
      </c>
      <c r="C97" s="1" t="s">
        <v>447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446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445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444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8"/>
      <c r="B98" s="76" t="s">
        <v>22</v>
      </c>
      <c r="C98" s="1" t="s">
        <v>443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442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441</v>
      </c>
      <c r="Z98" s="142" t="s">
        <v>106</v>
      </c>
      <c r="AA98" s="80">
        <v>0</v>
      </c>
      <c r="AB98" s="1" t="s">
        <v>218</v>
      </c>
      <c r="AC98" s="80">
        <v>0</v>
      </c>
      <c r="AD98" s="1" t="s">
        <v>218</v>
      </c>
      <c r="AE98" s="143">
        <v>0</v>
      </c>
      <c r="AF98" s="1" t="s">
        <v>213</v>
      </c>
      <c r="AG98" s="142">
        <v>0</v>
      </c>
      <c r="AH98" s="142">
        <v>0</v>
      </c>
      <c r="AI98" s="142">
        <v>0</v>
      </c>
      <c r="AJ98" s="14" t="s">
        <v>440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2">
        <v>0</v>
      </c>
      <c r="AU98" s="4" t="s">
        <v>96</v>
      </c>
    </row>
    <row r="99" spans="1:47" x14ac:dyDescent="0.2">
      <c r="A99" s="168"/>
      <c r="B99" s="76" t="s">
        <v>23</v>
      </c>
      <c r="C99" s="1" t="s">
        <v>439</v>
      </c>
      <c r="D99" s="142" t="s">
        <v>106</v>
      </c>
      <c r="E99" s="80">
        <v>0</v>
      </c>
      <c r="F99" s="1" t="s">
        <v>163</v>
      </c>
      <c r="G99" s="1" t="s">
        <v>164</v>
      </c>
      <c r="H99" s="1" t="s">
        <v>164</v>
      </c>
      <c r="I99" s="143">
        <v>0</v>
      </c>
      <c r="J99" s="1" t="s">
        <v>163</v>
      </c>
      <c r="K99" s="142">
        <v>0</v>
      </c>
      <c r="L99" s="142">
        <v>0</v>
      </c>
      <c r="M99" s="142">
        <v>0</v>
      </c>
      <c r="N99" s="14" t="s">
        <v>438</v>
      </c>
      <c r="O99" s="142" t="s">
        <v>106</v>
      </c>
      <c r="P99" s="80">
        <v>0</v>
      </c>
      <c r="Q99" s="1" t="s">
        <v>163</v>
      </c>
      <c r="R99" s="1" t="s">
        <v>164</v>
      </c>
      <c r="S99" s="1" t="s">
        <v>164</v>
      </c>
      <c r="T99" s="143">
        <v>0</v>
      </c>
      <c r="U99" s="1" t="s">
        <v>163</v>
      </c>
      <c r="V99" s="142">
        <v>0</v>
      </c>
      <c r="W99" s="142">
        <v>0</v>
      </c>
      <c r="X99" s="142">
        <v>0</v>
      </c>
      <c r="Y99" s="14" t="s">
        <v>437</v>
      </c>
      <c r="Z99" s="142" t="s">
        <v>106</v>
      </c>
      <c r="AA99" s="80">
        <v>0</v>
      </c>
      <c r="AB99" s="1" t="s">
        <v>213</v>
      </c>
      <c r="AC99" s="1" t="s">
        <v>164</v>
      </c>
      <c r="AD99" s="1" t="s">
        <v>164</v>
      </c>
      <c r="AE99" s="143">
        <v>0</v>
      </c>
      <c r="AF99" s="1" t="s">
        <v>213</v>
      </c>
      <c r="AG99" s="142">
        <v>0</v>
      </c>
      <c r="AH99" s="142">
        <v>0</v>
      </c>
      <c r="AI99" s="142">
        <v>0</v>
      </c>
      <c r="AJ99" s="14" t="s">
        <v>436</v>
      </c>
      <c r="AK99" s="142" t="s">
        <v>106</v>
      </c>
      <c r="AL99" s="80">
        <v>0</v>
      </c>
      <c r="AM99" s="1" t="s">
        <v>213</v>
      </c>
      <c r="AN99" s="1" t="s">
        <v>164</v>
      </c>
      <c r="AO99" s="1" t="s">
        <v>164</v>
      </c>
      <c r="AP99" s="143">
        <v>0</v>
      </c>
      <c r="AQ99" s="1" t="s">
        <v>213</v>
      </c>
      <c r="AR99" s="142">
        <v>0</v>
      </c>
      <c r="AS99" s="142">
        <v>0</v>
      </c>
      <c r="AT99" s="142">
        <v>0</v>
      </c>
      <c r="AU99" s="4" t="s">
        <v>96</v>
      </c>
    </row>
    <row r="100" spans="1:47" x14ac:dyDescent="0.2">
      <c r="A100" s="168"/>
      <c r="B100" s="76" t="s">
        <v>24</v>
      </c>
      <c r="C100" s="1" t="s">
        <v>435</v>
      </c>
      <c r="D100" s="142" t="s">
        <v>106</v>
      </c>
      <c r="E100" s="80">
        <v>0</v>
      </c>
      <c r="F100" s="1" t="s">
        <v>169</v>
      </c>
      <c r="G100" s="80">
        <v>0</v>
      </c>
      <c r="H100" s="1" t="s">
        <v>163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434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433</v>
      </c>
      <c r="Z100" s="142" t="s">
        <v>106</v>
      </c>
      <c r="AA100" s="80">
        <v>0</v>
      </c>
      <c r="AB100" s="1" t="s">
        <v>169</v>
      </c>
      <c r="AC100" s="80">
        <v>0</v>
      </c>
      <c r="AD100" s="1" t="s">
        <v>213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432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8"/>
      <c r="B101" s="76" t="s">
        <v>25</v>
      </c>
      <c r="C101" s="1" t="s">
        <v>431</v>
      </c>
      <c r="D101" s="142" t="s">
        <v>106</v>
      </c>
      <c r="E101" s="80">
        <v>0</v>
      </c>
      <c r="F101" s="1" t="s">
        <v>163</v>
      </c>
      <c r="G101" s="1" t="s">
        <v>164</v>
      </c>
      <c r="H101" s="1" t="s">
        <v>164</v>
      </c>
      <c r="I101" s="143">
        <v>0</v>
      </c>
      <c r="J101" s="1" t="s">
        <v>163</v>
      </c>
      <c r="K101" s="142">
        <v>0</v>
      </c>
      <c r="L101" s="142">
        <v>0</v>
      </c>
      <c r="M101" s="142">
        <v>0</v>
      </c>
      <c r="N101" s="14" t="s">
        <v>430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429</v>
      </c>
      <c r="Z101" s="142" t="s">
        <v>106</v>
      </c>
      <c r="AA101" s="80">
        <v>0</v>
      </c>
      <c r="AB101" s="1" t="s">
        <v>213</v>
      </c>
      <c r="AC101" s="1" t="s">
        <v>164</v>
      </c>
      <c r="AD101" s="1" t="s">
        <v>164</v>
      </c>
      <c r="AE101" s="143">
        <v>0</v>
      </c>
      <c r="AF101" s="1" t="s">
        <v>213</v>
      </c>
      <c r="AG101" s="142">
        <v>0</v>
      </c>
      <c r="AH101" s="142">
        <v>0</v>
      </c>
      <c r="AI101" s="142">
        <v>0</v>
      </c>
      <c r="AJ101" s="14" t="s">
        <v>428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2">
        <v>0</v>
      </c>
      <c r="AU101" s="4" t="s">
        <v>96</v>
      </c>
    </row>
    <row r="102" spans="1:47" x14ac:dyDescent="0.2">
      <c r="A102" s="168"/>
      <c r="B102" s="76" t="s">
        <v>130</v>
      </c>
      <c r="C102" s="1" t="s">
        <v>427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426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425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424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8"/>
      <c r="B103" s="76" t="s">
        <v>131</v>
      </c>
      <c r="C103" s="1" t="s">
        <v>423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422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421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420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8"/>
      <c r="B104" s="76" t="s">
        <v>33</v>
      </c>
      <c r="C104" s="1" t="s">
        <v>419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418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417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416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2">
        <v>0</v>
      </c>
      <c r="AU104" s="4" t="s">
        <v>96</v>
      </c>
    </row>
    <row r="105" spans="1:47" x14ac:dyDescent="0.2">
      <c r="A105" s="168"/>
      <c r="B105" s="76" t="s">
        <v>34</v>
      </c>
      <c r="C105" s="1" t="s">
        <v>415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414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413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412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2">
        <v>0</v>
      </c>
      <c r="AU105" s="4" t="s">
        <v>96</v>
      </c>
    </row>
    <row r="106" spans="1:47" x14ac:dyDescent="0.2">
      <c r="A106" s="168"/>
      <c r="B106" s="76" t="s">
        <v>132</v>
      </c>
      <c r="C106" s="1" t="s">
        <v>411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410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409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408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8"/>
      <c r="B107" s="76" t="s">
        <v>133</v>
      </c>
      <c r="C107" s="1" t="s">
        <v>407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406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405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404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2">
        <v>0</v>
      </c>
      <c r="AU107" s="4" t="s">
        <v>96</v>
      </c>
    </row>
    <row r="108" spans="1:47" x14ac:dyDescent="0.2">
      <c r="A108" s="168"/>
      <c r="B108" s="76" t="s">
        <v>134</v>
      </c>
      <c r="C108" s="1" t="s">
        <v>401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403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402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401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8"/>
      <c r="B109" s="76" t="s">
        <v>135</v>
      </c>
      <c r="C109" s="1" t="s">
        <v>400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399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398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397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8"/>
      <c r="B110" s="76" t="s">
        <v>60</v>
      </c>
      <c r="C110" s="1" t="s">
        <v>396</v>
      </c>
      <c r="D110" s="142" t="s">
        <v>106</v>
      </c>
      <c r="E110" s="80">
        <v>0</v>
      </c>
      <c r="F110" s="1" t="s">
        <v>169</v>
      </c>
      <c r="G110" s="80">
        <v>0</v>
      </c>
      <c r="H110" s="1" t="s">
        <v>163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395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394</v>
      </c>
      <c r="Z110" s="142" t="s">
        <v>106</v>
      </c>
      <c r="AA110" s="80">
        <v>0</v>
      </c>
      <c r="AB110" s="1" t="s">
        <v>169</v>
      </c>
      <c r="AC110" s="80">
        <v>0</v>
      </c>
      <c r="AD110" s="1" t="s">
        <v>163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393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8"/>
      <c r="B111" s="76" t="s">
        <v>61</v>
      </c>
      <c r="C111" s="1" t="s">
        <v>392</v>
      </c>
      <c r="D111" s="142" t="s">
        <v>106</v>
      </c>
      <c r="E111" s="80">
        <v>0</v>
      </c>
      <c r="F111" s="1" t="s">
        <v>163</v>
      </c>
      <c r="G111" s="1" t="s">
        <v>164</v>
      </c>
      <c r="H111" s="1" t="s">
        <v>164</v>
      </c>
      <c r="I111" s="143">
        <v>0</v>
      </c>
      <c r="J111" s="1" t="s">
        <v>163</v>
      </c>
      <c r="K111" s="142">
        <v>0</v>
      </c>
      <c r="L111" s="142">
        <v>0</v>
      </c>
      <c r="M111" s="142">
        <v>0</v>
      </c>
      <c r="N111" s="14" t="s">
        <v>391</v>
      </c>
      <c r="O111" s="142" t="s">
        <v>106</v>
      </c>
      <c r="P111" s="80">
        <v>0</v>
      </c>
      <c r="Q111" s="1" t="s">
        <v>163</v>
      </c>
      <c r="R111" s="1" t="s">
        <v>164</v>
      </c>
      <c r="S111" s="1" t="s">
        <v>164</v>
      </c>
      <c r="T111" s="143">
        <v>0</v>
      </c>
      <c r="U111" s="1" t="s">
        <v>163</v>
      </c>
      <c r="V111" s="142">
        <v>0</v>
      </c>
      <c r="W111" s="142">
        <v>0</v>
      </c>
      <c r="X111" s="142">
        <v>0</v>
      </c>
      <c r="Y111" s="14" t="s">
        <v>390</v>
      </c>
      <c r="Z111" s="142" t="s">
        <v>106</v>
      </c>
      <c r="AA111" s="80">
        <v>0</v>
      </c>
      <c r="AB111" s="1" t="s">
        <v>163</v>
      </c>
      <c r="AC111" s="1" t="s">
        <v>164</v>
      </c>
      <c r="AD111" s="1" t="s">
        <v>164</v>
      </c>
      <c r="AE111" s="143">
        <v>0</v>
      </c>
      <c r="AF111" s="1" t="s">
        <v>163</v>
      </c>
      <c r="AG111" s="142">
        <v>0</v>
      </c>
      <c r="AH111" s="142">
        <v>0</v>
      </c>
      <c r="AI111" s="142">
        <v>0</v>
      </c>
      <c r="AJ111" s="14" t="s">
        <v>389</v>
      </c>
      <c r="AK111" s="142" t="s">
        <v>106</v>
      </c>
      <c r="AL111" s="80">
        <v>0</v>
      </c>
      <c r="AM111" s="1" t="s">
        <v>163</v>
      </c>
      <c r="AN111" s="1" t="s">
        <v>164</v>
      </c>
      <c r="AO111" s="1" t="s">
        <v>164</v>
      </c>
      <c r="AP111" s="143">
        <v>0</v>
      </c>
      <c r="AQ111" s="1" t="s">
        <v>163</v>
      </c>
      <c r="AR111" s="142">
        <v>0</v>
      </c>
      <c r="AS111" s="142">
        <v>0</v>
      </c>
      <c r="AT111" s="142">
        <v>0</v>
      </c>
      <c r="AU111" s="4" t="s">
        <v>96</v>
      </c>
    </row>
    <row r="112" spans="1:47" x14ac:dyDescent="0.2">
      <c r="A112" s="168"/>
      <c r="B112" s="76" t="s">
        <v>136</v>
      </c>
      <c r="C112" s="1" t="s">
        <v>388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387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386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385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8"/>
      <c r="B113" s="76" t="s">
        <v>137</v>
      </c>
      <c r="C113" s="1" t="s">
        <v>384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383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382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381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8"/>
      <c r="B114" s="76" t="s">
        <v>138</v>
      </c>
      <c r="C114" s="1" t="s">
        <v>380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379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378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377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8"/>
      <c r="B115" s="76" t="s">
        <v>139</v>
      </c>
      <c r="C115" s="1" t="s">
        <v>375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376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375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374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8"/>
      <c r="B116" s="76" t="s">
        <v>140</v>
      </c>
      <c r="C116" s="1" t="s">
        <v>373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372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371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370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8"/>
      <c r="B117" s="76" t="s">
        <v>141</v>
      </c>
      <c r="C117" s="1" t="s">
        <v>369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368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367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366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8"/>
      <c r="B118" s="76" t="s">
        <v>142</v>
      </c>
      <c r="C118" s="1" t="s">
        <v>365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364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363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362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8"/>
      <c r="B119" s="76" t="s">
        <v>143</v>
      </c>
      <c r="C119" s="1" t="s">
        <v>361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360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359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358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A96:A119"/>
    <mergeCell ref="A1:A2"/>
    <mergeCell ref="B1:B2"/>
    <mergeCell ref="C1:M1"/>
    <mergeCell ref="N1:X1"/>
    <mergeCell ref="A3:A95"/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3085-0BB1-4E7D-86CF-7779B3E11986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130" customWidth="1"/>
    <col min="6" max="6" width="16" style="7" customWidth="1"/>
    <col min="7" max="7" width="16" style="130" customWidth="1"/>
    <col min="8" max="8" width="16" style="7" customWidth="1"/>
    <col min="9" max="9" width="16" style="131" customWidth="1"/>
    <col min="10" max="10" width="16.1640625" style="7" customWidth="1"/>
    <col min="11" max="11" width="16.1640625" style="63" customWidth="1"/>
    <col min="12" max="12" width="16" style="7" customWidth="1"/>
    <col min="13" max="13" width="16" style="74" customWidth="1"/>
    <col min="14" max="14" width="51" style="4" customWidth="1"/>
    <col min="15" max="15" width="16" style="64" customWidth="1"/>
    <col min="16" max="16" width="16" style="16" customWidth="1"/>
    <col min="17" max="17" width="16.1640625" style="7" customWidth="1"/>
    <col min="18" max="18" width="16.1640625" style="130" customWidth="1"/>
    <col min="19" max="19" width="16" style="75" customWidth="1"/>
    <col min="20" max="20" width="16" style="132" customWidth="1"/>
    <col min="21" max="21" width="16" style="15" customWidth="1"/>
    <col min="22" max="22" width="16" style="64" customWidth="1"/>
    <col min="23" max="23" width="16.1640625" style="72" customWidth="1"/>
    <col min="24" max="24" width="16" style="64" customWidth="1"/>
    <col min="25" max="25" width="51" style="4" customWidth="1"/>
    <col min="26" max="26" width="16" style="64" customWidth="1"/>
    <col min="27" max="27" width="16" style="16" customWidth="1"/>
    <col min="28" max="28" width="16.1640625" style="7" customWidth="1"/>
    <col min="29" max="29" width="16.1640625" style="130" customWidth="1"/>
    <col min="30" max="30" width="16" style="15" customWidth="1"/>
    <col min="31" max="31" width="16" style="133" customWidth="1"/>
    <col min="32" max="32" width="16" style="15" customWidth="1"/>
    <col min="33" max="33" width="16" style="64" customWidth="1"/>
    <col min="34" max="34" width="16.1640625" style="72" customWidth="1"/>
    <col min="35" max="35" width="16" style="64" customWidth="1"/>
    <col min="36" max="36" width="51" style="4" customWidth="1"/>
    <col min="37" max="37" width="16" style="64" customWidth="1"/>
    <col min="38" max="38" width="16" style="16" customWidth="1"/>
    <col min="39" max="39" width="16.1640625" style="7" customWidth="1"/>
    <col min="40" max="40" width="16.1640625" style="130" customWidth="1"/>
    <col min="41" max="41" width="16" style="15" customWidth="1"/>
    <col min="42" max="42" width="16" style="133" customWidth="1"/>
    <col min="43" max="43" width="16" style="15" customWidth="1"/>
    <col min="44" max="44" width="16" style="64" customWidth="1"/>
    <col min="45" max="45" width="16.1640625" style="72" customWidth="1"/>
    <col min="46" max="46" width="16" style="64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9"/>
      <c r="B1" s="171" t="s">
        <v>95</v>
      </c>
      <c r="C1" s="163" t="s">
        <v>114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3" t="s">
        <v>115</v>
      </c>
      <c r="O1" s="164"/>
      <c r="P1" s="164"/>
      <c r="Q1" s="164"/>
      <c r="R1" s="164"/>
      <c r="S1" s="164"/>
      <c r="T1" s="164"/>
      <c r="U1" s="164"/>
      <c r="V1" s="164"/>
      <c r="W1" s="164"/>
      <c r="X1" s="165"/>
      <c r="Y1" s="163" t="s">
        <v>152</v>
      </c>
      <c r="Z1" s="164"/>
      <c r="AA1" s="164"/>
      <c r="AB1" s="164"/>
      <c r="AC1" s="164"/>
      <c r="AD1" s="164"/>
      <c r="AE1" s="164"/>
      <c r="AF1" s="164"/>
      <c r="AG1" s="164"/>
      <c r="AH1" s="164"/>
      <c r="AI1" s="165"/>
      <c r="AJ1" s="163" t="s">
        <v>153</v>
      </c>
      <c r="AK1" s="164"/>
      <c r="AL1" s="164"/>
      <c r="AM1" s="164"/>
      <c r="AN1" s="164"/>
      <c r="AO1" s="164"/>
      <c r="AP1" s="164"/>
      <c r="AQ1" s="164"/>
      <c r="AR1" s="164"/>
      <c r="AS1" s="164"/>
      <c r="AT1" s="165"/>
      <c r="AU1" s="66"/>
    </row>
    <row r="2" spans="1:47" s="5" customFormat="1" ht="21" thickBot="1" x14ac:dyDescent="0.25">
      <c r="A2" s="170"/>
      <c r="B2" s="172"/>
      <c r="C2" s="66" t="s">
        <v>154</v>
      </c>
      <c r="D2" s="166" t="s">
        <v>158</v>
      </c>
      <c r="E2" s="167"/>
      <c r="F2" s="167"/>
      <c r="G2" s="167"/>
      <c r="H2" s="167"/>
      <c r="I2" s="166" t="s">
        <v>159</v>
      </c>
      <c r="J2" s="167"/>
      <c r="K2" s="68" t="s">
        <v>157</v>
      </c>
      <c r="L2" s="67" t="s">
        <v>156</v>
      </c>
      <c r="M2" s="73" t="s">
        <v>155</v>
      </c>
      <c r="N2" s="66" t="s">
        <v>154</v>
      </c>
      <c r="O2" s="166" t="s">
        <v>158</v>
      </c>
      <c r="P2" s="167"/>
      <c r="Q2" s="167"/>
      <c r="R2" s="167"/>
      <c r="S2" s="167"/>
      <c r="T2" s="166" t="s">
        <v>159</v>
      </c>
      <c r="U2" s="167"/>
      <c r="V2" s="68" t="s">
        <v>157</v>
      </c>
      <c r="W2" s="71" t="s">
        <v>156</v>
      </c>
      <c r="X2" s="68" t="s">
        <v>155</v>
      </c>
      <c r="Y2" s="66" t="s">
        <v>154</v>
      </c>
      <c r="Z2" s="166" t="s">
        <v>158</v>
      </c>
      <c r="AA2" s="167"/>
      <c r="AB2" s="167"/>
      <c r="AC2" s="167"/>
      <c r="AD2" s="167"/>
      <c r="AE2" s="166" t="s">
        <v>159</v>
      </c>
      <c r="AF2" s="167"/>
      <c r="AG2" s="68" t="s">
        <v>157</v>
      </c>
      <c r="AH2" s="71" t="s">
        <v>156</v>
      </c>
      <c r="AI2" s="68" t="s">
        <v>155</v>
      </c>
      <c r="AJ2" s="66" t="s">
        <v>154</v>
      </c>
      <c r="AK2" s="166" t="s">
        <v>158</v>
      </c>
      <c r="AL2" s="167"/>
      <c r="AM2" s="167"/>
      <c r="AN2" s="167"/>
      <c r="AO2" s="167"/>
      <c r="AP2" s="166" t="s">
        <v>159</v>
      </c>
      <c r="AQ2" s="167"/>
      <c r="AR2" s="68" t="s">
        <v>157</v>
      </c>
      <c r="AS2" s="71" t="s">
        <v>156</v>
      </c>
      <c r="AT2" s="68" t="s">
        <v>155</v>
      </c>
      <c r="AU2" s="69"/>
    </row>
    <row r="3" spans="1:47" ht="19.5" customHeight="1" x14ac:dyDescent="0.2">
      <c r="A3" s="173" t="s">
        <v>100</v>
      </c>
      <c r="B3" s="9" t="s">
        <v>0</v>
      </c>
      <c r="C3" s="14" t="str" cm="1">
        <f t="array" ref="C3:M3">_xlfn.LET(
  _xlpm.program_isNT, RIGHT(Athena_BV!B3,5)="_NT.c",
  _xlpm.program_isT,  RIGHT(Athena_BV!B3,4)="_T.c",
  _xlpm.bv_isCorrect, LOWER(Athena_BV!D3)="correct",
  _xlpm.ma_isCorrect, LOWER(Athena_MA!D3)="correct",
  _xlpm.mi_isCorrect, LOWER(Athena_MI!D3)="correct",
  _xlpm.bv_column, IF(_xlpm.program_isNT, Athena_BV!G3, IF(_xlpm.program_isT, Athena_BV!E3, "")),
  _xlpm.ma_column, IF(_xlpm.program_isNT, Athena_MA!G3, IF(_xlpm.program_isT, Athena_MA!E3, "")),
  _xlpm.mi_column, IF(_xlpm.program_isNT, Athena_MI!G3, IF(_xlpm.program_isT, Athena_MI!E3,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Athena_BV!C3:M3,
    Athena_MA!C3:M3,
    Athena_MI!C3:M3
  )
)</f>
        <v>(FSE_Bitvector_Mode_Adding_Subtracting_Zero_1_NT_Loop0_TestCase0, NO, 4937)</v>
      </c>
      <c r="D3" s="142" t="str">
        <v>correct</v>
      </c>
      <c r="E3" s="80">
        <v>0</v>
      </c>
      <c r="F3" s="1" t="str">
        <v>0/0</v>
      </c>
      <c r="G3" s="80">
        <v>1</v>
      </c>
      <c r="H3" s="1" t="str">
        <v>1/1</v>
      </c>
      <c r="I3" s="143">
        <v>1</v>
      </c>
      <c r="J3" s="1" t="str">
        <v>1/1</v>
      </c>
      <c r="K3" s="142">
        <v>4937</v>
      </c>
      <c r="L3" s="1">
        <v>4937</v>
      </c>
      <c r="M3" s="140">
        <v>4937</v>
      </c>
      <c r="N3" s="14" t="str" cm="1">
        <f t="array" ref="N3:X3">_xlfn.LET(
  _xlpm.program_isNT, RIGHT(Athena_BV!B3,5)="_NT.c",
  _xlpm.program_isT,  RIGHT(Athena_BV!B3,4)="_T.c",
  _xlpm.bv_isCorrect, LOWER(Athena_BV!O3)="correct",
  _xlpm.ma_isCorrect, LOWER(Athena_MA!O3)="correct",
  _xlpm.mi_isCorrect, LOWER(Athena_MI!O3)="correct",
  _xlpm.bv_column, IF(_xlpm.program_isNT, Athena_BV!R3, IF(_xlpm.program_isT, Athena_BV!P3, "")),
  _xlpm.ma_column, IF(_xlpm.program_isNT, Athena_MA!R3, IF(_xlpm.program_isT, Athena_MA!P3, "")),
  _xlpm.mi_column, IF(_xlpm.program_isNT, Athena_MI!R3, IF(_xlpm.program_isT, Athena_MI!P3,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Athena_BV!N3:X3,
    Athena_MA!N3:X3,
    Athena_MI!N3:X3
  )
)</f>
        <v>(FSE_Bitvector_Mode_Adding_Subtracting_Zero_1_NT_Loop17_TestCase0, NO, 1969)</v>
      </c>
      <c r="O3" s="142" t="str">
        <v>correct</v>
      </c>
      <c r="P3" s="80">
        <v>0</v>
      </c>
      <c r="Q3" s="1" t="str">
        <v>0/0</v>
      </c>
      <c r="R3" s="80">
        <v>1</v>
      </c>
      <c r="S3" s="149" t="str">
        <v>1/1</v>
      </c>
      <c r="T3" s="80">
        <v>1</v>
      </c>
      <c r="U3" s="1" t="str">
        <v>1/1</v>
      </c>
      <c r="V3" s="142">
        <v>1969</v>
      </c>
      <c r="W3" s="150">
        <v>1969</v>
      </c>
      <c r="X3" s="142">
        <v>1969</v>
      </c>
      <c r="Y3" s="14" t="str" cm="1">
        <f t="array" ref="Y3:AI3">_xlfn.LET(
  _xlpm.program_isNT, RIGHT(Athena_BV!B3,5)="_NT.c",
  _xlpm.program_isT,  RIGHT(Athena_BV!B3,4)="_T.c",
  _xlpm.bv_isCorrect, LOWER(Athena_BV!Z3)="correct",
  _xlpm.ma_isCorrect, LOWER(Athena_MA!Z3)="correct",
  _xlpm.mi_isCorrect, LOWER(Athena_MI!Z3)="correct",
  _xlpm.bv_column, IF(_xlpm.program_isNT, Athena_BV!AC3, IF(_xlpm.program_isT, Athena_BV!AA3, "")),
  _xlpm.ma_column, IF(_xlpm.program_isNT, Athena_MA!AC3, IF(_xlpm.program_isT, Athena_MA!AA3, "")),
  _xlpm.mi_column, IF(_xlpm.program_isNT, Athena_MI!AC3, IF(_xlpm.program_isT, Athena_MI!AA3,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Athena_BV!Y3:AI3,
    Athena_MA!Y3:AI3,
    Athena_MI!Y3:AI3
  )
)</f>
        <v>(FSE_Bitvector_Mode_Adding_Subtracting_Zero_1_NT_Loop0_TestCase2, YES, 1692)
(FSE_Bitvector_Mode_Adding_Subtracting_Zero_1_NT_Loop0_TestCase3, YES, 1711)
(FSE_Bitvector_Mode_Adding_Subtracting_Zero_1_NT_Loop0_TestCase1, YES, 1679)
(FSE_Bitvector_Mode_Adding_Subtracting_Zero_1_NT_Loop0_TestCase4, YES, 1672)
(FSE_Bitvector_Mode_Adding_Subtracting_Zero_1_NT_Loop0_TestCase5, YES, 1799)
(FSE_Bitvector_Mode_Adding_Subtracting_Zero_1_NT_Loop0_TestCase7, NO, 1686)
(FSE_Bitvector_Mode_Adding_Subtracting_Zero_1_NT_Loop0_TestCase6, NO, 2021)
(FSE_Bitvector_Mode_Adding_Subtracting_Zero_1_NT_Loop0_TestCase10, NO, 1712)
(FSE_Bitvector_Mode_Adding_Subtracting_Zero_1_NT_Loop0_TestCase8, NO, 1734)
(FSE_Bitvector_Mode_Adding_Subtracting_Zero_1_NT_Loop0_TestCase9, NO, 1714)</v>
      </c>
      <c r="Z3" s="142" t="str">
        <v>correct</v>
      </c>
      <c r="AA3" s="80">
        <v>1</v>
      </c>
      <c r="AB3" s="1" t="str">
        <v>5/5</v>
      </c>
      <c r="AC3" s="80">
        <v>1</v>
      </c>
      <c r="AD3" s="1" t="str">
        <v>5/5</v>
      </c>
      <c r="AE3" s="143">
        <v>1</v>
      </c>
      <c r="AF3" s="1" t="str">
        <v>10/10</v>
      </c>
      <c r="AG3" s="142">
        <v>17420</v>
      </c>
      <c r="AH3" s="150">
        <v>1742</v>
      </c>
      <c r="AI3" s="142">
        <v>1711.5</v>
      </c>
      <c r="AJ3" s="14" t="str" cm="1">
        <f t="array" ref="AJ3:AT3">_xlfn.LET(
  _xlpm.program_isNT, RIGHT(Athena_BV!B3,5)="_NT.c",
  _xlpm.program_isT,  RIGHT(Athena_BV!B3,4)="_T.c",
  _xlpm.bv_isCorrect, LOWER(Athena_BV!AK3)="correct",
  _xlpm.ma_isCorrect, LOWER(Athena_MA!AK3)="correct",
  _xlpm.mi_isCorrect, LOWER(Athena_MI!AK3)="correct",
  _xlpm.bv_column, IF(_xlpm.program_isNT, Athena_BV!AN3, IF(_xlpm.program_isT, Athena_BV!AL3, "")),
  _xlpm.ma_column, IF(_xlpm.program_isNT, Athena_MA!AN3, IF(_xlpm.program_isT, Athena_MA!AL3, "")),
  _xlpm.mi_column, IF(_xlpm.program_isNT, Athena_MI!AN3, IF(_xlpm.program_isT, Athena_MI!AL3,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Athena_BV!AJ3:AT3,
    Athena_MA!AJ3:AT3,
    Athena_MI!AJ3:AT3
  )
)</f>
        <v>(FSE_Bitvector_Mode_Adding_Subtracting_Zero_1_NT_Loop17_TestCase8, NO, 1664)
(FSE_Bitvector_Mode_Adding_Subtracting_Zero_1_NT_Loop17_TestCase9, NO, 1707)
(FSE_Bitvector_Mode_Adding_Subtracting_Zero_1_NT_Loop17_TestCase1, YES, 1937)
(FSE_Bitvector_Mode_Adding_Subtracting_Zero_1_NT_Loop17_TestCase10, NO, 1759)
(FSE_Bitvector_Mode_Adding_Subtracting_Zero_1_NT_Loop17_TestCase2, YES, 1743)
(FSE_Bitvector_Mode_Adding_Subtracting_Zero_1_NT_Loop17_TestCase3, YES, 1710)
(FSE_Bitvector_Mode_Adding_Subtracting_Zero_1_NT_Loop17_TestCase7, NO, 1736)
(FSE_Bitvector_Mode_Adding_Subtracting_Zero_1_NT_Loop17_TestCase6, NO, 1726)
(FSE_Bitvector_Mode_Adding_Subtracting_Zero_1_NT_Loop17_TestCase4, YES, 1709)
(FSE_Bitvector_Mode_Adding_Subtracting_Zero_1_NT_Loop17_TestCase5, YES, 1870)</v>
      </c>
      <c r="AK3" s="142" t="str">
        <v>correct</v>
      </c>
      <c r="AL3" s="80">
        <v>1</v>
      </c>
      <c r="AM3" s="1" t="str">
        <v>5/5</v>
      </c>
      <c r="AN3" s="80">
        <v>1</v>
      </c>
      <c r="AO3" s="1" t="str">
        <v>5/5</v>
      </c>
      <c r="AP3" s="143">
        <v>1</v>
      </c>
      <c r="AQ3" s="1" t="str">
        <v>10/10</v>
      </c>
      <c r="AR3" s="142">
        <v>17561</v>
      </c>
      <c r="AS3" s="150">
        <v>1756.1</v>
      </c>
      <c r="AT3" s="142">
        <v>1731</v>
      </c>
    </row>
    <row r="4" spans="1:47" x14ac:dyDescent="0.2">
      <c r="A4" s="174"/>
      <c r="B4" s="9" t="s">
        <v>1</v>
      </c>
      <c r="C4" s="14" t="str" cm="1">
        <f t="array" ref="C4:M4">_xlfn.LET(
  _xlpm.program_isNT, RIGHT(Athena_BV!B4,5)="_NT.c",
  _xlpm.program_isT,  RIGHT(Athena_BV!B4,4)="_T.c",
  _xlpm.bv_isCorrect, LOWER(Athena_BV!D4)="correct",
  _xlpm.ma_isCorrect, LOWER(Athena_MA!D4)="correct",
  _xlpm.mi_isCorrect, LOWER(Athena_MI!D4)="correct",
  _xlpm.bv_column, IF(_xlpm.program_isNT, Athena_BV!G4, IF(_xlpm.program_isT, Athena_BV!E4, "")),
  _xlpm.ma_column, IF(_xlpm.program_isNT, Athena_MA!G4, IF(_xlpm.program_isT, Athena_MA!E4, "")),
  _xlpm.mi_column, IF(_xlpm.program_isNT, Athena_MI!G4, IF(_xlpm.program_isT, Athena_MI!E4,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Athena_BV!C4:M4,
    Athena_MA!C4:M4,
    Athena_MI!C4:M4
  )
)</f>
        <v>(FSE_Bitvector_Mode_Adding_Subtracting_Zero_1_T_Loop0_TestCase0, YES, 1935)</v>
      </c>
      <c r="D4" s="142" t="str">
        <v>correct</v>
      </c>
      <c r="E4" s="80">
        <v>1</v>
      </c>
      <c r="F4" s="1" t="str">
        <v>1/1</v>
      </c>
      <c r="G4" s="80" t="str">
        <v/>
      </c>
      <c r="H4" s="1" t="str">
        <v/>
      </c>
      <c r="I4" s="143">
        <v>1</v>
      </c>
      <c r="J4" s="1" t="str">
        <v>1/1</v>
      </c>
      <c r="K4" s="142">
        <v>1935</v>
      </c>
      <c r="L4" s="1">
        <v>1935</v>
      </c>
      <c r="M4" s="140">
        <v>1935</v>
      </c>
      <c r="N4" s="14" t="str" cm="1">
        <f t="array" ref="N4:X4">_xlfn.LET(
  _xlpm.program_isNT, RIGHT(Athena_BV!B4,5)="_NT.c",
  _xlpm.program_isT,  RIGHT(Athena_BV!B4,4)="_T.c",
  _xlpm.bv_isCorrect, LOWER(Athena_BV!O4)="correct",
  _xlpm.ma_isCorrect, LOWER(Athena_MA!O4)="correct",
  _xlpm.mi_isCorrect, LOWER(Athena_MI!O4)="correct",
  _xlpm.bv_column, IF(_xlpm.program_isNT, Athena_BV!R4, IF(_xlpm.program_isT, Athena_BV!P4, "")),
  _xlpm.ma_column, IF(_xlpm.program_isNT, Athena_MA!R4, IF(_xlpm.program_isT, Athena_MA!P4, "")),
  _xlpm.mi_column, IF(_xlpm.program_isNT, Athena_MI!R4, IF(_xlpm.program_isT, Athena_MI!P4,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Athena_BV!N4:X4,
    Athena_MA!N4:X4,
    Athena_MI!N4:X4
  )
)</f>
        <v>(FSE_Bitvector_Mode_Adding_Subtracting_Zero_1_T_Loop17_TestCase0, YES, 1894)</v>
      </c>
      <c r="O4" s="142" t="str">
        <v>correct</v>
      </c>
      <c r="P4" s="80">
        <v>1</v>
      </c>
      <c r="Q4" s="1" t="str">
        <v>1/1</v>
      </c>
      <c r="R4" s="80" t="str">
        <v/>
      </c>
      <c r="S4" s="149" t="str">
        <v/>
      </c>
      <c r="T4" s="80">
        <v>1</v>
      </c>
      <c r="U4" s="1" t="str">
        <v>1/1</v>
      </c>
      <c r="V4" s="142">
        <v>1894</v>
      </c>
      <c r="W4" s="150">
        <v>1894</v>
      </c>
      <c r="X4" s="142">
        <v>1894</v>
      </c>
      <c r="Y4" s="14" t="str" cm="1">
        <f t="array" ref="Y4:AI4">_xlfn.LET(
  _xlpm.program_isNT, RIGHT(Athena_BV!B4,5)="_NT.c",
  _xlpm.program_isT,  RIGHT(Athena_BV!B4,4)="_T.c",
  _xlpm.bv_isCorrect, LOWER(Athena_BV!Z4)="correct",
  _xlpm.ma_isCorrect, LOWER(Athena_MA!Z4)="correct",
  _xlpm.mi_isCorrect, LOWER(Athena_MI!Z4)="correct",
  _xlpm.bv_column, IF(_xlpm.program_isNT, Athena_BV!AC4, IF(_xlpm.program_isT, Athena_BV!AA4, "")),
  _xlpm.ma_column, IF(_xlpm.program_isNT, Athena_MA!AC4, IF(_xlpm.program_isT, Athena_MA!AA4, "")),
  _xlpm.mi_column, IF(_xlpm.program_isNT, Athena_MI!AC4, IF(_xlpm.program_isT, Athena_MI!AA4,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Athena_BV!Y4:AI4,
    Athena_MA!Y4:AI4,
    Athena_MI!Y4:AI4
  )
)</f>
        <v>(FSE_Bitvector_Mode_Adding_Subtracting_Zero_1_T_Loop0_TestCase7, YES, 1713)
(FSE_Bitvector_Mode_Adding_Subtracting_Zero_1_T_Loop0_TestCase6, YES, 1694)
(FSE_Bitvector_Mode_Adding_Subtracting_Zero_1_T_Loop0_TestCase4, YES, 1696)
(FSE_Bitvector_Mode_Adding_Subtracting_Zero_1_T_Loop0_TestCase5, YES, 1794)
(FSE_Bitvector_Mode_Adding_Subtracting_Zero_1_T_Loop0_TestCase1, YES, 1687)
(FSE_Bitvector_Mode_Adding_Subtracting_Zero_1_T_Loop0_TestCase2, YES, 1674)
(FSE_Bitvector_Mode_Adding_Subtracting_Zero_1_T_Loop0_TestCase3, YES, 1676)
(FSE_Bitvector_Mode_Adding_Subtracting_Zero_1_T_Loop0_TestCase10, YES, 1676)
(FSE_Bitvector_Mode_Adding_Subtracting_Zero_1_T_Loop0_TestCase8, YES, 1677)
(FSE_Bitvector_Mode_Adding_Subtracting_Zero_1_T_Loop0_TestCase9, YES, 1682)</v>
      </c>
      <c r="Z4" s="142" t="str">
        <v>correct</v>
      </c>
      <c r="AA4" s="80">
        <v>1</v>
      </c>
      <c r="AB4" s="1" t="str">
        <v>10/10</v>
      </c>
      <c r="AC4" s="80" t="str">
        <v/>
      </c>
      <c r="AD4" s="1" t="str">
        <v/>
      </c>
      <c r="AE4" s="143">
        <v>1</v>
      </c>
      <c r="AF4" s="1" t="str">
        <v>10/10</v>
      </c>
      <c r="AG4" s="142">
        <v>16969</v>
      </c>
      <c r="AH4" s="150">
        <v>1696.9</v>
      </c>
      <c r="AI4" s="142">
        <v>1684.5</v>
      </c>
      <c r="AJ4" s="14" t="str" cm="1">
        <f t="array" ref="AJ4:AT4">_xlfn.LET(
  _xlpm.program_isNT, RIGHT(Athena_BV!B4,5)="_NT.c",
  _xlpm.program_isT,  RIGHT(Athena_BV!B4,4)="_T.c",
  _xlpm.bv_isCorrect, LOWER(Athena_BV!AK4)="correct",
  _xlpm.ma_isCorrect, LOWER(Athena_MA!AK4)="correct",
  _xlpm.mi_isCorrect, LOWER(Athena_MI!AK4)="correct",
  _xlpm.bv_column, IF(_xlpm.program_isNT, Athena_BV!AN4, IF(_xlpm.program_isT, Athena_BV!AL4, "")),
  _xlpm.ma_column, IF(_xlpm.program_isNT, Athena_MA!AN4, IF(_xlpm.program_isT, Athena_MA!AL4, "")),
  _xlpm.mi_column, IF(_xlpm.program_isNT, Athena_MI!AN4, IF(_xlpm.program_isT, Athena_MI!AL4,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Athena_BV!AJ4:AT4,
    Athena_MA!AJ4:AT4,
    Athena_MI!AJ4:AT4
  )
)</f>
        <v>(FSE_Bitvector_Mode_Adding_Subtracting_Zero_1_T_Loop17_TestCase7, YES, 1707)
(FSE_Bitvector_Mode_Adding_Subtracting_Zero_1_T_Loop17_TestCase6, YES, 1745)
(FSE_Bitvector_Mode_Adding_Subtracting_Zero_1_T_Loop17_TestCase4, YES, 1973)
(FSE_Bitvector_Mode_Adding_Subtracting_Zero_1_T_Loop17_TestCase5, YES, 1807)
(FSE_Bitvector_Mode_Adding_Subtracting_Zero_1_T_Loop17_TestCase1, YES, 1753)
(FSE_Bitvector_Mode_Adding_Subtracting_Zero_1_T_Loop17_TestCase2, YES, 1723)
(FSE_Bitvector_Mode_Adding_Subtracting_Zero_1_T_Loop17_TestCase3, YES, 1752)
(FSE_Bitvector_Mode_Adding_Subtracting_Zero_1_T_Loop17_TestCase10, YES, 1737)
(FSE_Bitvector_Mode_Adding_Subtracting_Zero_1_T_Loop17_TestCase8, YES, 1747)
(FSE_Bitvector_Mode_Adding_Subtracting_Zero_1_T_Loop17_TestCase9, YES, 1737)</v>
      </c>
      <c r="AK4" s="142" t="str">
        <v>correct</v>
      </c>
      <c r="AL4" s="80">
        <v>1</v>
      </c>
      <c r="AM4" s="1" t="str">
        <v>10/10</v>
      </c>
      <c r="AN4" s="80" t="str">
        <v/>
      </c>
      <c r="AO4" s="1" t="str">
        <v/>
      </c>
      <c r="AP4" s="143">
        <v>1</v>
      </c>
      <c r="AQ4" s="1" t="str">
        <v>10/10</v>
      </c>
      <c r="AR4" s="142">
        <v>17681</v>
      </c>
      <c r="AS4" s="150">
        <v>1768.1</v>
      </c>
      <c r="AT4" s="142">
        <v>1746</v>
      </c>
    </row>
    <row r="5" spans="1:47" x14ac:dyDescent="0.2">
      <c r="A5" s="174"/>
      <c r="B5" s="9" t="s">
        <v>2</v>
      </c>
      <c r="C5" s="14" t="str" cm="1">
        <f t="array" ref="C5:M5">_xlfn.LET(
  _xlpm.program_isNT, RIGHT(Athena_BV!B5,5)="_NT.c",
  _xlpm.program_isT,  RIGHT(Athena_BV!B5,4)="_T.c",
  _xlpm.bv_isCorrect, LOWER(Athena_BV!D5)="correct",
  _xlpm.ma_isCorrect, LOWER(Athena_MA!D5)="correct",
  _xlpm.mi_isCorrect, LOWER(Athena_MI!D5)="correct",
  _xlpm.bv_column, IF(_xlpm.program_isNT, Athena_BV!G5, IF(_xlpm.program_isT, Athena_BV!E5, "")),
  _xlpm.ma_column, IF(_xlpm.program_isNT, Athena_MA!G5, IF(_xlpm.program_isT, Athena_MA!E5, "")),
  _xlpm.mi_column, IF(_xlpm.program_isNT, Athena_MI!G5, IF(_xlpm.program_isT, Athena_MI!E5,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Athena_BV!C5:M5,
    Athena_MA!C5:M5,
    Athena_MI!C5:M5
  )
)</f>
        <v>(FSE_Bitvector_Mode_Adding_Subtracting_Zero_2_NT_Loop0_TestCase0, NO, 65646)</v>
      </c>
      <c r="D5" s="142" t="str">
        <v>correct</v>
      </c>
      <c r="E5" s="80">
        <v>0</v>
      </c>
      <c r="F5" s="1" t="str">
        <v>0/0</v>
      </c>
      <c r="G5" s="80">
        <v>1</v>
      </c>
      <c r="H5" s="1" t="str">
        <v>1/1</v>
      </c>
      <c r="I5" s="143">
        <v>1</v>
      </c>
      <c r="J5" s="1" t="str">
        <v>1/1</v>
      </c>
      <c r="K5" s="142">
        <v>65646</v>
      </c>
      <c r="L5" s="1">
        <v>65646</v>
      </c>
      <c r="M5" s="140">
        <v>65646</v>
      </c>
      <c r="N5" s="14" t="str" cm="1">
        <f t="array" ref="N5:X5">_xlfn.LET(
  _xlpm.program_isNT, RIGHT(Athena_BV!B5,5)="_NT.c",
  _xlpm.program_isT,  RIGHT(Athena_BV!B5,4)="_T.c",
  _xlpm.bv_isCorrect, LOWER(Athena_BV!O5)="correct",
  _xlpm.ma_isCorrect, LOWER(Athena_MA!O5)="correct",
  _xlpm.mi_isCorrect, LOWER(Athena_MI!O5)="correct",
  _xlpm.bv_column, IF(_xlpm.program_isNT, Athena_BV!R5, IF(_xlpm.program_isT, Athena_BV!P5, "")),
  _xlpm.ma_column, IF(_xlpm.program_isNT, Athena_MA!R5, IF(_xlpm.program_isT, Athena_MA!P5, "")),
  _xlpm.mi_column, IF(_xlpm.program_isNT, Athena_MI!R5, IF(_xlpm.program_isT, Athena_MI!P5,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Athena_BV!N5:X5,
    Athena_MA!N5:X5,
    Athena_MI!N5:X5
  )
)</f>
        <v>(FSE_Bitvector_Mode_Adding_Subtracting_Zero_2_NT_Loop34_TestCase0, NO, 50185)</v>
      </c>
      <c r="O5" s="142" t="str">
        <v>correct</v>
      </c>
      <c r="P5" s="80">
        <v>0</v>
      </c>
      <c r="Q5" s="1" t="str">
        <v>0/0</v>
      </c>
      <c r="R5" s="80">
        <v>1</v>
      </c>
      <c r="S5" s="149" t="str">
        <v>1/1</v>
      </c>
      <c r="T5" s="80">
        <v>1</v>
      </c>
      <c r="U5" s="1" t="str">
        <v>1/1</v>
      </c>
      <c r="V5" s="142">
        <v>50185</v>
      </c>
      <c r="W5" s="150">
        <v>50185</v>
      </c>
      <c r="X5" s="142">
        <v>50185</v>
      </c>
      <c r="Y5" s="14" t="str" cm="1">
        <f t="array" ref="Y5:AI5">_xlfn.LET(
  _xlpm.program_isNT, RIGHT(Athena_BV!B5,5)="_NT.c",
  _xlpm.program_isT,  RIGHT(Athena_BV!B5,4)="_T.c",
  _xlpm.bv_isCorrect, LOWER(Athena_BV!Z5)="correct",
  _xlpm.ma_isCorrect, LOWER(Athena_MA!Z5)="correct",
  _xlpm.mi_isCorrect, LOWER(Athena_MI!Z5)="correct",
  _xlpm.bv_column, IF(_xlpm.program_isNT, Athena_BV!AC5, IF(_xlpm.program_isT, Athena_BV!AA5, "")),
  _xlpm.ma_column, IF(_xlpm.program_isNT, Athena_MA!AC5, IF(_xlpm.program_isT, Athena_MA!AA5, "")),
  _xlpm.mi_column, IF(_xlpm.program_isNT, Athena_MI!AC5, IF(_xlpm.program_isT, Athena_MI!AA5,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Athena_BV!Y5:AI5,
    Athena_MA!Y5:AI5,
    Athena_MI!Y5:AI5
  )
)</f>
        <v>(FSE_Bitvector_Mode_Adding_Subtracting_Zero_2_NT_Loop0_TestCase7, NO, 1723)
(FSE_Bitvector_Mode_Adding_Subtracting_Zero_2_NT_Loop0_TestCase6, NO, 1710)
(FSE_Bitvector_Mode_Adding_Subtracting_Zero_2_NT_Loop0_TestCase4, YES, 1772)
(FSE_Bitvector_Mode_Adding_Subtracting_Zero_2_NT_Loop0_TestCase5, YES, 1745)
(FSE_Bitvector_Mode_Adding_Subtracting_Zero_2_NT_Loop0_TestCase10, NO, 1743)
(FSE_Bitvector_Mode_Adding_Subtracting_Zero_2_NT_Loop0_TestCase1, YES, 1784)
(FSE_Bitvector_Mode_Adding_Subtracting_Zero_2_NT_Loop0_TestCase2, YES, 1712)
(FSE_Bitvector_Mode_Adding_Subtracting_Zero_2_NT_Loop0_TestCase3, YES, 1734)
(FSE_Bitvector_Mode_Adding_Subtracting_Zero_2_NT_Loop0_TestCase8, NO, 1718)
(FSE_Bitvector_Mode_Adding_Subtracting_Zero_2_NT_Loop0_TestCase9, NO, 1808)</v>
      </c>
      <c r="Z5" s="142" t="str">
        <v>correct</v>
      </c>
      <c r="AA5" s="80">
        <v>1</v>
      </c>
      <c r="AB5" s="1" t="str">
        <v>5/5</v>
      </c>
      <c r="AC5" s="80">
        <v>1</v>
      </c>
      <c r="AD5" s="1" t="str">
        <v>5/5</v>
      </c>
      <c r="AE5" s="143">
        <v>1</v>
      </c>
      <c r="AF5" s="1" t="str">
        <v>10/10</v>
      </c>
      <c r="AG5" s="142">
        <v>17449</v>
      </c>
      <c r="AH5" s="150">
        <v>1744.9</v>
      </c>
      <c r="AI5" s="142">
        <v>1738.5</v>
      </c>
      <c r="AJ5" s="14" t="str" cm="1">
        <f t="array" ref="AJ5:AT5">_xlfn.LET(
  _xlpm.program_isNT, RIGHT(Athena_BV!B5,5)="_NT.c",
  _xlpm.program_isT,  RIGHT(Athena_BV!B5,4)="_T.c",
  _xlpm.bv_isCorrect, LOWER(Athena_BV!AK5)="correct",
  _xlpm.ma_isCorrect, LOWER(Athena_MA!AK5)="correct",
  _xlpm.mi_isCorrect, LOWER(Athena_MI!AK5)="correct",
  _xlpm.bv_column, IF(_xlpm.program_isNT, Athena_BV!AN5, IF(_xlpm.program_isT, Athena_BV!AL5, "")),
  _xlpm.ma_column, IF(_xlpm.program_isNT, Athena_MA!AN5, IF(_xlpm.program_isT, Athena_MA!AL5, "")),
  _xlpm.mi_column, IF(_xlpm.program_isNT, Athena_MI!AN5, IF(_xlpm.program_isT, Athena_MI!AL5,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Athena_BV!AJ5:AT5,
    Athena_MA!AJ5:AT5,
    Athena_MI!AJ5:AT5
  )
)</f>
        <v>(FSE_Bitvector_Mode_Adding_Subtracting_Zero_2_NT_Loop34_TestCase8, NO, 1736)
(FSE_Bitvector_Mode_Adding_Subtracting_Zero_2_NT_Loop34_TestCase9, NO, 1787)
(FSE_Bitvector_Mode_Adding_Subtracting_Zero_2_NT_Loop34_TestCase4, YES, 1762)
(FSE_Bitvector_Mode_Adding_Subtracting_Zero_2_NT_Loop34_TestCase5, YES, 1735)
(FSE_Bitvector_Mode_Adding_Subtracting_Zero_2_NT_Loop34_TestCase7, NO, 1737)
(FSE_Bitvector_Mode_Adding_Subtracting_Zero_2_NT_Loop34_TestCase6, NO, 1750)
(FSE_Bitvector_Mode_Adding_Subtracting_Zero_2_NT_Loop34_TestCase2, YES, 1778)
(FSE_Bitvector_Mode_Adding_Subtracting_Zero_2_NT_Loop34_TestCase3, YES, 1753)
(FSE_Bitvector_Mode_Adding_Subtracting_Zero_2_NT_Loop34_TestCase1, YES, 1761)
(FSE_Bitvector_Mode_Adding_Subtracting_Zero_2_NT_Loop34_TestCase10, NO, 1742)</v>
      </c>
      <c r="AK5" s="142" t="str">
        <v>correct</v>
      </c>
      <c r="AL5" s="80">
        <v>1</v>
      </c>
      <c r="AM5" s="1" t="str">
        <v>5/5</v>
      </c>
      <c r="AN5" s="80">
        <v>1</v>
      </c>
      <c r="AO5" s="1" t="str">
        <v>5/5</v>
      </c>
      <c r="AP5" s="143">
        <v>1</v>
      </c>
      <c r="AQ5" s="1" t="str">
        <v>10/10</v>
      </c>
      <c r="AR5" s="142">
        <v>17541</v>
      </c>
      <c r="AS5" s="150">
        <v>1754.1</v>
      </c>
      <c r="AT5" s="142">
        <v>1751.5</v>
      </c>
    </row>
    <row r="6" spans="1:47" x14ac:dyDescent="0.2">
      <c r="A6" s="174"/>
      <c r="B6" s="9" t="s">
        <v>3</v>
      </c>
      <c r="C6" s="14" t="str" cm="1">
        <f t="array" ref="C6:M6">_xlfn.LET(
  _xlpm.program_isNT, RIGHT(Athena_BV!B6,5)="_NT.c",
  _xlpm.program_isT,  RIGHT(Athena_BV!B6,4)="_T.c",
  _xlpm.bv_isCorrect, LOWER(Athena_BV!D6)="correct",
  _xlpm.ma_isCorrect, LOWER(Athena_MA!D6)="correct",
  _xlpm.mi_isCorrect, LOWER(Athena_MI!D6)="correct",
  _xlpm.bv_column, IF(_xlpm.program_isNT, Athena_BV!G6, IF(_xlpm.program_isT, Athena_BV!E6, "")),
  _xlpm.ma_column, IF(_xlpm.program_isNT, Athena_MA!G6, IF(_xlpm.program_isT, Athena_MA!E6, "")),
  _xlpm.mi_column, IF(_xlpm.program_isNT, Athena_MI!G6, IF(_xlpm.program_isT, Athena_MI!E6,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Athena_BV!C6:M6,
    Athena_MA!C6:M6,
    Athena_MI!C6:M6
  )
)</f>
        <v>(FSE_Mathematical_Integer_Mode_Adding_Subtracting_Zero_2_T_Loop0_TestCase0, YES, 2453)</v>
      </c>
      <c r="D6" s="142" t="str">
        <v>correct</v>
      </c>
      <c r="E6" s="80">
        <v>1</v>
      </c>
      <c r="F6" s="1" t="str">
        <v>1/1</v>
      </c>
      <c r="G6" s="80" t="str">
        <v/>
      </c>
      <c r="H6" s="1" t="str">
        <v/>
      </c>
      <c r="I6" s="143">
        <v>1</v>
      </c>
      <c r="J6" s="1" t="str">
        <v>1/1</v>
      </c>
      <c r="K6" s="142">
        <v>2453</v>
      </c>
      <c r="L6" s="1">
        <v>2453</v>
      </c>
      <c r="M6" s="140">
        <v>2453</v>
      </c>
      <c r="N6" s="14" t="str" cm="1">
        <f t="array" ref="N6:X6">_xlfn.LET(
  _xlpm.program_isNT, RIGHT(Athena_BV!B6,5)="_NT.c",
  _xlpm.program_isT,  RIGHT(Athena_BV!B6,4)="_T.c",
  _xlpm.bv_isCorrect, LOWER(Athena_BV!O6)="correct",
  _xlpm.ma_isCorrect, LOWER(Athena_MA!O6)="correct",
  _xlpm.mi_isCorrect, LOWER(Athena_MI!O6)="correct",
  _xlpm.bv_column, IF(_xlpm.program_isNT, Athena_BV!R6, IF(_xlpm.program_isT, Athena_BV!P6, "")),
  _xlpm.ma_column, IF(_xlpm.program_isNT, Athena_MA!R6, IF(_xlpm.program_isT, Athena_MA!P6, "")),
  _xlpm.mi_column, IF(_xlpm.program_isNT, Athena_MI!R6, IF(_xlpm.program_isT, Athena_MI!P6,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Athena_BV!N6:X6,
    Athena_MA!N6:X6,
    Athena_MI!N6:X6
  )
)</f>
        <v>(FSE_Mathematical_Integer_Mode_Adding_Subtracting_Zero_2_T_Loop35_TestCase0, YES, 2394)</v>
      </c>
      <c r="O6" s="142" t="str">
        <v>correct</v>
      </c>
      <c r="P6" s="80">
        <v>1</v>
      </c>
      <c r="Q6" s="1" t="str">
        <v>1/1</v>
      </c>
      <c r="R6" s="80" t="str">
        <v/>
      </c>
      <c r="S6" s="149" t="str">
        <v/>
      </c>
      <c r="T6" s="80">
        <v>1</v>
      </c>
      <c r="U6" s="1" t="str">
        <v>1/1</v>
      </c>
      <c r="V6" s="142">
        <v>2394</v>
      </c>
      <c r="W6" s="150">
        <v>2394</v>
      </c>
      <c r="X6" s="142">
        <v>2394</v>
      </c>
      <c r="Y6" s="14" t="str" cm="1">
        <f t="array" ref="Y6:AI6">_xlfn.LET(
  _xlpm.program_isNT, RIGHT(Athena_BV!B6,5)="_NT.c",
  _xlpm.program_isT,  RIGHT(Athena_BV!B6,4)="_T.c",
  _xlpm.bv_isCorrect, LOWER(Athena_BV!Z6)="correct",
  _xlpm.ma_isCorrect, LOWER(Athena_MA!Z6)="correct",
  _xlpm.mi_isCorrect, LOWER(Athena_MI!Z6)="correct",
  _xlpm.bv_column, IF(_xlpm.program_isNT, Athena_BV!AC6, IF(_xlpm.program_isT, Athena_BV!AA6, "")),
  _xlpm.ma_column, IF(_xlpm.program_isNT, Athena_MA!AC6, IF(_xlpm.program_isT, Athena_MA!AA6, "")),
  _xlpm.mi_column, IF(_xlpm.program_isNT, Athena_MI!AC6, IF(_xlpm.program_isT, Athena_MI!AA6,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Athena_BV!Y6:AI6,
    Athena_MA!Y6:AI6,
    Athena_MI!Y6:AI6
  )
)</f>
        <v>(FSE_Bitvector_Mode_Adding_Subtracting_Zero_2_T_Loop0_TestCase9, YES, 1727)
(FSE_Bitvector_Mode_Adding_Subtracting_Zero_2_T_Loop0_TestCase8, YES, 1749)
(FSE_Bitvector_Mode_Adding_Subtracting_Zero_2_T_Loop0_TestCase10, YES, 1740)
(FSE_Bitvector_Mode_Adding_Subtracting_Zero_2_T_Loop0_TestCase3, YES, 1694)
(FSE_Bitvector_Mode_Adding_Subtracting_Zero_2_T_Loop0_TestCase2, YES, 1711)
(FSE_Bitvector_Mode_Adding_Subtracting_Zero_2_T_Loop0_TestCase1, YES, 1703)
(FSE_Bitvector_Mode_Adding_Subtracting_Zero_2_T_Loop0_TestCase5, YES, 1721)
(FSE_Bitvector_Mode_Adding_Subtracting_Zero_2_T_Loop0_TestCase4, YES, 1707)
(FSE_Bitvector_Mode_Adding_Subtracting_Zero_2_T_Loop0_TestCase6, YES, 1706)
(FSE_Bitvector_Mode_Adding_Subtracting_Zero_2_T_Loop0_TestCase7, YES, 1701)</v>
      </c>
      <c r="Z6" s="142" t="str">
        <v>correct</v>
      </c>
      <c r="AA6" s="80">
        <v>1</v>
      </c>
      <c r="AB6" s="1" t="str">
        <v>10/10</v>
      </c>
      <c r="AC6" s="80" t="str">
        <v/>
      </c>
      <c r="AD6" s="1" t="str">
        <v/>
      </c>
      <c r="AE6" s="143">
        <v>1</v>
      </c>
      <c r="AF6" s="1" t="str">
        <v>10/10</v>
      </c>
      <c r="AG6" s="142">
        <v>17159</v>
      </c>
      <c r="AH6" s="150">
        <v>1715.9</v>
      </c>
      <c r="AI6" s="142">
        <v>1709</v>
      </c>
      <c r="AJ6" s="14" t="str" cm="1">
        <f t="array" ref="AJ6:AT6">_xlfn.LET(
  _xlpm.program_isNT, RIGHT(Athena_BV!B6,5)="_NT.c",
  _xlpm.program_isT,  RIGHT(Athena_BV!B6,4)="_T.c",
  _xlpm.bv_isCorrect, LOWER(Athena_BV!AK6)="correct",
  _xlpm.ma_isCorrect, LOWER(Athena_MA!AK6)="correct",
  _xlpm.mi_isCorrect, LOWER(Athena_MI!AK6)="correct",
  _xlpm.bv_column, IF(_xlpm.program_isNT, Athena_BV!AN6, IF(_xlpm.program_isT, Athena_BV!AL6, "")),
  _xlpm.ma_column, IF(_xlpm.program_isNT, Athena_MA!AN6, IF(_xlpm.program_isT, Athena_MA!AL6, "")),
  _xlpm.mi_column, IF(_xlpm.program_isNT, Athena_MI!AN6, IF(_xlpm.program_isT, Athena_MI!AL6,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Athena_BV!AJ6:AT6,
    Athena_MA!AJ6:AT6,
    Athena_MI!AJ6:AT6
  )
)</f>
        <v>(FSE_Bitvector_Mode_Adding_Subtracting_Zero_2_T_Loop35_TestCase10, YES, 1776)
(FSE_Bitvector_Mode_Adding_Subtracting_Zero_2_T_Loop35_TestCase9, YES, 1753)
(FSE_Bitvector_Mode_Adding_Subtracting_Zero_2_T_Loop35_TestCase8, YES, 1819)
(FSE_Bitvector_Mode_Adding_Subtracting_Zero_2_T_Loop35_TestCase5, YES, 1745)
(FSE_Bitvector_Mode_Adding_Subtracting_Zero_2_T_Loop35_TestCase4, YES, 1748)
(FSE_Bitvector_Mode_Adding_Subtracting_Zero_2_T_Loop35_TestCase6, YES, 1796)
(FSE_Bitvector_Mode_Adding_Subtracting_Zero_2_T_Loop35_TestCase7, YES, 1777)
(FSE_Bitvector_Mode_Adding_Subtracting_Zero_2_T_Loop35_TestCase3, YES, 1759)
(FSE_Bitvector_Mode_Adding_Subtracting_Zero_2_T_Loop35_TestCase2, YES, 1718)
(FSE_Bitvector_Mode_Adding_Subtracting_Zero_2_T_Loop35_TestCase1, YES, 1765)</v>
      </c>
      <c r="AK6" s="142" t="str">
        <v>correct</v>
      </c>
      <c r="AL6" s="80">
        <v>1</v>
      </c>
      <c r="AM6" s="1" t="str">
        <v>10/10</v>
      </c>
      <c r="AN6" s="80" t="str">
        <v/>
      </c>
      <c r="AO6" s="1" t="str">
        <v/>
      </c>
      <c r="AP6" s="143">
        <v>1</v>
      </c>
      <c r="AQ6" s="1" t="str">
        <v>10/10</v>
      </c>
      <c r="AR6" s="142">
        <v>17656</v>
      </c>
      <c r="AS6" s="150">
        <v>1765.6</v>
      </c>
      <c r="AT6" s="142">
        <v>1762</v>
      </c>
    </row>
    <row r="7" spans="1:47" x14ac:dyDescent="0.2">
      <c r="A7" s="174"/>
      <c r="B7" s="9" t="s">
        <v>4</v>
      </c>
      <c r="C7" s="14" t="str" cm="1">
        <f t="array" ref="C7:M7">_xlfn.LET(
  _xlpm.program_isNT, RIGHT(Athena_BV!B7,5)="_NT.c",
  _xlpm.program_isT,  RIGHT(Athena_BV!B7,4)="_T.c",
  _xlpm.bv_isCorrect, LOWER(Athena_BV!D7)="correct",
  _xlpm.ma_isCorrect, LOWER(Athena_MA!D7)="correct",
  _xlpm.mi_isCorrect, LOWER(Athena_MI!D7)="correct",
  _xlpm.bv_column, IF(_xlpm.program_isNT, Athena_BV!G7, IF(_xlpm.program_isT, Athena_BV!E7, "")),
  _xlpm.ma_column, IF(_xlpm.program_isNT, Athena_MA!G7, IF(_xlpm.program_isT, Athena_MA!E7, "")),
  _xlpm.mi_column, IF(_xlpm.program_isNT, Athena_MI!G7, IF(_xlpm.program_isT, Athena_MI!E7,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Athena_BV!C7:M7,
    Athena_MA!C7:M7,
    Athena_MI!C7:M7
  )
)</f>
        <v>(FSE_Mathematical_Integer_Mode_Adding_Subtracting_Zero_3_NT_Loop0_TestCase0, NO, 159077)</v>
      </c>
      <c r="D7" s="142" t="str">
        <v>correct</v>
      </c>
      <c r="E7" s="80">
        <v>0</v>
      </c>
      <c r="F7" s="1" t="str">
        <v>0/0</v>
      </c>
      <c r="G7" s="80">
        <v>1</v>
      </c>
      <c r="H7" s="1" t="str">
        <v>1/1</v>
      </c>
      <c r="I7" s="143">
        <v>1</v>
      </c>
      <c r="J7" s="1" t="str">
        <v>1/1</v>
      </c>
      <c r="K7" s="142">
        <v>159077</v>
      </c>
      <c r="L7" s="1">
        <v>159077</v>
      </c>
      <c r="M7" s="140">
        <v>159077</v>
      </c>
      <c r="N7" s="14" t="str" cm="1">
        <f t="array" ref="N7:X7">_xlfn.LET(
  _xlpm.program_isNT, RIGHT(Athena_BV!B7,5)="_NT.c",
  _xlpm.program_isT,  RIGHT(Athena_BV!B7,4)="_T.c",
  _xlpm.bv_isCorrect, LOWER(Athena_BV!O7)="correct",
  _xlpm.ma_isCorrect, LOWER(Athena_MA!O7)="correct",
  _xlpm.mi_isCorrect, LOWER(Athena_MI!O7)="correct",
  _xlpm.bv_column, IF(_xlpm.program_isNT, Athena_BV!R7, IF(_xlpm.program_isT, Athena_BV!P7, "")),
  _xlpm.ma_column, IF(_xlpm.program_isNT, Athena_MA!R7, IF(_xlpm.program_isT, Athena_MA!P7, "")),
  _xlpm.mi_column, IF(_xlpm.program_isNT, Athena_MI!R7, IF(_xlpm.program_isT, Athena_MI!P7,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Athena_BV!N7:X7,
    Athena_MA!N7:X7,
    Athena_MI!N7:X7
  )
)</f>
        <v>(FSE_Mathematical_Integer_Mode_Adding_Subtracting_Zero_3_NT_Loop75_TestCase0, NO, 248676)
(FSE_Mathematical_Integer_Mode_Adding_Subtracting_Zero_3_NT_Loop40_TestCase0, TIMEOUT, 302238)</v>
      </c>
      <c r="O7" s="142" t="str">
        <v>correct</v>
      </c>
      <c r="P7" s="80">
        <v>0</v>
      </c>
      <c r="Q7" s="1" t="str">
        <v>0/0</v>
      </c>
      <c r="R7" s="80">
        <v>0.5</v>
      </c>
      <c r="S7" s="149" t="str">
        <v>1/2</v>
      </c>
      <c r="T7" s="80">
        <v>0.5</v>
      </c>
      <c r="U7" s="1" t="str">
        <v>1/2</v>
      </c>
      <c r="V7" s="142">
        <v>248676</v>
      </c>
      <c r="W7" s="150">
        <v>248676</v>
      </c>
      <c r="X7" s="142">
        <v>248676</v>
      </c>
      <c r="Y7" s="14" t="str" cm="1">
        <f t="array" ref="Y7:AI7">_xlfn.LET(
  _xlpm.program_isNT, RIGHT(Athena_BV!B7,5)="_NT.c",
  _xlpm.program_isT,  RIGHT(Athena_BV!B7,4)="_T.c",
  _xlpm.bv_isCorrect, LOWER(Athena_BV!Z7)="correct",
  _xlpm.ma_isCorrect, LOWER(Athena_MA!Z7)="correct",
  _xlpm.mi_isCorrect, LOWER(Athena_MI!Z7)="correct",
  _xlpm.bv_column, IF(_xlpm.program_isNT, Athena_BV!AC7, IF(_xlpm.program_isT, Athena_BV!AA7, "")),
  _xlpm.ma_column, IF(_xlpm.program_isNT, Athena_MA!AC7, IF(_xlpm.program_isT, Athena_MA!AA7, "")),
  _xlpm.mi_column, IF(_xlpm.program_isNT, Athena_MI!AC7, IF(_xlpm.program_isT, Athena_MI!AA7,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Athena_BV!Y7:AI7,
    Athena_MA!Y7:AI7,
    Athena_MI!Y7:AI7
  )
)</f>
        <v>(FSE_Bitvector_Mode_Adding_Subtracting_Zero_3_NT_Loop0_TestCase3, YES, 2195)
(FSE_Bitvector_Mode_Adding_Subtracting_Zero_3_NT_Loop0_TestCase2, YES, 1768)
(FSE_Bitvector_Mode_Adding_Subtracting_Zero_3_NT_Loop0_TestCase1, YES, 1801)
(FSE_Bitvector_Mode_Adding_Subtracting_Zero_3_NT_Loop0_TestCase5, TIMEOUT, 301687)
(FSE_Bitvector_Mode_Adding_Subtracting_Zero_3_NT_Loop0_TestCase4, YES, 210313)
(FSE_Bitvector_Mode_Adding_Subtracting_Zero_3_NT_Loop0_TestCase6, NO, 1748)
(FSE_Bitvector_Mode_Adding_Subtracting_Zero_3_NT_Loop0_TestCase7, NO, 1784)
(FSE_Bitvector_Mode_Adding_Subtracting_Zero_3_NT_Loop0_TestCase9, NO, 1787)
(FSE_Bitvector_Mode_Adding_Subtracting_Zero_3_NT_Loop0_TestCase8, NO, 1733)
(FSE_Bitvector_Mode_Adding_Subtracting_Zero_3_NT_Loop0_TestCase10, NO, 1791)</v>
      </c>
      <c r="Z7" s="142" t="str">
        <v>correct</v>
      </c>
      <c r="AA7" s="80">
        <v>0.8</v>
      </c>
      <c r="AB7" s="1" t="str">
        <v>4/5</v>
      </c>
      <c r="AC7" s="80">
        <v>1</v>
      </c>
      <c r="AD7" s="1" t="str">
        <v>5/5</v>
      </c>
      <c r="AE7" s="143">
        <v>0.9</v>
      </c>
      <c r="AF7" s="1" t="str">
        <v>9/10</v>
      </c>
      <c r="AG7" s="142">
        <v>224920</v>
      </c>
      <c r="AH7" s="150">
        <v>24991.11</v>
      </c>
      <c r="AI7" s="142">
        <v>1787</v>
      </c>
      <c r="AJ7" s="14" t="str" cm="1">
        <f t="array" ref="AJ7:AT7">_xlfn.LET(
  _xlpm.program_isNT, RIGHT(Athena_BV!B7,5)="_NT.c",
  _xlpm.program_isT,  RIGHT(Athena_BV!B7,4)="_T.c",
  _xlpm.bv_isCorrect, LOWER(Athena_BV!AK7)="correct",
  _xlpm.ma_isCorrect, LOWER(Athena_MA!AK7)="correct",
  _xlpm.mi_isCorrect, LOWER(Athena_MI!AK7)="correct",
  _xlpm.bv_column, IF(_xlpm.program_isNT, Athena_BV!AN7, IF(_xlpm.program_isT, Athena_BV!AL7, "")),
  _xlpm.ma_column, IF(_xlpm.program_isNT, Athena_MA!AN7, IF(_xlpm.program_isT, Athena_MA!AL7, "")),
  _xlpm.mi_column, IF(_xlpm.program_isNT, Athena_MI!AN7, IF(_xlpm.program_isT, Athena_MI!AL7,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Athena_BV!AJ7:AT7,
    Athena_MA!AJ7:AT7,
    Athena_MI!AJ7:AT7
  )
)</f>
        <v>(FSE_Bitvector_Mode_Adding_Subtracting_Zero_3_NT_Loop75_TestCase9, NO, 1777)
(FSE_Bitvector_Mode_Adding_Subtracting_Zero_3_NT_Loop75_TestCase8, NO, 1803)
(FSE_Bitvector_Mode_Adding_Subtracting_Zero_3_NT_Loop75_TestCase10, NO, 2099)
(FSE_Bitvector_Mode_Adding_Subtracting_Zero_3_NT_Loop40_TestCase2, YES, 1760)
(FSE_Bitvector_Mode_Adding_Subtracting_Zero_3_NT_Loop40_TestCase3, YES, 2008)
(FSE_Bitvector_Mode_Adding_Subtracting_Zero_3_NT_Loop40_TestCase1, YES, 1756)
(FSE_Bitvector_Mode_Adding_Subtracting_Zero_3_NT_Loop40_TestCase4, TIMEOUT, 301743)
(FSE_Bitvector_Mode_Adding_Subtracting_Zero_3_NT_Loop40_TestCase5, TIMEOUT, 301721)
(FSE_Bitvector_Mode_Adding_Subtracting_Zero_3_NT_Loop40_TestCase7, NO, 1766)
(FSE_Bitvector_Mode_Adding_Subtracting_Zero_3_NT_Loop40_TestCase6, NO, 1950)
(FSE_Bitvector_Mode_Adding_Subtracting_Zero_3_NT_Loop40_TestCase8, NO, 1799)
(FSE_Bitvector_Mode_Adding_Subtracting_Zero_3_NT_Loop40_TestCase9, NO, 1788)
(FSE_Bitvector_Mode_Adding_Subtracting_Zero_3_NT_Loop75_TestCase5, TIMEOUT, 301955)
(FSE_Bitvector_Mode_Adding_Subtracting_Zero_3_NT_Loop75_TestCase4, TIMEOUT, 301727)
(FSE_Bitvector_Mode_Adding_Subtracting_Zero_3_NT_Loop75_TestCase6, NO, 1738)
(FSE_Bitvector_Mode_Adding_Subtracting_Zero_3_NT_Loop75_TestCase7, NO, 1792)
(FSE_Bitvector_Mode_Adding_Subtracting_Zero_3_NT_Loop75_TestCase3, YES, 2145)
(FSE_Bitvector_Mode_Adding_Subtracting_Zero_3_NT_Loop75_TestCase2, YES, 1783)
(FSE_Bitvector_Mode_Adding_Subtracting_Zero_3_NT_Loop40_TestCase10, NO, 1781)
(FSE_Bitvector_Mode_Adding_Subtracting_Zero_3_NT_Loop75_TestCase1, YES, 1943)</v>
      </c>
      <c r="AK7" s="142" t="str">
        <v>correct</v>
      </c>
      <c r="AL7" s="80">
        <v>0.6</v>
      </c>
      <c r="AM7" s="1" t="str">
        <v>6/10</v>
      </c>
      <c r="AN7" s="80">
        <v>1</v>
      </c>
      <c r="AO7" s="1" t="str">
        <v>9/9</v>
      </c>
      <c r="AP7" s="143">
        <v>0.75</v>
      </c>
      <c r="AQ7" s="1" t="str">
        <v>15/20</v>
      </c>
      <c r="AR7" s="142">
        <v>27589</v>
      </c>
      <c r="AS7" s="150">
        <v>1839.27</v>
      </c>
      <c r="AT7" s="142">
        <v>1788</v>
      </c>
    </row>
    <row r="8" spans="1:47" x14ac:dyDescent="0.2">
      <c r="A8" s="174"/>
      <c r="B8" s="9" t="s">
        <v>5</v>
      </c>
      <c r="C8" s="14" t="str" cm="1">
        <f t="array" ref="C8:M8">_xlfn.LET(
  _xlpm.program_isNT, RIGHT(Athena_BV!B8,5)="_NT.c",
  _xlpm.program_isT,  RIGHT(Athena_BV!B8,4)="_T.c",
  _xlpm.bv_isCorrect, LOWER(Athena_BV!D8)="correct",
  _xlpm.ma_isCorrect, LOWER(Athena_MA!D8)="correct",
  _xlpm.mi_isCorrect, LOWER(Athena_MI!D8)="correct",
  _xlpm.bv_column, IF(_xlpm.program_isNT, Athena_BV!G8, IF(_xlpm.program_isT, Athena_BV!E8, "")),
  _xlpm.ma_column, IF(_xlpm.program_isNT, Athena_MA!G8, IF(_xlpm.program_isT, Athena_MA!E8, "")),
  _xlpm.mi_column, IF(_xlpm.program_isNT, Athena_MI!G8, IF(_xlpm.program_isT, Athena_MI!E8,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Athena_BV!C8:M8,
    Athena_MA!C8:M8,
    Athena_MI!C8:M8
  )
)</f>
        <v>(FSE_Bitvector_Mode_Adding_Subtracting_Zero_3_T_Loop0_TestCase0, TIMEOUT, 302032)</v>
      </c>
      <c r="D8" s="142" t="str">
        <v>correct</v>
      </c>
      <c r="E8" s="80">
        <v>0</v>
      </c>
      <c r="F8" s="1" t="str">
        <v>0/1</v>
      </c>
      <c r="G8" s="80" t="str">
        <v/>
      </c>
      <c r="H8" s="1" t="str">
        <v/>
      </c>
      <c r="I8" s="143">
        <v>0</v>
      </c>
      <c r="J8" s="1" t="str">
        <v>0/1</v>
      </c>
      <c r="K8" s="142">
        <v>0</v>
      </c>
      <c r="L8" s="1">
        <v>0</v>
      </c>
      <c r="M8" s="140">
        <v>0</v>
      </c>
      <c r="N8" s="14" t="str" cm="1">
        <f t="array" ref="N8:X8">_xlfn.LET(
  _xlpm.program_isNT, RIGHT(Athena_BV!B8,5)="_NT.c",
  _xlpm.program_isT,  RIGHT(Athena_BV!B8,4)="_T.c",
  _xlpm.bv_isCorrect, LOWER(Athena_BV!O8)="correct",
  _xlpm.ma_isCorrect, LOWER(Athena_MA!O8)="correct",
  _xlpm.mi_isCorrect, LOWER(Athena_MI!O8)="correct",
  _xlpm.bv_column, IF(_xlpm.program_isNT, Athena_BV!R8, IF(_xlpm.program_isT, Athena_BV!P8, "")),
  _xlpm.ma_column, IF(_xlpm.program_isNT, Athena_MA!R8, IF(_xlpm.program_isT, Athena_MA!P8, "")),
  _xlpm.mi_column, IF(_xlpm.program_isNT, Athena_MI!R8, IF(_xlpm.program_isT, Athena_MI!P8,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Athena_BV!N8:X8,
    Athena_MA!N8:X8,
    Athena_MI!N8:X8
  )
)</f>
        <v>(FSE_Bitvector_Mode_Adding_Subtracting_Zero_3_T_Loop37_TestCase0, TIMEOUT, 302060)
(FSE_Bitvector_Mode_Adding_Subtracting_Zero_3_T_Loop72_TestCase0, TIMEOUT, 302038)</v>
      </c>
      <c r="O8" s="142" t="str">
        <v>correct</v>
      </c>
      <c r="P8" s="80">
        <v>0</v>
      </c>
      <c r="Q8" s="1" t="str">
        <v>0/2</v>
      </c>
      <c r="R8" s="80" t="str">
        <v/>
      </c>
      <c r="S8" s="149" t="str">
        <v/>
      </c>
      <c r="T8" s="80">
        <v>0</v>
      </c>
      <c r="U8" s="1" t="str">
        <v>0/2</v>
      </c>
      <c r="V8" s="142">
        <v>0</v>
      </c>
      <c r="W8" s="150">
        <v>0</v>
      </c>
      <c r="X8" s="142">
        <v>0</v>
      </c>
      <c r="Y8" s="14" t="str" cm="1">
        <f t="array" ref="Y8:AI8">_xlfn.LET(
  _xlpm.program_isNT, RIGHT(Athena_BV!B8,5)="_NT.c",
  _xlpm.program_isT,  RIGHT(Athena_BV!B8,4)="_T.c",
  _xlpm.bv_isCorrect, LOWER(Athena_BV!Z8)="correct",
  _xlpm.ma_isCorrect, LOWER(Athena_MA!Z8)="correct",
  _xlpm.mi_isCorrect, LOWER(Athena_MI!Z8)="correct",
  _xlpm.bv_column, IF(_xlpm.program_isNT, Athena_BV!AC8, IF(_xlpm.program_isT, Athena_BV!AA8, "")),
  _xlpm.ma_column, IF(_xlpm.program_isNT, Athena_MA!AC8, IF(_xlpm.program_isT, Athena_MA!AA8, "")),
  _xlpm.mi_column, IF(_xlpm.program_isNT, Athena_MI!AC8, IF(_xlpm.program_isT, Athena_MI!AA8,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Athena_BV!Y8:AI8,
    Athena_MA!Y8:AI8,
    Athena_MI!Y8:AI8
  )
)</f>
        <v>(FSE_Mathematical_Integer_Mode_Adding_Subtracting_Zero_3_T_Loop0_TestCase10, YES, 1788)
(FSE_Mathematical_Integer_Mode_Adding_Subtracting_Zero_3_T_Loop0_TestCase9, YES, 1772)
(FSE_Mathematical_Integer_Mode_Adding_Subtracting_Zero_3_T_Loop0_TestCase8, YES, 1771)
(FSE_Mathematical_Integer_Mode_Adding_Subtracting_Zero_3_T_Loop0_TestCase5, YES, 3202)
(FSE_Mathematical_Integer_Mode_Adding_Subtracting_Zero_3_T_Loop0_TestCase4, YES, 3212)
(FSE_Mathematical_Integer_Mode_Adding_Subtracting_Zero_3_T_Loop0_TestCase6, YES, 1771)
(FSE_Mathematical_Integer_Mode_Adding_Subtracting_Zero_3_T_Loop0_TestCase7, YES, 1768)
(FSE_Mathematical_Integer_Mode_Adding_Subtracting_Zero_3_T_Loop0_TestCase3, YES, 1782)
(FSE_Mathematical_Integer_Mode_Adding_Subtracting_Zero_3_T_Loop0_TestCase2, YES, 1745)
(FSE_Mathematical_Integer_Mode_Adding_Subtracting_Zero_3_T_Loop0_TestCase1, YES, 1800)</v>
      </c>
      <c r="Z8" s="142" t="str">
        <v>correct</v>
      </c>
      <c r="AA8" s="80">
        <v>1</v>
      </c>
      <c r="AB8" s="1" t="str">
        <v>10/10</v>
      </c>
      <c r="AC8" s="80" t="str">
        <v/>
      </c>
      <c r="AD8" s="1" t="str">
        <v/>
      </c>
      <c r="AE8" s="143">
        <v>1</v>
      </c>
      <c r="AF8" s="1" t="str">
        <v>10/10</v>
      </c>
      <c r="AG8" s="142">
        <v>20611</v>
      </c>
      <c r="AH8" s="150">
        <v>2061.1</v>
      </c>
      <c r="AI8" s="142">
        <v>1777</v>
      </c>
      <c r="AJ8" s="14" t="str" cm="1">
        <f t="array" ref="AJ8:AT8">_xlfn.LET(
  _xlpm.program_isNT, RIGHT(Athena_BV!B8,5)="_NT.c",
  _xlpm.program_isT,  RIGHT(Athena_BV!B8,4)="_T.c",
  _xlpm.bv_isCorrect, LOWER(Athena_BV!AK8)="correct",
  _xlpm.ma_isCorrect, LOWER(Athena_MA!AK8)="correct",
  _xlpm.mi_isCorrect, LOWER(Athena_MI!AK8)="correct",
  _xlpm.bv_column, IF(_xlpm.program_isNT, Athena_BV!AN8, IF(_xlpm.program_isT, Athena_BV!AL8, "")),
  _xlpm.ma_column, IF(_xlpm.program_isNT, Athena_MA!AN8, IF(_xlpm.program_isT, Athena_MA!AL8, "")),
  _xlpm.mi_column, IF(_xlpm.program_isNT, Athena_MI!AN8, IF(_xlpm.program_isT, Athena_MI!AL8,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Athena_BV!AJ8:AT8,
    Athena_MA!AJ8:AT8,
    Athena_MI!AJ8:AT8
  )
)</f>
        <v>(FSE_Mathematical_Integer_Mode_Adding_Subtracting_Zero_3_T_Loop37_TestCase8, YES, 1802)
(FSE_Mathematical_Integer_Mode_Adding_Subtracting_Zero_3_T_Loop37_TestCase9, YES, 1847)
(FSE_Mathematical_Integer_Mode_Adding_Subtracting_Zero_3_T_Loop72_TestCase6, YES, 1843)
(FSE_Mathematical_Integer_Mode_Adding_Subtracting_Zero_3_T_Loop72_TestCase7, YES, 1788)
(FSE_Mathematical_Integer_Mode_Adding_Subtracting_Zero_3_T_Loop72_TestCase5, YES, 3299)
(FSE_Mathematical_Integer_Mode_Adding_Subtracting_Zero_3_T_Loop72_TestCase4, YES, 3261)
(FSE_Mathematical_Integer_Mode_Adding_Subtracting_Zero_3_T_Loop37_TestCase10, YES, 1789)
(FSE_Mathematical_Integer_Mode_Adding_Subtracting_Zero_3_T_Loop72_TestCase1, YES, 1810)
(FSE_Mathematical_Integer_Mode_Adding_Subtracting_Zero_3_T_Loop72_TestCase3, YES, 1769)
(FSE_Mathematical_Integer_Mode_Adding_Subtracting_Zero_3_T_Loop72_TestCase2, YES, 1816)
(FSE_Mathematical_Integer_Mode_Adding_Subtracting_Zero_3_T_Loop72_TestCase9, YES, 1815)
(FSE_Mathematical_Integer_Mode_Adding_Subtracting_Zero_3_T_Loop72_TestCase10, YES, 2057)
(FSE_Mathematical_Integer_Mode_Adding_Subtracting_Zero_3_T_Loop72_TestCase8, YES, 1785)
(FSE_Mathematical_Integer_Mode_Adding_Subtracting_Zero_3_T_Loop37_TestCase2, YES, 1796)
(FSE_Mathematical_Integer_Mode_Adding_Subtracting_Zero_3_T_Loop37_TestCase3, YES, 1787)
(FSE_Mathematical_Integer_Mode_Adding_Subtracting_Zero_3_T_Loop37_TestCase1, YES, 1769)
(FSE_Mathematical_Integer_Mode_Adding_Subtracting_Zero_3_T_Loop37_TestCase4, YES, 16300)
(FSE_Mathematical_Integer_Mode_Adding_Subtracting_Zero_3_T_Loop37_TestCase5, YES, 21016)
(FSE_Mathematical_Integer_Mode_Adding_Subtracting_Zero_3_T_Loop37_TestCase7, YES, 1752)
(FSE_Mathematical_Integer_Mode_Adding_Subtracting_Zero_3_T_Loop37_TestCase6, YES, 1808)</v>
      </c>
      <c r="AK8" s="142" t="str">
        <v>correct</v>
      </c>
      <c r="AL8" s="80">
        <v>1</v>
      </c>
      <c r="AM8" s="1" t="str">
        <v>20/20</v>
      </c>
      <c r="AN8" s="80" t="str">
        <v/>
      </c>
      <c r="AO8" s="1" t="str">
        <v/>
      </c>
      <c r="AP8" s="143">
        <v>1</v>
      </c>
      <c r="AQ8" s="1" t="str">
        <v>20/20</v>
      </c>
      <c r="AR8" s="142">
        <v>72909</v>
      </c>
      <c r="AS8" s="150">
        <v>3645.45</v>
      </c>
      <c r="AT8" s="142">
        <v>1809</v>
      </c>
    </row>
    <row r="9" spans="1:47" x14ac:dyDescent="0.2">
      <c r="A9" s="174"/>
      <c r="B9" s="9" t="s">
        <v>6</v>
      </c>
      <c r="C9" s="14" t="str" cm="1">
        <f t="array" ref="C9:M9">_xlfn.LET(
  _xlpm.program_isNT, RIGHT(Athena_BV!B9,5)="_NT.c",
  _xlpm.program_isT,  RIGHT(Athena_BV!B9,4)="_T.c",
  _xlpm.bv_isCorrect, LOWER(Athena_BV!D9)="correct",
  _xlpm.ma_isCorrect, LOWER(Athena_MA!D9)="correct",
  _xlpm.mi_isCorrect, LOWER(Athena_MI!D9)="correct",
  _xlpm.bv_column, IF(_xlpm.program_isNT, Athena_BV!G9, IF(_xlpm.program_isT, Athena_BV!E9, "")),
  _xlpm.ma_column, IF(_xlpm.program_isNT, Athena_MA!G9, IF(_xlpm.program_isT, Athena_MA!E9, "")),
  _xlpm.mi_column, IF(_xlpm.program_isNT, Athena_MI!G9, IF(_xlpm.program_isT, Athena_MI!E9,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Athena_BV!C9:M9,
    Athena_MA!C9:M9,
    Athena_MI!C9:M9
  )
)</f>
        <v>(FSE_Bitvector_Mode_Adding_Subtracting_Zero_4_NT_Loop0_TestCase0, NO, 50487)</v>
      </c>
      <c r="D9" s="142" t="str">
        <v>correct</v>
      </c>
      <c r="E9" s="80">
        <v>0</v>
      </c>
      <c r="F9" s="1" t="str">
        <v>0/0</v>
      </c>
      <c r="G9" s="80">
        <v>1</v>
      </c>
      <c r="H9" s="1" t="str">
        <v>1/1</v>
      </c>
      <c r="I9" s="143">
        <v>1</v>
      </c>
      <c r="J9" s="1" t="str">
        <v>1/1</v>
      </c>
      <c r="K9" s="142">
        <v>50487</v>
      </c>
      <c r="L9" s="1">
        <v>50487</v>
      </c>
      <c r="M9" s="140">
        <v>50487</v>
      </c>
      <c r="N9" s="14" t="str" cm="1">
        <f t="array" ref="N9:X9">_xlfn.LET(
  _xlpm.program_isNT, RIGHT(Athena_BV!B9,5)="_NT.c",
  _xlpm.program_isT,  RIGHT(Athena_BV!B9,4)="_T.c",
  _xlpm.bv_isCorrect, LOWER(Athena_BV!O9)="correct",
  _xlpm.ma_isCorrect, LOWER(Athena_MA!O9)="correct",
  _xlpm.mi_isCorrect, LOWER(Athena_MI!O9)="correct",
  _xlpm.bv_column, IF(_xlpm.program_isNT, Athena_BV!R9, IF(_xlpm.program_isT, Athena_BV!P9, "")),
  _xlpm.ma_column, IF(_xlpm.program_isNT, Athena_MA!R9, IF(_xlpm.program_isT, Athena_MA!P9, "")),
  _xlpm.mi_column, IF(_xlpm.program_isNT, Athena_MI!R9, IF(_xlpm.program_isT, Athena_MI!P9,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Athena_BV!N9:X9,
    Athena_MA!N9:X9,
    Athena_MI!N9:X9
  )
)</f>
        <v>(FSE_Mathematical_Integer_Mode_Adding_Subtracting_Zero_4_NT_Loop16_TestCase0, NO, 7331)
(FSE_Mathematical_Integer_Mode_Adding_Subtracting_Zero_4_NT_Loop50_TestCase0, NO, 21380)</v>
      </c>
      <c r="O9" s="142" t="str">
        <v>correct</v>
      </c>
      <c r="P9" s="80">
        <v>0</v>
      </c>
      <c r="Q9" s="1" t="str">
        <v>0/0</v>
      </c>
      <c r="R9" s="80">
        <v>1</v>
      </c>
      <c r="S9" s="149" t="str">
        <v>2/2</v>
      </c>
      <c r="T9" s="80">
        <v>1</v>
      </c>
      <c r="U9" s="1" t="str">
        <v>2/2</v>
      </c>
      <c r="V9" s="142">
        <v>28711</v>
      </c>
      <c r="W9" s="150">
        <v>14355.5</v>
      </c>
      <c r="X9" s="142">
        <v>14355.5</v>
      </c>
      <c r="Y9" s="14" t="str" cm="1">
        <f t="array" ref="Y9:AI9">_xlfn.LET(
  _xlpm.program_isNT, RIGHT(Athena_BV!B9,5)="_NT.c",
  _xlpm.program_isT,  RIGHT(Athena_BV!B9,4)="_T.c",
  _xlpm.bv_isCorrect, LOWER(Athena_BV!Z9)="correct",
  _xlpm.ma_isCorrect, LOWER(Athena_MA!Z9)="correct",
  _xlpm.mi_isCorrect, LOWER(Athena_MI!Z9)="correct",
  _xlpm.bv_column, IF(_xlpm.program_isNT, Athena_BV!AC9, IF(_xlpm.program_isT, Athena_BV!AA9, "")),
  _xlpm.ma_column, IF(_xlpm.program_isNT, Athena_MA!AC9, IF(_xlpm.program_isT, Athena_MA!AA9, "")),
  _xlpm.mi_column, IF(_xlpm.program_isNT, Athena_MI!AC9, IF(_xlpm.program_isT, Athena_MI!AA9,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Athena_BV!Y9:AI9,
    Athena_MA!Y9:AI9,
    Athena_MI!Y9:AI9
  )
)</f>
        <v>(FSE_Bitvector_Mode_Adding_Subtracting_Zero_4_NT_Loop0_TestCase1, YES, 1778)
(FSE_Bitvector_Mode_Adding_Subtracting_Zero_4_NT_Loop0_TestCase3, YES, 19819)
(FSE_Bitvector_Mode_Adding_Subtracting_Zero_4_NT_Loop0_TestCase2, YES, 1747)
(FSE_Bitvector_Mode_Adding_Subtracting_Zero_4_NT_Loop0_TestCase6, NO, 1741)
(FSE_Bitvector_Mode_Adding_Subtracting_Zero_4_NT_Loop0_TestCase7, NO, 1892)
(FSE_Bitvector_Mode_Adding_Subtracting_Zero_4_NT_Loop0_TestCase5, YES, 16230)
(FSE_Bitvector_Mode_Adding_Subtracting_Zero_4_NT_Loop0_TestCase4, YES, 46273)
(FSE_Bitvector_Mode_Adding_Subtracting_Zero_4_NT_Loop0_TestCase9, NO, 1772)
(FSE_Bitvector_Mode_Adding_Subtracting_Zero_4_NT_Loop0_TestCase8, NO, 1753)
(FSE_Bitvector_Mode_Adding_Subtracting_Zero_4_NT_Loop0_TestCase10, NO, 1752)</v>
      </c>
      <c r="Z9" s="142" t="str">
        <v>correct</v>
      </c>
      <c r="AA9" s="80">
        <v>1</v>
      </c>
      <c r="AB9" s="1" t="str">
        <v>5/5</v>
      </c>
      <c r="AC9" s="80">
        <v>1</v>
      </c>
      <c r="AD9" s="1" t="str">
        <v>5/5</v>
      </c>
      <c r="AE9" s="143">
        <v>1</v>
      </c>
      <c r="AF9" s="1" t="str">
        <v>10/10</v>
      </c>
      <c r="AG9" s="142">
        <v>94757</v>
      </c>
      <c r="AH9" s="150">
        <v>9475.7000000000007</v>
      </c>
      <c r="AI9" s="142">
        <v>1775</v>
      </c>
      <c r="AJ9" s="14" t="str" cm="1">
        <f t="array" ref="AJ9:AT9">_xlfn.LET(
  _xlpm.program_isNT, RIGHT(Athena_BV!B9,5)="_NT.c",
  _xlpm.program_isT,  RIGHT(Athena_BV!B9,4)="_T.c",
  _xlpm.bv_isCorrect, LOWER(Athena_BV!AK9)="correct",
  _xlpm.ma_isCorrect, LOWER(Athena_MA!AK9)="correct",
  _xlpm.mi_isCorrect, LOWER(Athena_MI!AK9)="correct",
  _xlpm.bv_column, IF(_xlpm.program_isNT, Athena_BV!AN9, IF(_xlpm.program_isT, Athena_BV!AL9, "")),
  _xlpm.ma_column, IF(_xlpm.program_isNT, Athena_MA!AN9, IF(_xlpm.program_isT, Athena_MA!AL9, "")),
  _xlpm.mi_column, IF(_xlpm.program_isNT, Athena_MI!AN9, IF(_xlpm.program_isT, Athena_MI!AL9,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Athena_BV!AJ9:AT9,
    Athena_MA!AJ9:AT9,
    Athena_MI!AJ9:AT9
  )
)</f>
        <v>(FSE_Bitvector_Mode_Adding_Subtracting_Zero_4_NT_Loop50_TestCase4, YES, 116678)
(FSE_Bitvector_Mode_Adding_Subtracting_Zero_4_NT_Loop50_TestCase5, YES, 48537)
(FSE_Bitvector_Mode_Adding_Subtracting_Zero_4_NT_Loop50_TestCase7, NO, 2076)
(FSE_Bitvector_Mode_Adding_Subtracting_Zero_4_NT_Loop50_TestCase6, NO, 1852)
(FSE_Bitvector_Mode_Adding_Subtracting_Zero_4_NT_Loop50_TestCase2, YES, 1792)
(FSE_Bitvector_Mode_Adding_Subtracting_Zero_4_NT_Loop50_TestCase10, NO, 1970)
(FSE_Bitvector_Mode_Adding_Subtracting_Zero_4_NT_Loop50_TestCase3, YES, 19125)
(FSE_Bitvector_Mode_Adding_Subtracting_Zero_4_NT_Loop50_TestCase1, YES, 1796)
(FSE_Bitvector_Mode_Adding_Subtracting_Zero_4_NT_Loop16_TestCase9, NO, 2117)
(FSE_Bitvector_Mode_Adding_Subtracting_Zero_4_NT_Loop16_TestCase8, NO, 2093)
(FSE_Bitvector_Mode_Adding_Subtracting_Zero_4_NT_Loop16_TestCase5, TIMEOUT, 301728)
(FSE_Bitvector_Mode_Adding_Subtracting_Zero_4_NT_Loop16_TestCase4, YES, 30315)
(FSE_Bitvector_Mode_Adding_Subtracting_Zero_4_NT_Loop16_TestCase10, NO, 2180)
(FSE_Bitvector_Mode_Adding_Subtracting_Zero_4_NT_Loop16_TestCase6, NO, 1835)
(FSE_Bitvector_Mode_Adding_Subtracting_Zero_4_NT_Loop16_TestCase7, NO, 2151)
(FSE_Bitvector_Mode_Adding_Subtracting_Zero_4_NT_Loop16_TestCase3, YES, 14038)
(FSE_Bitvector_Mode_Adding_Subtracting_Zero_4_NT_Loop16_TestCase2, YES, 1750)
(FSE_Bitvector_Mode_Adding_Subtracting_Zero_4_NT_Loop16_TestCase1, YES, 1813)
(FSE_Bitvector_Mode_Adding_Subtracting_Zero_4_NT_Loop50_TestCase8, NO, 2116)
(FSE_Bitvector_Mode_Adding_Subtracting_Zero_4_NT_Loop50_TestCase9, NO, 1791)</v>
      </c>
      <c r="AK9" s="142" t="str">
        <v>correct</v>
      </c>
      <c r="AL9" s="80">
        <v>0.9</v>
      </c>
      <c r="AM9" s="1" t="str">
        <v>9/10</v>
      </c>
      <c r="AN9" s="80">
        <v>1</v>
      </c>
      <c r="AO9" s="1" t="str">
        <v>10/10</v>
      </c>
      <c r="AP9" s="143">
        <v>0.95</v>
      </c>
      <c r="AQ9" s="1" t="str">
        <v>19/20</v>
      </c>
      <c r="AR9" s="142">
        <v>256025</v>
      </c>
      <c r="AS9" s="150">
        <v>13475</v>
      </c>
      <c r="AT9" s="142">
        <v>2093</v>
      </c>
    </row>
    <row r="10" spans="1:47" x14ac:dyDescent="0.2">
      <c r="A10" s="174"/>
      <c r="B10" s="9" t="s">
        <v>7</v>
      </c>
      <c r="C10" s="14" t="str" cm="1">
        <f t="array" ref="C10:M10">_xlfn.LET(
  _xlpm.program_isNT, RIGHT(Athena_BV!B10,5)="_NT.c",
  _xlpm.program_isT,  RIGHT(Athena_BV!B10,4)="_T.c",
  _xlpm.bv_isCorrect, LOWER(Athena_BV!D10)="correct",
  _xlpm.ma_isCorrect, LOWER(Athena_MA!D10)="correct",
  _xlpm.mi_isCorrect, LOWER(Athena_MI!D10)="correct",
  _xlpm.bv_column, IF(_xlpm.program_isNT, Athena_BV!G10, IF(_xlpm.program_isT, Athena_BV!E10, "")),
  _xlpm.ma_column, IF(_xlpm.program_isNT, Athena_MA!G10, IF(_xlpm.program_isT, Athena_MA!E10, "")),
  _xlpm.mi_column, IF(_xlpm.program_isNT, Athena_MI!G10, IF(_xlpm.program_isT, Athena_MI!E10,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Athena_BV!C10:M10,
    Athena_MA!C10:M10,
    Athena_MI!C10:M10
  )
)</f>
        <v>(FSE_Bitvector_Mode_Adding_Subtracting_Zero_4_T_Loop0_TestCase0, TIMEOUT, 302142)</v>
      </c>
      <c r="D10" s="142" t="str">
        <v>correct</v>
      </c>
      <c r="E10" s="80">
        <v>0</v>
      </c>
      <c r="F10" s="1" t="str">
        <v>0/1</v>
      </c>
      <c r="G10" s="80" t="str">
        <v/>
      </c>
      <c r="H10" s="1" t="str">
        <v/>
      </c>
      <c r="I10" s="143">
        <v>0</v>
      </c>
      <c r="J10" s="1" t="str">
        <v>0/1</v>
      </c>
      <c r="K10" s="142">
        <v>0</v>
      </c>
      <c r="L10" s="1">
        <v>0</v>
      </c>
      <c r="M10" s="140">
        <v>0</v>
      </c>
      <c r="N10" s="14" t="str" cm="1">
        <f t="array" ref="N10:X10">_xlfn.LET(
  _xlpm.program_isNT, RIGHT(Athena_BV!B10,5)="_NT.c",
  _xlpm.program_isT,  RIGHT(Athena_BV!B10,4)="_T.c",
  _xlpm.bv_isCorrect, LOWER(Athena_BV!O10)="correct",
  _xlpm.ma_isCorrect, LOWER(Athena_MA!O10)="correct",
  _xlpm.mi_isCorrect, LOWER(Athena_MI!O10)="correct",
  _xlpm.bv_column, IF(_xlpm.program_isNT, Athena_BV!R10, IF(_xlpm.program_isT, Athena_BV!P10, "")),
  _xlpm.ma_column, IF(_xlpm.program_isNT, Athena_MA!R10, IF(_xlpm.program_isT, Athena_MA!P10, "")),
  _xlpm.mi_column, IF(_xlpm.program_isNT, Athena_MI!R10, IF(_xlpm.program_isT, Athena_MI!P10,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Athena_BV!N10:X10,
    Athena_MA!N10:X10,
    Athena_MI!N10:X10
  )
)</f>
        <v>(FSE_Bitvector_Mode_Adding_Subtracting_Zero_4_T_Loop16_TestCase0, TIMEOUT, 301970)
(FSE_Bitvector_Mode_Adding_Subtracting_Zero_4_T_Loop51_TestCase0, TIMEOUT, 302016)</v>
      </c>
      <c r="O10" s="142" t="str">
        <v>correct</v>
      </c>
      <c r="P10" s="80">
        <v>0</v>
      </c>
      <c r="Q10" s="1" t="str">
        <v>0/2</v>
      </c>
      <c r="R10" s="80" t="str">
        <v/>
      </c>
      <c r="S10" s="149" t="str">
        <v/>
      </c>
      <c r="T10" s="80">
        <v>0</v>
      </c>
      <c r="U10" s="1" t="str">
        <v>0/2</v>
      </c>
      <c r="V10" s="142">
        <v>0</v>
      </c>
      <c r="W10" s="150">
        <v>0</v>
      </c>
      <c r="X10" s="142">
        <v>0</v>
      </c>
      <c r="Y10" s="14" t="str" cm="1">
        <f t="array" ref="Y10:AI10">_xlfn.LET(
  _xlpm.program_isNT, RIGHT(Athena_BV!B10,5)="_NT.c",
  _xlpm.program_isT,  RIGHT(Athena_BV!B10,4)="_T.c",
  _xlpm.bv_isCorrect, LOWER(Athena_BV!Z10)="correct",
  _xlpm.ma_isCorrect, LOWER(Athena_MA!Z10)="correct",
  _xlpm.mi_isCorrect, LOWER(Athena_MI!Z10)="correct",
  _xlpm.bv_column, IF(_xlpm.program_isNT, Athena_BV!AC10, IF(_xlpm.program_isT, Athena_BV!AA10, "")),
  _xlpm.ma_column, IF(_xlpm.program_isNT, Athena_MA!AC10, IF(_xlpm.program_isT, Athena_MA!AA10, "")),
  _xlpm.mi_column, IF(_xlpm.program_isNT, Athena_MI!AC10, IF(_xlpm.program_isT, Athena_MI!AA10,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Athena_BV!Y10:AI10,
    Athena_MA!Y10:AI10,
    Athena_MI!Y10:AI10
  )
)</f>
        <v>(FSE_Mathematical_Integer_Mode_Adding_Subtracting_Zero_4_T_Loop0_TestCase2, YES, 1769)
(FSE_Mathematical_Integer_Mode_Adding_Subtracting_Zero_4_T_Loop0_TestCase3, YES, 2707)
(FSE_Mathematical_Integer_Mode_Adding_Subtracting_Zero_4_T_Loop0_TestCase1, YES, 1762)
(FSE_Mathematical_Integer_Mode_Adding_Subtracting_Zero_4_T_Loop0_TestCase10, YES, 2639)
(FSE_Mathematical_Integer_Mode_Adding_Subtracting_Zero_4_T_Loop0_TestCase4, YES, 6150)
(FSE_Mathematical_Integer_Mode_Adding_Subtracting_Zero_4_T_Loop0_TestCase5, YES, 10808)
(FSE_Mathematical_Integer_Mode_Adding_Subtracting_Zero_4_T_Loop0_TestCase7, YES, 2612)
(FSE_Mathematical_Integer_Mode_Adding_Subtracting_Zero_4_T_Loop0_TestCase6, YES, 2206)
(FSE_Mathematical_Integer_Mode_Adding_Subtracting_Zero_4_T_Loop0_TestCase8, YES, 2260)
(FSE_Mathematical_Integer_Mode_Adding_Subtracting_Zero_4_T_Loop0_TestCase9, YES, 2409)</v>
      </c>
      <c r="Z10" s="142" t="str">
        <v>correct</v>
      </c>
      <c r="AA10" s="80">
        <v>1</v>
      </c>
      <c r="AB10" s="1" t="str">
        <v>10/10</v>
      </c>
      <c r="AC10" s="80" t="str">
        <v/>
      </c>
      <c r="AD10" s="1" t="str">
        <v/>
      </c>
      <c r="AE10" s="143">
        <v>1</v>
      </c>
      <c r="AF10" s="1" t="str">
        <v>10/10</v>
      </c>
      <c r="AG10" s="142">
        <v>35322</v>
      </c>
      <c r="AH10" s="150">
        <v>3532.2</v>
      </c>
      <c r="AI10" s="142">
        <v>2510.5</v>
      </c>
      <c r="AJ10" s="14" t="str" cm="1">
        <f t="array" ref="AJ10:AT10">_xlfn.LET(
  _xlpm.program_isNT, RIGHT(Athena_BV!B10,5)="_NT.c",
  _xlpm.program_isT,  RIGHT(Athena_BV!B10,4)="_T.c",
  _xlpm.bv_isCorrect, LOWER(Athena_BV!AK10)="correct",
  _xlpm.ma_isCorrect, LOWER(Athena_MA!AK10)="correct",
  _xlpm.mi_isCorrect, LOWER(Athena_MI!AK10)="correct",
  _xlpm.bv_column, IF(_xlpm.program_isNT, Athena_BV!AN10, IF(_xlpm.program_isT, Athena_BV!AL10, "")),
  _xlpm.ma_column, IF(_xlpm.program_isNT, Athena_MA!AN10, IF(_xlpm.program_isT, Athena_MA!AL10, "")),
  _xlpm.mi_column, IF(_xlpm.program_isNT, Athena_MI!AN10, IF(_xlpm.program_isT, Athena_MI!AL10,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Athena_BV!AJ10:AT10,
    Athena_MA!AJ10:AT10,
    Athena_MI!AJ10:AT10
  )
)</f>
        <v>(FSE_Mathematical_Integer_Mode_Adding_Subtracting_Zero_4_T_Loop51_TestCase5, YES, 9157)
(FSE_Mathematical_Integer_Mode_Adding_Subtracting_Zero_4_T_Loop51_TestCase4, YES, 8836)
(FSE_Mathematical_Integer_Mode_Adding_Subtracting_Zero_4_T_Loop51_TestCase6, YES, 2088)
(FSE_Mathematical_Integer_Mode_Adding_Subtracting_Zero_4_T_Loop51_TestCase7, YES, 2493)
(FSE_Mathematical_Integer_Mode_Adding_Subtracting_Zero_4_T_Loop51_TestCase3, YES, 4104)
(FSE_Mathematical_Integer_Mode_Adding_Subtracting_Zero_4_T_Loop51_TestCase2, YES, 1832)
(FSE_Mathematical_Integer_Mode_Adding_Subtracting_Zero_4_T_Loop51_TestCase1, YES, 1753)
(FSE_Mathematical_Integer_Mode_Adding_Subtracting_Zero_4_T_Loop16_TestCase3, YES, 3493)
(FSE_Mathematical_Integer_Mode_Adding_Subtracting_Zero_4_T_Loop16_TestCase2, YES, 1778)
(FSE_Mathematical_Integer_Mode_Adding_Subtracting_Zero_4_T_Loop16_TestCase1, YES, 1838)
(FSE_Mathematical_Integer_Mode_Adding_Subtracting_Zero_4_T_Loop16_TestCase5, YES, 172113)
(FSE_Mathematical_Integer_Mode_Adding_Subtracting_Zero_4_T_Loop16_TestCase4, YES, 9228)
(FSE_Mathematical_Integer_Mode_Adding_Subtracting_Zero_4_T_Loop16_TestCase6, YES, 1904)
(FSE_Mathematical_Integer_Mode_Adding_Subtracting_Zero_4_T_Loop51_TestCase10, YES, 2647)
(FSE_Mathematical_Integer_Mode_Adding_Subtracting_Zero_4_T_Loop16_TestCase7, YES, 2322)
(FSE_Mathematical_Integer_Mode_Adding_Subtracting_Zero_4_T_Loop16_TestCase9, YES, 2234)
(FSE_Mathematical_Integer_Mode_Adding_Subtracting_Zero_4_T_Loop16_TestCase8, YES, 2401)
(FSE_Mathematical_Integer_Mode_Adding_Subtracting_Zero_4_T_Loop51_TestCase9, YES, 2523)
(FSE_Mathematical_Integer_Mode_Adding_Subtracting_Zero_4_T_Loop16_TestCase10, YES, 2226)
(FSE_Mathematical_Integer_Mode_Adding_Subtracting_Zero_4_T_Loop51_TestCase8, YES, 2986)</v>
      </c>
      <c r="AK10" s="142" t="str">
        <v>correct</v>
      </c>
      <c r="AL10" s="80">
        <v>1</v>
      </c>
      <c r="AM10" s="1" t="str">
        <v>20/20</v>
      </c>
      <c r="AN10" s="80" t="str">
        <v/>
      </c>
      <c r="AO10" s="1" t="str">
        <v/>
      </c>
      <c r="AP10" s="143">
        <v>1</v>
      </c>
      <c r="AQ10" s="1" t="str">
        <v>20/20</v>
      </c>
      <c r="AR10" s="142">
        <v>237956</v>
      </c>
      <c r="AS10" s="150">
        <v>11897.8</v>
      </c>
      <c r="AT10" s="142">
        <v>2447</v>
      </c>
    </row>
    <row r="11" spans="1:47" x14ac:dyDescent="0.2">
      <c r="A11" s="174"/>
      <c r="B11" s="9" t="s">
        <v>8</v>
      </c>
      <c r="C11" s="14" t="str" cm="1">
        <f t="array" ref="C11:M11">_xlfn.LET(
  _xlpm.program_isNT, RIGHT(Athena_BV!B11,5)="_NT.c",
  _xlpm.program_isT,  RIGHT(Athena_BV!B11,4)="_T.c",
  _xlpm.bv_isCorrect, LOWER(Athena_BV!D11)="correct",
  _xlpm.ma_isCorrect, LOWER(Athena_MA!D11)="correct",
  _xlpm.mi_isCorrect, LOWER(Athena_MI!D11)="correct",
  _xlpm.bv_column, IF(_xlpm.program_isNT, Athena_BV!G11, IF(_xlpm.program_isT, Athena_BV!E11, "")),
  _xlpm.ma_column, IF(_xlpm.program_isNT, Athena_MA!G11, IF(_xlpm.program_isT, Athena_MA!E11, "")),
  _xlpm.mi_column, IF(_xlpm.program_isNT, Athena_MI!G11, IF(_xlpm.program_isT, Athena_MI!E11,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Athena_BV!C11:M11,
    Athena_MA!C11:M11,
    Athena_MI!C11:M11
  )
)</f>
        <v>(FSE_Bitvector_Mode_Adding_Subtracting_Zero_5_NT_Loop0_TestCase0, NO, 2684)</v>
      </c>
      <c r="D11" s="142" t="str">
        <v>correct</v>
      </c>
      <c r="E11" s="80">
        <v>0</v>
      </c>
      <c r="F11" s="1" t="str">
        <v>0/0</v>
      </c>
      <c r="G11" s="80">
        <v>1</v>
      </c>
      <c r="H11" s="1" t="str">
        <v>1/1</v>
      </c>
      <c r="I11" s="143">
        <v>1</v>
      </c>
      <c r="J11" s="1" t="str">
        <v>1/1</v>
      </c>
      <c r="K11" s="142">
        <v>2684</v>
      </c>
      <c r="L11" s="1">
        <v>2684</v>
      </c>
      <c r="M11" s="140">
        <v>2684</v>
      </c>
      <c r="N11" s="14" t="str" cm="1">
        <f t="array" ref="N11:X11">_xlfn.LET(
  _xlpm.program_isNT, RIGHT(Athena_BV!B11,5)="_NT.c",
  _xlpm.program_isT,  RIGHT(Athena_BV!B11,4)="_T.c",
  _xlpm.bv_isCorrect, LOWER(Athena_BV!O11)="correct",
  _xlpm.ma_isCorrect, LOWER(Athena_MA!O11)="correct",
  _xlpm.mi_isCorrect, LOWER(Athena_MI!O11)="correct",
  _xlpm.bv_column, IF(_xlpm.program_isNT, Athena_BV!R11, IF(_xlpm.program_isT, Athena_BV!P11, "")),
  _xlpm.ma_column, IF(_xlpm.program_isNT, Athena_MA!R11, IF(_xlpm.program_isT, Athena_MA!P11, "")),
  _xlpm.mi_column, IF(_xlpm.program_isNT, Athena_MI!R11, IF(_xlpm.program_isT, Athena_MI!P11,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Athena_BV!N11:X11,
    Athena_MA!N11:X11,
    Athena_MI!N11:X11
  )
)</f>
        <v>(FSE_Bitvector_Mode_Adding_Subtracting_Zero_5_NT_Loop38_TestCase0, MAYBE, 1729)
(FSE_Bitvector_Mode_Adding_Subtracting_Zero_5_NT_Loop21_TestCase0, MAYBE, 1373)</v>
      </c>
      <c r="O11" s="142" t="str">
        <v>correct</v>
      </c>
      <c r="P11" s="80">
        <v>0</v>
      </c>
      <c r="Q11" s="1" t="str">
        <v>0/1</v>
      </c>
      <c r="R11" s="80">
        <v>0</v>
      </c>
      <c r="S11" s="149" t="str">
        <v>0/1</v>
      </c>
      <c r="T11" s="80">
        <v>0</v>
      </c>
      <c r="U11" s="1" t="str">
        <v>0/2</v>
      </c>
      <c r="V11" s="142">
        <v>0</v>
      </c>
      <c r="W11" s="150">
        <v>0</v>
      </c>
      <c r="X11" s="142">
        <v>0</v>
      </c>
      <c r="Y11" s="14" t="str" cm="1">
        <f t="array" ref="Y11:AI11">_xlfn.LET(
  _xlpm.program_isNT, RIGHT(Athena_BV!B11,5)="_NT.c",
  _xlpm.program_isT,  RIGHT(Athena_BV!B11,4)="_T.c",
  _xlpm.bv_isCorrect, LOWER(Athena_BV!Z11)="correct",
  _xlpm.ma_isCorrect, LOWER(Athena_MA!Z11)="correct",
  _xlpm.mi_isCorrect, LOWER(Athena_MI!Z11)="correct",
  _xlpm.bv_column, IF(_xlpm.program_isNT, Athena_BV!AC11, IF(_xlpm.program_isT, Athena_BV!AA11, "")),
  _xlpm.ma_column, IF(_xlpm.program_isNT, Athena_MA!AC11, IF(_xlpm.program_isT, Athena_MA!AA11, "")),
  _xlpm.mi_column, IF(_xlpm.program_isNT, Athena_MI!AC11, IF(_xlpm.program_isT, Athena_MI!AA11,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Athena_BV!Y11:AI11,
    Athena_MA!Y11:AI11,
    Athena_MI!Y11:AI11
  )
)</f>
        <v>(FSE_Bitvector_Mode_Adding_Subtracting_Zero_5_NT_Loop0_TestCase4, YES, 2133)
(FSE_Bitvector_Mode_Adding_Subtracting_Zero_5_NT_Loop0_TestCase5, YES, 1955)
(FSE_Bitvector_Mode_Adding_Subtracting_Zero_5_NT_Loop0_TestCase7, TIMEOUT, 302020)
(FSE_Bitvector_Mode_Adding_Subtracting_Zero_5_NT_Loop0_TestCase6, NO, 2320)
(FSE_Bitvector_Mode_Adding_Subtracting_Zero_5_NT_Loop0_TestCase2, YES, 2154)
(FSE_Bitvector_Mode_Adding_Subtracting_Zero_5_NT_Loop0_TestCase3, YES, 1956)
(FSE_Bitvector_Mode_Adding_Subtracting_Zero_5_NT_Loop0_TestCase1, YES, 1979)
(FSE_Bitvector_Mode_Adding_Subtracting_Zero_5_NT_Loop0_TestCase10, TIMEOUT, 301885)
(FSE_Bitvector_Mode_Adding_Subtracting_Zero_5_NT_Loop0_TestCase8, TIMEOUT, 302017)
(FSE_Bitvector_Mode_Adding_Subtracting_Zero_5_NT_Loop0_TestCase9, TIMEOUT, 301842)</v>
      </c>
      <c r="Z11" s="142" t="str">
        <v>correct</v>
      </c>
      <c r="AA11" s="80">
        <v>1</v>
      </c>
      <c r="AB11" s="1" t="str">
        <v>5/5</v>
      </c>
      <c r="AC11" s="80">
        <v>0.2</v>
      </c>
      <c r="AD11" s="1" t="str">
        <v>1/5</v>
      </c>
      <c r="AE11" s="143">
        <v>0.6</v>
      </c>
      <c r="AF11" s="1" t="str">
        <v>6/10</v>
      </c>
      <c r="AG11" s="142">
        <v>12497</v>
      </c>
      <c r="AH11" s="150">
        <v>2082.83</v>
      </c>
      <c r="AI11" s="142">
        <v>2056</v>
      </c>
      <c r="AJ11" s="14" t="str" cm="1">
        <f t="array" ref="AJ11:AT11">_xlfn.LET(
  _xlpm.program_isNT, RIGHT(Athena_BV!B11,5)="_NT.c",
  _xlpm.program_isT,  RIGHT(Athena_BV!B11,4)="_T.c",
  _xlpm.bv_isCorrect, LOWER(Athena_BV!AK11)="correct",
  _xlpm.ma_isCorrect, LOWER(Athena_MA!AK11)="correct",
  _xlpm.mi_isCorrect, LOWER(Athena_MI!AK11)="correct",
  _xlpm.bv_column, IF(_xlpm.program_isNT, Athena_BV!AN11, IF(_xlpm.program_isT, Athena_BV!AL11, "")),
  _xlpm.ma_column, IF(_xlpm.program_isNT, Athena_MA!AN11, IF(_xlpm.program_isT, Athena_MA!AL11, "")),
  _xlpm.mi_column, IF(_xlpm.program_isNT, Athena_MI!AN11, IF(_xlpm.program_isT, Athena_MI!AL11,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Athena_BV!AJ11:AT11,
    Athena_MA!AJ11:AT11,
    Athena_MI!AJ11:AT11
  )
)</f>
        <v>(FSE_Bitvector_Mode_Adding_Subtracting_Zero_5_NT_Loop38_TestCase1, MAYBE, 1494)
(FSE_Bitvector_Mode_Adding_Subtracting_Zero_5_NT_Loop38_TestCase2, MAYBE, 1502)
(FSE_Bitvector_Mode_Adding_Subtracting_Zero_5_NT_Loop38_TestCase10, MAYBE, 1716)
(FSE_Bitvector_Mode_Adding_Subtracting_Zero_5_NT_Loop38_TestCase3, MAYBE, 1517)
(FSE_Bitvector_Mode_Adding_Subtracting_Zero_5_NT_Loop38_TestCase7, MAYBE, 1540)
(FSE_Bitvector_Mode_Adding_Subtracting_Zero_5_NT_Loop38_TestCase6, MAYBE, 1525)
(FSE_Bitvector_Mode_Adding_Subtracting_Zero_5_NT_Loop38_TestCase4, MAYBE, 1496)
(FSE_Bitvector_Mode_Adding_Subtracting_Zero_5_NT_Loop38_TestCase5, MAYBE, 1519)
(FSE_Bitvector_Mode_Adding_Subtracting_Zero_5_NT_Loop21_TestCase4, MAYBE, 1353)
(FSE_Bitvector_Mode_Adding_Subtracting_Zero_5_NT_Loop21_TestCase10, MAYBE, 1417)
(FSE_Bitvector_Mode_Adding_Subtracting_Zero_5_NT_Loop21_TestCase5, MAYBE, 1337)
(FSE_Bitvector_Mode_Adding_Subtracting_Zero_5_NT_Loop21_TestCase7, MAYBE, 1333)
(FSE_Bitvector_Mode_Adding_Subtracting_Zero_5_NT_Loop21_TestCase6, MAYBE, 1343)
(FSE_Bitvector_Mode_Adding_Subtracting_Zero_5_NT_Loop21_TestCase2, MAYBE, 1323)
(FSE_Bitvector_Mode_Adding_Subtracting_Zero_5_NT_Loop21_TestCase3, MAYBE, 1348)
(FSE_Bitvector_Mode_Adding_Subtracting_Zero_5_NT_Loop21_TestCase1, MAYBE, 1337)
(FSE_Bitvector_Mode_Adding_Subtracting_Zero_5_NT_Loop21_TestCase8, MAYBE, 1318)
(FSE_Bitvector_Mode_Adding_Subtracting_Zero_5_NT_Loop21_TestCase9, MAYBE, 1333)
(FSE_Bitvector_Mode_Adding_Subtracting_Zero_5_NT_Loop38_TestCase8, MAYBE, 1512)
(FSE_Bitvector_Mode_Adding_Subtracting_Zero_5_NT_Loop38_TestCase9, MAYBE, 1574)</v>
      </c>
      <c r="AK11" s="142" t="str">
        <v>correct</v>
      </c>
      <c r="AL11" s="80">
        <v>0</v>
      </c>
      <c r="AM11" s="1" t="str">
        <v>0/15</v>
      </c>
      <c r="AN11" s="80">
        <v>0</v>
      </c>
      <c r="AO11" s="1" t="str">
        <v>0/5</v>
      </c>
      <c r="AP11" s="143">
        <v>0</v>
      </c>
      <c r="AQ11" s="1" t="str">
        <v>0/20</v>
      </c>
      <c r="AR11" s="142">
        <v>0</v>
      </c>
      <c r="AS11" s="150">
        <v>0</v>
      </c>
      <c r="AT11" s="142">
        <v>0</v>
      </c>
      <c r="AU11" s="4" t="s">
        <v>98</v>
      </c>
    </row>
    <row r="12" spans="1:47" x14ac:dyDescent="0.2">
      <c r="A12" s="174"/>
      <c r="B12" s="9" t="s">
        <v>9</v>
      </c>
      <c r="C12" s="14" t="str" cm="1">
        <f t="array" ref="C12:M12">_xlfn.LET(
  _xlpm.program_isNT, RIGHT(Athena_BV!B12,5)="_NT.c",
  _xlpm.program_isT,  RIGHT(Athena_BV!B12,4)="_T.c",
  _xlpm.bv_isCorrect, LOWER(Athena_BV!D12)="correct",
  _xlpm.ma_isCorrect, LOWER(Athena_MA!D12)="correct",
  _xlpm.mi_isCorrect, LOWER(Athena_MI!D12)="correct",
  _xlpm.bv_column, IF(_xlpm.program_isNT, Athena_BV!G12, IF(_xlpm.program_isT, Athena_BV!E12, "")),
  _xlpm.ma_column, IF(_xlpm.program_isNT, Athena_MA!G12, IF(_xlpm.program_isT, Athena_MA!E12, "")),
  _xlpm.mi_column, IF(_xlpm.program_isNT, Athena_MI!G12, IF(_xlpm.program_isT, Athena_MI!E12,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Athena_BV!C12:M12,
    Athena_MA!C12:M12,
    Athena_MI!C12:M12
  )
)</f>
        <v>(FSE_Bitvector_Mode_Adding_Subtracting_Zero_5_T_Loop0_TestCase0, TIMEOUT, 302031)</v>
      </c>
      <c r="D12" s="142" t="str">
        <v>correct</v>
      </c>
      <c r="E12" s="80">
        <v>0</v>
      </c>
      <c r="F12" s="1" t="str">
        <v>0/1</v>
      </c>
      <c r="G12" s="80" t="str">
        <v/>
      </c>
      <c r="H12" s="1" t="str">
        <v/>
      </c>
      <c r="I12" s="143">
        <v>0</v>
      </c>
      <c r="J12" s="1" t="str">
        <v>0/1</v>
      </c>
      <c r="K12" s="142">
        <v>0</v>
      </c>
      <c r="L12" s="1">
        <v>0</v>
      </c>
      <c r="M12" s="140">
        <v>0</v>
      </c>
      <c r="N12" s="14" t="str" cm="1">
        <f t="array" ref="N12:X12">_xlfn.LET(
  _xlpm.program_isNT, RIGHT(Athena_BV!B12,5)="_NT.c",
  _xlpm.program_isT,  RIGHT(Athena_BV!B12,4)="_T.c",
  _xlpm.bv_isCorrect, LOWER(Athena_BV!O12)="correct",
  _xlpm.ma_isCorrect, LOWER(Athena_MA!O12)="correct",
  _xlpm.mi_isCorrect, LOWER(Athena_MI!O12)="correct",
  _xlpm.bv_column, IF(_xlpm.program_isNT, Athena_BV!R12, IF(_xlpm.program_isT, Athena_BV!P12, "")),
  _xlpm.ma_column, IF(_xlpm.program_isNT, Athena_MA!R12, IF(_xlpm.program_isT, Athena_MA!P12, "")),
  _xlpm.mi_column, IF(_xlpm.program_isNT, Athena_MI!R12, IF(_xlpm.program_isT, Athena_MI!P12,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Athena_BV!N12:X12,
    Athena_MA!N12:X12,
    Athena_MI!N12:X12
  )
)</f>
        <v>(FSE_Bitvector_Mode_Adding_Subtracting_Zero_5_T_Loop21_TestCase0, MAYBE, 1400)
(FSE_Bitvector_Mode_Adding_Subtracting_Zero_5_T_Loop38_TestCase0, MAYBE, 1573)</v>
      </c>
      <c r="O12" s="142" t="str">
        <v>correct</v>
      </c>
      <c r="P12" s="80">
        <v>0</v>
      </c>
      <c r="Q12" s="1" t="str">
        <v>0/2</v>
      </c>
      <c r="R12" s="80" t="str">
        <v/>
      </c>
      <c r="S12" s="149" t="str">
        <v/>
      </c>
      <c r="T12" s="80">
        <v>0</v>
      </c>
      <c r="U12" s="1" t="str">
        <v>0/2</v>
      </c>
      <c r="V12" s="142">
        <v>0</v>
      </c>
      <c r="W12" s="150">
        <v>0</v>
      </c>
      <c r="X12" s="142">
        <v>0</v>
      </c>
      <c r="Y12" s="14" t="str" cm="1">
        <f t="array" ref="Y12:AI12">_xlfn.LET(
  _xlpm.program_isNT, RIGHT(Athena_BV!B12,5)="_NT.c",
  _xlpm.program_isT,  RIGHT(Athena_BV!B12,4)="_T.c",
  _xlpm.bv_isCorrect, LOWER(Athena_BV!Z12)="correct",
  _xlpm.ma_isCorrect, LOWER(Athena_MA!Z12)="correct",
  _xlpm.mi_isCorrect, LOWER(Athena_MI!Z12)="correct",
  _xlpm.bv_column, IF(_xlpm.program_isNT, Athena_BV!AC12, IF(_xlpm.program_isT, Athena_BV!AA12, "")),
  _xlpm.ma_column, IF(_xlpm.program_isNT, Athena_MA!AC12, IF(_xlpm.program_isT, Athena_MA!AA12, "")),
  _xlpm.mi_column, IF(_xlpm.program_isNT, Athena_MI!AC12, IF(_xlpm.program_isT, Athena_MI!AA12,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Athena_BV!Y12:AI12,
    Athena_MA!Y12:AI12,
    Athena_MI!Y12:AI12
  )
)</f>
        <v>(FSE_Bitvector_Mode_Adding_Subtracting_Zero_5_T_Loop0_TestCase4, YES, 1982)
(FSE_Bitvector_Mode_Adding_Subtracting_Zero_5_T_Loop0_TestCase5, YES, 2169)
(FSE_Bitvector_Mode_Adding_Subtracting_Zero_5_T_Loop0_TestCase7, TIMEOUT, 302143)
(FSE_Bitvector_Mode_Adding_Subtracting_Zero_5_T_Loop0_TestCase6, YES, 2063)
(FSE_Bitvector_Mode_Adding_Subtracting_Zero_5_T_Loop0_TestCase2, YES, 2009)
(FSE_Bitvector_Mode_Adding_Subtracting_Zero_5_T_Loop0_TestCase3, YES, 2108)
(FSE_Bitvector_Mode_Adding_Subtracting_Zero_5_T_Loop0_TestCase1, YES, 1964)
(FSE_Bitvector_Mode_Adding_Subtracting_Zero_5_T_Loop0_TestCase10, TIMEOUT, 301874)
(FSE_Bitvector_Mode_Adding_Subtracting_Zero_5_T_Loop0_TestCase8, TIMEOUT, 301862)
(FSE_Bitvector_Mode_Adding_Subtracting_Zero_5_T_Loop0_TestCase9, TIMEOUT, 302078)</v>
      </c>
      <c r="Z12" s="142" t="str">
        <v>correct</v>
      </c>
      <c r="AA12" s="80">
        <v>0.6</v>
      </c>
      <c r="AB12" s="1" t="str">
        <v>6/10</v>
      </c>
      <c r="AC12" s="80" t="str">
        <v/>
      </c>
      <c r="AD12" s="1" t="str">
        <v/>
      </c>
      <c r="AE12" s="143">
        <v>0.6</v>
      </c>
      <c r="AF12" s="1" t="str">
        <v>6/10</v>
      </c>
      <c r="AG12" s="142">
        <v>12295</v>
      </c>
      <c r="AH12" s="150">
        <v>2049.17</v>
      </c>
      <c r="AI12" s="142">
        <v>2036</v>
      </c>
      <c r="AJ12" s="14" t="str" cm="1">
        <f t="array" ref="AJ12:AT12">_xlfn.LET(
  _xlpm.program_isNT, RIGHT(Athena_BV!B12,5)="_NT.c",
  _xlpm.program_isT,  RIGHT(Athena_BV!B12,4)="_T.c",
  _xlpm.bv_isCorrect, LOWER(Athena_BV!AK12)="correct",
  _xlpm.ma_isCorrect, LOWER(Athena_MA!AK12)="correct",
  _xlpm.mi_isCorrect, LOWER(Athena_MI!AK12)="correct",
  _xlpm.bv_column, IF(_xlpm.program_isNT, Athena_BV!AN12, IF(_xlpm.program_isT, Athena_BV!AL12, "")),
  _xlpm.ma_column, IF(_xlpm.program_isNT, Athena_MA!AN12, IF(_xlpm.program_isT, Athena_MA!AL12, "")),
  _xlpm.mi_column, IF(_xlpm.program_isNT, Athena_MI!AN12, IF(_xlpm.program_isT, Athena_MI!AL12,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Athena_BV!AJ12:AT12,
    Athena_MA!AJ12:AT12,
    Athena_MI!AJ12:AT12
  )
)</f>
        <v>(FSE_Bitvector_Mode_Adding_Subtracting_Zero_5_T_Loop38_TestCase9, MAYBE, 1512)
(FSE_Bitvector_Mode_Adding_Subtracting_Zero_5_T_Loop38_TestCase8, MAYBE, 1501)
(FSE_Bitvector_Mode_Adding_Subtracting_Zero_5_T_Loop21_TestCase10, MAYBE, 1332)
(FSE_Bitvector_Mode_Adding_Subtracting_Zero_5_T_Loop21_TestCase9, MAYBE, 1415)
(FSE_Bitvector_Mode_Adding_Subtracting_Zero_5_T_Loop21_TestCase8, MAYBE, 1333)
(FSE_Bitvector_Mode_Adding_Subtracting_Zero_5_T_Loop38_TestCase10, MAYBE, 1479)
(FSE_Bitvector_Mode_Adding_Subtracting_Zero_5_T_Loop21_TestCase3, MAYBE, 1357)
(FSE_Bitvector_Mode_Adding_Subtracting_Zero_5_T_Loop21_TestCase2, MAYBE, 1331)
(FSE_Bitvector_Mode_Adding_Subtracting_Zero_5_T_Loop21_TestCase1, MAYBE, 1348)
(FSE_Bitvector_Mode_Adding_Subtracting_Zero_5_T_Loop21_TestCase5, MAYBE, 1334)
(FSE_Bitvector_Mode_Adding_Subtracting_Zero_5_T_Loop21_TestCase4, MAYBE, 1380)
(FSE_Bitvector_Mode_Adding_Subtracting_Zero_5_T_Loop21_TestCase6, MAYBE, 1332)
(FSE_Bitvector_Mode_Adding_Subtracting_Zero_5_T_Loop21_TestCase7, MAYBE, 1338)
(FSE_Bitvector_Mode_Adding_Subtracting_Zero_5_T_Loop38_TestCase6, MAYBE, 1465)
(FSE_Bitvector_Mode_Adding_Subtracting_Zero_5_T_Loop38_TestCase7, MAYBE, 1509)
(FSE_Bitvector_Mode_Adding_Subtracting_Zero_5_T_Loop38_TestCase5, MAYBE, 1495)
(FSE_Bitvector_Mode_Adding_Subtracting_Zero_5_T_Loop38_TestCase4, MAYBE, 1513)
(FSE_Bitvector_Mode_Adding_Subtracting_Zero_5_T_Loop38_TestCase1, MAYBE, 1501)
(FSE_Bitvector_Mode_Adding_Subtracting_Zero_5_T_Loop38_TestCase3, MAYBE, 1465)
(FSE_Bitvector_Mode_Adding_Subtracting_Zero_5_T_Loop38_TestCase2, MAYBE, 1580)</v>
      </c>
      <c r="AK12" s="142" t="str">
        <v>correct</v>
      </c>
      <c r="AL12" s="80">
        <v>0</v>
      </c>
      <c r="AM12" s="1" t="str">
        <v>0/20</v>
      </c>
      <c r="AN12" s="80" t="str">
        <v/>
      </c>
      <c r="AO12" s="1" t="str">
        <v/>
      </c>
      <c r="AP12" s="143">
        <v>0</v>
      </c>
      <c r="AQ12" s="1" t="str">
        <v>0/20</v>
      </c>
      <c r="AR12" s="142">
        <v>0</v>
      </c>
      <c r="AS12" s="150">
        <v>0</v>
      </c>
      <c r="AT12" s="142">
        <v>0</v>
      </c>
      <c r="AU12" s="4" t="s">
        <v>98</v>
      </c>
    </row>
    <row r="13" spans="1:47" x14ac:dyDescent="0.2">
      <c r="A13" s="174"/>
      <c r="B13" s="9" t="s">
        <v>12</v>
      </c>
      <c r="C13" s="14" t="str" cm="1">
        <f t="array" ref="C13:M13">_xlfn.LET(
  _xlpm.program_isNT, RIGHT(Athena_BV!B13,5)="_NT.c",
  _xlpm.program_isT,  RIGHT(Athena_BV!B13,4)="_T.c",
  _xlpm.bv_isCorrect, LOWER(Athena_BV!D13)="correct",
  _xlpm.ma_isCorrect, LOWER(Athena_MA!D13)="correct",
  _xlpm.mi_isCorrect, LOWER(Athena_MI!D13)="correct",
  _xlpm.bv_column, IF(_xlpm.program_isNT, Athena_BV!G13, IF(_xlpm.program_isT, Athena_BV!E13, "")),
  _xlpm.ma_column, IF(_xlpm.program_isNT, Athena_MA!G13, IF(_xlpm.program_isT, Athena_MA!E13, "")),
  _xlpm.mi_column, IF(_xlpm.program_isNT, Athena_MI!G13, IF(_xlpm.program_isT, Athena_MI!E13,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Athena_BV!C13:M13,
    Athena_MA!C13:M13,
    Athena_MI!C13:M13
  )
)</f>
        <v>(FSE_Bitvector_Mode_Incorrect_Bit_Calculation_1_NT_Loop0_TestCase0, NO, 2060)</v>
      </c>
      <c r="D13" s="142" t="str">
        <v>correct</v>
      </c>
      <c r="E13" s="80">
        <v>0</v>
      </c>
      <c r="F13" s="1" t="str">
        <v>0/0</v>
      </c>
      <c r="G13" s="80">
        <v>1</v>
      </c>
      <c r="H13" s="1" t="str">
        <v>1/1</v>
      </c>
      <c r="I13" s="143">
        <v>1</v>
      </c>
      <c r="J13" s="1" t="str">
        <v>1/1</v>
      </c>
      <c r="K13" s="142">
        <v>2060</v>
      </c>
      <c r="L13" s="1">
        <v>2060</v>
      </c>
      <c r="M13" s="140">
        <v>2060</v>
      </c>
      <c r="N13" s="14" t="str" cm="1">
        <f t="array" ref="N13:X13">_xlfn.LET(
  _xlpm.program_isNT, RIGHT(Athena_BV!B13,5)="_NT.c",
  _xlpm.program_isT,  RIGHT(Athena_BV!B13,4)="_T.c",
  _xlpm.bv_isCorrect, LOWER(Athena_BV!O13)="correct",
  _xlpm.ma_isCorrect, LOWER(Athena_MA!O13)="correct",
  _xlpm.mi_isCorrect, LOWER(Athena_MI!O13)="correct",
  _xlpm.bv_column, IF(_xlpm.program_isNT, Athena_BV!R13, IF(_xlpm.program_isT, Athena_BV!P13, "")),
  _xlpm.ma_column, IF(_xlpm.program_isNT, Athena_MA!R13, IF(_xlpm.program_isT, Athena_MA!P13, "")),
  _xlpm.mi_column, IF(_xlpm.program_isNT, Athena_MI!R13, IF(_xlpm.program_isT, Athena_MI!P13,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Athena_BV!N13:X13,
    Athena_MA!N13:X13,
    Athena_MI!N13:X13
  )
)</f>
        <v>(FSE_Bitvector_Mode_Incorrect_Bit_Calculation_1_NT_Loop15_TestCase0, NO, 1834)</v>
      </c>
      <c r="O13" s="142" t="str">
        <v>correct</v>
      </c>
      <c r="P13" s="80">
        <v>0</v>
      </c>
      <c r="Q13" s="1" t="str">
        <v>0/0</v>
      </c>
      <c r="R13" s="80">
        <v>1</v>
      </c>
      <c r="S13" s="149" t="str">
        <v>1/1</v>
      </c>
      <c r="T13" s="80">
        <v>1</v>
      </c>
      <c r="U13" s="1" t="str">
        <v>1/1</v>
      </c>
      <c r="V13" s="142">
        <v>1834</v>
      </c>
      <c r="W13" s="150">
        <v>1834</v>
      </c>
      <c r="X13" s="142">
        <v>1834</v>
      </c>
      <c r="Y13" s="14" t="str" cm="1">
        <f t="array" ref="Y13:AI13">_xlfn.LET(
  _xlpm.program_isNT, RIGHT(Athena_BV!B13,5)="_NT.c",
  _xlpm.program_isT,  RIGHT(Athena_BV!B13,4)="_T.c",
  _xlpm.bv_isCorrect, LOWER(Athena_BV!Z13)="correct",
  _xlpm.ma_isCorrect, LOWER(Athena_MA!Z13)="correct",
  _xlpm.mi_isCorrect, LOWER(Athena_MI!Z13)="correct",
  _xlpm.bv_column, IF(_xlpm.program_isNT, Athena_BV!AC13, IF(_xlpm.program_isT, Athena_BV!AA13, "")),
  _xlpm.ma_column, IF(_xlpm.program_isNT, Athena_MA!AC13, IF(_xlpm.program_isT, Athena_MA!AA13, "")),
  _xlpm.mi_column, IF(_xlpm.program_isNT, Athena_MI!AC13, IF(_xlpm.program_isT, Athena_MI!AA13,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Athena_BV!Y13:AI13,
    Athena_MA!Y13:AI13,
    Athena_MI!Y13:AI13
  )
)</f>
        <v>(FSE_Bitvector_Mode_Incorrect_Bit_Calculation_1_NT_Loop0_TestCase1, YES, 1692)
(FSE_Bitvector_Mode_Incorrect_Bit_Calculation_1_NT_Loop0_TestCase2, YES, 1703)
(FSE_Bitvector_Mode_Incorrect_Bit_Calculation_1_NT_Loop0_TestCase3, YES, 1714)
(FSE_Bitvector_Mode_Incorrect_Bit_Calculation_1_NT_Loop0_TestCase7, NO, 1711)
(FSE_Bitvector_Mode_Incorrect_Bit_Calculation_1_NT_Loop0_TestCase6, NO, 1718)
(FSE_Bitvector_Mode_Incorrect_Bit_Calculation_1_NT_Loop0_TestCase10, NO, 1706)
(FSE_Bitvector_Mode_Incorrect_Bit_Calculation_1_NT_Loop0_TestCase4, YES, 1705)
(FSE_Bitvector_Mode_Incorrect_Bit_Calculation_1_NT_Loop0_TestCase5, YES, 1929)
(FSE_Bitvector_Mode_Incorrect_Bit_Calculation_1_NT_Loop0_TestCase8, NO, 1699)
(FSE_Bitvector_Mode_Incorrect_Bit_Calculation_1_NT_Loop0_TestCase9, NO, 1763)</v>
      </c>
      <c r="Z13" s="142" t="str">
        <v>correct</v>
      </c>
      <c r="AA13" s="80">
        <v>1</v>
      </c>
      <c r="AB13" s="1" t="str">
        <v>5/5</v>
      </c>
      <c r="AC13" s="80">
        <v>1</v>
      </c>
      <c r="AD13" s="1" t="str">
        <v>5/5</v>
      </c>
      <c r="AE13" s="143">
        <v>1</v>
      </c>
      <c r="AF13" s="1" t="str">
        <v>10/10</v>
      </c>
      <c r="AG13" s="142">
        <v>17340</v>
      </c>
      <c r="AH13" s="150">
        <v>1734</v>
      </c>
      <c r="AI13" s="142">
        <v>1708.5</v>
      </c>
      <c r="AJ13" s="14" t="str" cm="1">
        <f t="array" ref="AJ13:AT13">_xlfn.LET(
  _xlpm.program_isNT, RIGHT(Athena_BV!B13,5)="_NT.c",
  _xlpm.program_isT,  RIGHT(Athena_BV!B13,4)="_T.c",
  _xlpm.bv_isCorrect, LOWER(Athena_BV!AK13)="correct",
  _xlpm.ma_isCorrect, LOWER(Athena_MA!AK13)="correct",
  _xlpm.mi_isCorrect, LOWER(Athena_MI!AK13)="correct",
  _xlpm.bv_column, IF(_xlpm.program_isNT, Athena_BV!AN13, IF(_xlpm.program_isT, Athena_BV!AL13, "")),
  _xlpm.ma_column, IF(_xlpm.program_isNT, Athena_MA!AN13, IF(_xlpm.program_isT, Athena_MA!AL13, "")),
  _xlpm.mi_column, IF(_xlpm.program_isNT, Athena_MI!AN13, IF(_xlpm.program_isT, Athena_MI!AL13,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Athena_BV!AJ13:AT13,
    Athena_MA!AJ13:AT13,
    Athena_MI!AJ13:AT13
  )
)</f>
        <v>(FSE_Bitvector_Mode_Incorrect_Bit_Calculation_1_NT_Loop15_TestCase7, NO, 1875)
(FSE_Bitvector_Mode_Incorrect_Bit_Calculation_1_NT_Loop15_TestCase6, NO, 1971)
(FSE_Bitvector_Mode_Incorrect_Bit_Calculation_1_NT_Loop15_TestCase4, YES, 1723)
(FSE_Bitvector_Mode_Incorrect_Bit_Calculation_1_NT_Loop15_TestCase5, YES, 2048)
(FSE_Bitvector_Mode_Incorrect_Bit_Calculation_1_NT_Loop15_TestCase1, YES, 1719)
(FSE_Bitvector_Mode_Incorrect_Bit_Calculation_1_NT_Loop15_TestCase2, YES, 1728)
(FSE_Bitvector_Mode_Incorrect_Bit_Calculation_1_NT_Loop15_TestCase3, YES, 1715)
(FSE_Bitvector_Mode_Incorrect_Bit_Calculation_1_NT_Loop15_TestCase10, NO, 1745)
(FSE_Bitvector_Mode_Incorrect_Bit_Calculation_1_NT_Loop15_TestCase8, NO, 1734)
(FSE_Bitvector_Mode_Incorrect_Bit_Calculation_1_NT_Loop15_TestCase9, NO, 1721)</v>
      </c>
      <c r="AK13" s="142" t="str">
        <v>correct</v>
      </c>
      <c r="AL13" s="80">
        <v>1</v>
      </c>
      <c r="AM13" s="1" t="str">
        <v>5/5</v>
      </c>
      <c r="AN13" s="80">
        <v>1</v>
      </c>
      <c r="AO13" s="1" t="str">
        <v>5/5</v>
      </c>
      <c r="AP13" s="143">
        <v>1</v>
      </c>
      <c r="AQ13" s="1" t="str">
        <v>10/10</v>
      </c>
      <c r="AR13" s="142">
        <v>17979</v>
      </c>
      <c r="AS13" s="150">
        <v>1797.9</v>
      </c>
      <c r="AT13" s="142">
        <v>1731</v>
      </c>
      <c r="AU13" s="4" t="s">
        <v>97</v>
      </c>
    </row>
    <row r="14" spans="1:47" x14ac:dyDescent="0.2">
      <c r="A14" s="174"/>
      <c r="B14" s="9" t="s">
        <v>13</v>
      </c>
      <c r="C14" s="14" t="str" cm="1">
        <f t="array" ref="C14:M14">_xlfn.LET(
  _xlpm.program_isNT, RIGHT(Athena_BV!B14,5)="_NT.c",
  _xlpm.program_isT,  RIGHT(Athena_BV!B14,4)="_T.c",
  _xlpm.bv_isCorrect, LOWER(Athena_BV!D14)="correct",
  _xlpm.ma_isCorrect, LOWER(Athena_MA!D14)="correct",
  _xlpm.mi_isCorrect, LOWER(Athena_MI!D14)="correct",
  _xlpm.bv_column, IF(_xlpm.program_isNT, Athena_BV!G14, IF(_xlpm.program_isT, Athena_BV!E14, "")),
  _xlpm.ma_column, IF(_xlpm.program_isNT, Athena_MA!G14, IF(_xlpm.program_isT, Athena_MA!E14, "")),
  _xlpm.mi_column, IF(_xlpm.program_isNT, Athena_MI!G14, IF(_xlpm.program_isT, Athena_MI!E14,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Athena_BV!C14:M14,
    Athena_MA!C14:M14,
    Athena_MI!C14:M14
  )
)</f>
        <v>(FSE_Bitvector_Mode_Incorrect_Bit_Calculation_1_T_Loop0_TestCase0, YES, 1792)</v>
      </c>
      <c r="D14" s="142" t="str">
        <v>correct</v>
      </c>
      <c r="E14" s="80">
        <v>1</v>
      </c>
      <c r="F14" s="1" t="str">
        <v>1/1</v>
      </c>
      <c r="G14" s="80" t="str">
        <v/>
      </c>
      <c r="H14" s="1" t="str">
        <v/>
      </c>
      <c r="I14" s="143">
        <v>1</v>
      </c>
      <c r="J14" s="1" t="str">
        <v>1/1</v>
      </c>
      <c r="K14" s="142">
        <v>1792</v>
      </c>
      <c r="L14" s="1">
        <v>1792</v>
      </c>
      <c r="M14" s="140">
        <v>1792</v>
      </c>
      <c r="N14" s="14" t="str" cm="1">
        <f t="array" ref="N14:X14">_xlfn.LET(
  _xlpm.program_isNT, RIGHT(Athena_BV!B14,5)="_NT.c",
  _xlpm.program_isT,  RIGHT(Athena_BV!B14,4)="_T.c",
  _xlpm.bv_isCorrect, LOWER(Athena_BV!O14)="correct",
  _xlpm.ma_isCorrect, LOWER(Athena_MA!O14)="correct",
  _xlpm.mi_isCorrect, LOWER(Athena_MI!O14)="correct",
  _xlpm.bv_column, IF(_xlpm.program_isNT, Athena_BV!R14, IF(_xlpm.program_isT, Athena_BV!P14, "")),
  _xlpm.ma_column, IF(_xlpm.program_isNT, Athena_MA!R14, IF(_xlpm.program_isT, Athena_MA!P14, "")),
  _xlpm.mi_column, IF(_xlpm.program_isNT, Athena_MI!R14, IF(_xlpm.program_isT, Athena_MI!P14,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Athena_BV!N14:X14,
    Athena_MA!N14:X14,
    Athena_MI!N14:X14
  )
)</f>
        <v>(FSE_Bitvector_Mode_Incorrect_Bit_Calculation_1_T_Loop14_TestCase0, YES, 1764)</v>
      </c>
      <c r="O14" s="142" t="str">
        <v>correct</v>
      </c>
      <c r="P14" s="80">
        <v>1</v>
      </c>
      <c r="Q14" s="1" t="str">
        <v>1/1</v>
      </c>
      <c r="R14" s="80" t="str">
        <v/>
      </c>
      <c r="S14" s="149" t="str">
        <v/>
      </c>
      <c r="T14" s="80">
        <v>1</v>
      </c>
      <c r="U14" s="1" t="str">
        <v>1/1</v>
      </c>
      <c r="V14" s="142">
        <v>1764</v>
      </c>
      <c r="W14" s="150">
        <v>1764</v>
      </c>
      <c r="X14" s="142">
        <v>1764</v>
      </c>
      <c r="Y14" s="14" t="str" cm="1">
        <f t="array" ref="Y14:AI14">_xlfn.LET(
  _xlpm.program_isNT, RIGHT(Athena_BV!B14,5)="_NT.c",
  _xlpm.program_isT,  RIGHT(Athena_BV!B14,4)="_T.c",
  _xlpm.bv_isCorrect, LOWER(Athena_BV!Z14)="correct",
  _xlpm.ma_isCorrect, LOWER(Athena_MA!Z14)="correct",
  _xlpm.mi_isCorrect, LOWER(Athena_MI!Z14)="correct",
  _xlpm.bv_column, IF(_xlpm.program_isNT, Athena_BV!AC14, IF(_xlpm.program_isT, Athena_BV!AA14, "")),
  _xlpm.ma_column, IF(_xlpm.program_isNT, Athena_MA!AC14, IF(_xlpm.program_isT, Athena_MA!AA14, "")),
  _xlpm.mi_column, IF(_xlpm.program_isNT, Athena_MI!AC14, IF(_xlpm.program_isT, Athena_MI!AA14,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Athena_BV!Y14:AI14,
    Athena_MA!Y14:AI14,
    Athena_MI!Y14:AI14
  )
)</f>
        <v>(FSE_Bitvector_Mode_Incorrect_Bit_Calculation_1_T_Loop0_TestCase6, YES, 1700)
(FSE_Bitvector_Mode_Incorrect_Bit_Calculation_1_T_Loop0_TestCase7, YES, 1691)
(FSE_Bitvector_Mode_Incorrect_Bit_Calculation_1_T_Loop0_TestCase5, YES, 1726)
(FSE_Bitvector_Mode_Incorrect_Bit_Calculation_1_T_Loop0_TestCase4, YES, 1707)
(FSE_Bitvector_Mode_Incorrect_Bit_Calculation_1_T_Loop0_TestCase1, YES, 1688)
(FSE_Bitvector_Mode_Incorrect_Bit_Calculation_1_T_Loop0_TestCase3, YES, 1699)
(FSE_Bitvector_Mode_Incorrect_Bit_Calculation_1_T_Loop0_TestCase2, YES, 1688)
(FSE_Bitvector_Mode_Incorrect_Bit_Calculation_1_T_Loop0_TestCase9, YES, 1718)
(FSE_Bitvector_Mode_Incorrect_Bit_Calculation_1_T_Loop0_TestCase8, YES, 1719)
(FSE_Bitvector_Mode_Incorrect_Bit_Calculation_1_T_Loop0_TestCase10, YES, 1664)</v>
      </c>
      <c r="Z14" s="142" t="str">
        <v>correct</v>
      </c>
      <c r="AA14" s="80">
        <v>1</v>
      </c>
      <c r="AB14" s="1" t="str">
        <v>10/10</v>
      </c>
      <c r="AC14" s="80" t="str">
        <v/>
      </c>
      <c r="AD14" s="1" t="str">
        <v/>
      </c>
      <c r="AE14" s="143">
        <v>1</v>
      </c>
      <c r="AF14" s="1" t="str">
        <v>10/10</v>
      </c>
      <c r="AG14" s="142">
        <v>17000</v>
      </c>
      <c r="AH14" s="150">
        <v>1700</v>
      </c>
      <c r="AI14" s="142">
        <v>1699.5</v>
      </c>
      <c r="AJ14" s="14" t="str" cm="1">
        <f t="array" ref="AJ14:AT14">_xlfn.LET(
  _xlpm.program_isNT, RIGHT(Athena_BV!B14,5)="_NT.c",
  _xlpm.program_isT,  RIGHT(Athena_BV!B14,4)="_T.c",
  _xlpm.bv_isCorrect, LOWER(Athena_BV!AK14)="correct",
  _xlpm.ma_isCorrect, LOWER(Athena_MA!AK14)="correct",
  _xlpm.mi_isCorrect, LOWER(Athena_MI!AK14)="correct",
  _xlpm.bv_column, IF(_xlpm.program_isNT, Athena_BV!AN14, IF(_xlpm.program_isT, Athena_BV!AL14, "")),
  _xlpm.ma_column, IF(_xlpm.program_isNT, Athena_MA!AN14, IF(_xlpm.program_isT, Athena_MA!AL14, "")),
  _xlpm.mi_column, IF(_xlpm.program_isNT, Athena_MI!AN14, IF(_xlpm.program_isT, Athena_MI!AL14,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Athena_BV!AJ14:AT14,
    Athena_MA!AJ14:AT14,
    Athena_MI!AJ14:AT14
  )
)</f>
        <v>(FSE_Bitvector_Mode_Incorrect_Bit_Calculation_1_T_Loop14_TestCase1, YES, 1840)
(FSE_Bitvector_Mode_Incorrect_Bit_Calculation_1_T_Loop14_TestCase2, YES, 1747)
(FSE_Bitvector_Mode_Incorrect_Bit_Calculation_1_T_Loop14_TestCase3, YES, 1721)
(FSE_Bitvector_Mode_Incorrect_Bit_Calculation_1_T_Loop14_TestCase7, YES, 1722)
(FSE_Bitvector_Mode_Incorrect_Bit_Calculation_1_T_Loop14_TestCase6, YES, 1727)
(FSE_Bitvector_Mode_Incorrect_Bit_Calculation_1_T_Loop14_TestCase4, YES, 1967)
(FSE_Bitvector_Mode_Incorrect_Bit_Calculation_1_T_Loop14_TestCase5, YES, 1741)
(FSE_Bitvector_Mode_Incorrect_Bit_Calculation_1_T_Loop14_TestCase8, YES, 1715)
(FSE_Bitvector_Mode_Incorrect_Bit_Calculation_1_T_Loop14_TestCase9, YES, 1714)
(FSE_Bitvector_Mode_Incorrect_Bit_Calculation_1_T_Loop14_TestCase10, YES, 1718)</v>
      </c>
      <c r="AK14" s="142" t="str">
        <v>correct</v>
      </c>
      <c r="AL14" s="80">
        <v>1</v>
      </c>
      <c r="AM14" s="1" t="str">
        <v>10/10</v>
      </c>
      <c r="AN14" s="80" t="str">
        <v/>
      </c>
      <c r="AO14" s="1" t="str">
        <v/>
      </c>
      <c r="AP14" s="143">
        <v>1</v>
      </c>
      <c r="AQ14" s="1" t="str">
        <v>10/10</v>
      </c>
      <c r="AR14" s="142">
        <v>17612</v>
      </c>
      <c r="AS14" s="150">
        <v>1761.2</v>
      </c>
      <c r="AT14" s="142">
        <v>1724.5</v>
      </c>
      <c r="AU14" s="4" t="s">
        <v>97</v>
      </c>
    </row>
    <row r="15" spans="1:47" x14ac:dyDescent="0.2">
      <c r="A15" s="174"/>
      <c r="B15" s="9" t="s">
        <v>14</v>
      </c>
      <c r="C15" s="14" t="str" cm="1">
        <f t="array" ref="C15:M15">_xlfn.LET(
  _xlpm.program_isNT, RIGHT(Athena_BV!B15,5)="_NT.c",
  _xlpm.program_isT,  RIGHT(Athena_BV!B15,4)="_T.c",
  _xlpm.bv_isCorrect, LOWER(Athena_BV!D15)="correct",
  _xlpm.ma_isCorrect, LOWER(Athena_MA!D15)="correct",
  _xlpm.mi_isCorrect, LOWER(Athena_MI!D15)="correct",
  _xlpm.bv_column, IF(_xlpm.program_isNT, Athena_BV!G15, IF(_xlpm.program_isT, Athena_BV!E15, "")),
  _xlpm.ma_column, IF(_xlpm.program_isNT, Athena_MA!G15, IF(_xlpm.program_isT, Athena_MA!E15, "")),
  _xlpm.mi_column, IF(_xlpm.program_isNT, Athena_MI!G15, IF(_xlpm.program_isT, Athena_MI!E15,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Athena_BV!C15:M15,
    Athena_MA!C15:M15,
    Athena_MI!C15:M15
  )
)</f>
        <v>(FSE_Bitvector_Mode_Incorrect_Bit_Calculation_2_NT_Loop0_TestCase0, NO, 1805)</v>
      </c>
      <c r="D15" s="142" t="str">
        <v>correct</v>
      </c>
      <c r="E15" s="80">
        <v>0</v>
      </c>
      <c r="F15" s="1" t="str">
        <v>0/0</v>
      </c>
      <c r="G15" s="80">
        <v>1</v>
      </c>
      <c r="H15" s="1" t="str">
        <v>1/1</v>
      </c>
      <c r="I15" s="143">
        <v>1</v>
      </c>
      <c r="J15" s="1" t="str">
        <v>1/1</v>
      </c>
      <c r="K15" s="142">
        <v>1805</v>
      </c>
      <c r="L15" s="1">
        <v>1805</v>
      </c>
      <c r="M15" s="140">
        <v>1805</v>
      </c>
      <c r="N15" s="14" t="str" cm="1">
        <f t="array" ref="N15:X15">_xlfn.LET(
  _xlpm.program_isNT, RIGHT(Athena_BV!B15,5)="_NT.c",
  _xlpm.program_isT,  RIGHT(Athena_BV!B15,4)="_T.c",
  _xlpm.bv_isCorrect, LOWER(Athena_BV!O15)="correct",
  _xlpm.ma_isCorrect, LOWER(Athena_MA!O15)="correct",
  _xlpm.mi_isCorrect, LOWER(Athena_MI!O15)="correct",
  _xlpm.bv_column, IF(_xlpm.program_isNT, Athena_BV!R15, IF(_xlpm.program_isT, Athena_BV!P15, "")),
  _xlpm.ma_column, IF(_xlpm.program_isNT, Athena_MA!R15, IF(_xlpm.program_isT, Athena_MA!P15, "")),
  _xlpm.mi_column, IF(_xlpm.program_isNT, Athena_MI!R15, IF(_xlpm.program_isT, Athena_MI!P15,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Athena_BV!N15:X15,
    Athena_MA!N15:X15,
    Athena_MI!N15:X15
  )
)</f>
        <v>(FSE_Bitvector_Mode_Incorrect_Bit_Calculation_2_NT_Loop20_TestCase0, NO, 1789)</v>
      </c>
      <c r="O15" s="142" t="str">
        <v>correct</v>
      </c>
      <c r="P15" s="80">
        <v>0</v>
      </c>
      <c r="Q15" s="1" t="str">
        <v>0/0</v>
      </c>
      <c r="R15" s="80">
        <v>1</v>
      </c>
      <c r="S15" s="149" t="str">
        <v>1/1</v>
      </c>
      <c r="T15" s="80">
        <v>1</v>
      </c>
      <c r="U15" s="1" t="str">
        <v>1/1</v>
      </c>
      <c r="V15" s="142">
        <v>1789</v>
      </c>
      <c r="W15" s="150">
        <v>1789</v>
      </c>
      <c r="X15" s="142">
        <v>1789</v>
      </c>
      <c r="Y15" s="14" t="str" cm="1">
        <f t="array" ref="Y15:AI15">_xlfn.LET(
  _xlpm.program_isNT, RIGHT(Athena_BV!B15,5)="_NT.c",
  _xlpm.program_isT,  RIGHT(Athena_BV!B15,4)="_T.c",
  _xlpm.bv_isCorrect, LOWER(Athena_BV!Z15)="correct",
  _xlpm.ma_isCorrect, LOWER(Athena_MA!Z15)="correct",
  _xlpm.mi_isCorrect, LOWER(Athena_MI!Z15)="correct",
  _xlpm.bv_column, IF(_xlpm.program_isNT, Athena_BV!AC15, IF(_xlpm.program_isT, Athena_BV!AA15, "")),
  _xlpm.ma_column, IF(_xlpm.program_isNT, Athena_MA!AC15, IF(_xlpm.program_isT, Athena_MA!AA15, "")),
  _xlpm.mi_column, IF(_xlpm.program_isNT, Athena_MI!AC15, IF(_xlpm.program_isT, Athena_MI!AA15,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Athena_BV!Y15:AI15,
    Athena_MA!Y15:AI15,
    Athena_MI!Y15:AI15
  )
)</f>
        <v>(FSE_Bitvector_Mode_Incorrect_Bit_Calculation_2_NT_Loop0_TestCase10, NO, 1742)
(FSE_Bitvector_Mode_Incorrect_Bit_Calculation_2_NT_Loop0_TestCase4, YES, 6442)
(FSE_Bitvector_Mode_Incorrect_Bit_Calculation_2_NT_Loop0_TestCase5, YES, 1732)
(FSE_Bitvector_Mode_Incorrect_Bit_Calculation_2_NT_Loop0_TestCase7, NO, 1724)
(FSE_Bitvector_Mode_Incorrect_Bit_Calculation_2_NT_Loop0_TestCase6, NO, 1707)
(FSE_Bitvector_Mode_Incorrect_Bit_Calculation_2_NT_Loop0_TestCase2, YES, 1740)
(FSE_Bitvector_Mode_Incorrect_Bit_Calculation_2_NT_Loop0_TestCase3, YES, 2966)
(FSE_Bitvector_Mode_Incorrect_Bit_Calculation_2_NT_Loop0_TestCase1, YES, 1722)
(FSE_Bitvector_Mode_Incorrect_Bit_Calculation_2_NT_Loop0_TestCase8, NO, 1734)
(FSE_Bitvector_Mode_Incorrect_Bit_Calculation_2_NT_Loop0_TestCase9, NO, 1733)</v>
      </c>
      <c r="Z15" s="142" t="str">
        <v>correct</v>
      </c>
      <c r="AA15" s="80">
        <v>1</v>
      </c>
      <c r="AB15" s="1" t="str">
        <v>5/5</v>
      </c>
      <c r="AC15" s="80">
        <v>1</v>
      </c>
      <c r="AD15" s="1" t="str">
        <v>5/5</v>
      </c>
      <c r="AE15" s="143">
        <v>1</v>
      </c>
      <c r="AF15" s="1" t="str">
        <v>10/10</v>
      </c>
      <c r="AG15" s="142">
        <v>23242</v>
      </c>
      <c r="AH15" s="150">
        <v>2324.1999999999998</v>
      </c>
      <c r="AI15" s="142">
        <v>1733.5</v>
      </c>
      <c r="AJ15" s="14" t="str" cm="1">
        <f t="array" ref="AJ15:AT15">_xlfn.LET(
  _xlpm.program_isNT, RIGHT(Athena_BV!B15,5)="_NT.c",
  _xlpm.program_isT,  RIGHT(Athena_BV!B15,4)="_T.c",
  _xlpm.bv_isCorrect, LOWER(Athena_BV!AK15)="correct",
  _xlpm.ma_isCorrect, LOWER(Athena_MA!AK15)="correct",
  _xlpm.mi_isCorrect, LOWER(Athena_MI!AK15)="correct",
  _xlpm.bv_column, IF(_xlpm.program_isNT, Athena_BV!AN15, IF(_xlpm.program_isT, Athena_BV!AL15, "")),
  _xlpm.ma_column, IF(_xlpm.program_isNT, Athena_MA!AN15, IF(_xlpm.program_isT, Athena_MA!AL15, "")),
  _xlpm.mi_column, IF(_xlpm.program_isNT, Athena_MI!AN15, IF(_xlpm.program_isT, Athena_MI!AL15,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Athena_BV!AJ15:AT15,
    Athena_MA!AJ15:AT15,
    Athena_MI!AJ15:AT15
  )
)</f>
        <v>(FSE_Bitvector_Mode_Incorrect_Bit_Calculation_2_NT_Loop20_TestCase9, NO, 1743)
(FSE_Bitvector_Mode_Incorrect_Bit_Calculation_2_NT_Loop20_TestCase8, NO, 1783)
(FSE_Bitvector_Mode_Incorrect_Bit_Calculation_2_NT_Loop20_TestCase5, YES, 1832)
(FSE_Bitvector_Mode_Incorrect_Bit_Calculation_2_NT_Loop20_TestCase4, YES, 5089)
(FSE_Bitvector_Mode_Incorrect_Bit_Calculation_2_NT_Loop20_TestCase6, NO, 1841)
(FSE_Bitvector_Mode_Incorrect_Bit_Calculation_2_NT_Loop20_TestCase7, NO, 1760)
(FSE_Bitvector_Mode_Incorrect_Bit_Calculation_2_NT_Loop20_TestCase3, YES, 3419)
(FSE_Bitvector_Mode_Incorrect_Bit_Calculation_2_NT_Loop20_TestCase10, NO, 1823)
(FSE_Bitvector_Mode_Incorrect_Bit_Calculation_2_NT_Loop20_TestCase2, YES, 1808)
(FSE_Bitvector_Mode_Incorrect_Bit_Calculation_2_NT_Loop20_TestCase1, YES, 1827)</v>
      </c>
      <c r="AK15" s="142" t="str">
        <v>correct</v>
      </c>
      <c r="AL15" s="80">
        <v>1</v>
      </c>
      <c r="AM15" s="1" t="str">
        <v>5/5</v>
      </c>
      <c r="AN15" s="80">
        <v>1</v>
      </c>
      <c r="AO15" s="1" t="str">
        <v>5/5</v>
      </c>
      <c r="AP15" s="143">
        <v>1</v>
      </c>
      <c r="AQ15" s="1" t="str">
        <v>10/10</v>
      </c>
      <c r="AR15" s="142">
        <v>22925</v>
      </c>
      <c r="AS15" s="150">
        <v>2292.5</v>
      </c>
      <c r="AT15" s="142">
        <v>1825</v>
      </c>
      <c r="AU15" s="4" t="s">
        <v>97</v>
      </c>
    </row>
    <row r="16" spans="1:47" x14ac:dyDescent="0.2">
      <c r="A16" s="174"/>
      <c r="B16" s="9" t="s">
        <v>15</v>
      </c>
      <c r="C16" s="14" t="str" cm="1">
        <f t="array" ref="C16:M16">_xlfn.LET(
  _xlpm.program_isNT, RIGHT(Athena_BV!B16,5)="_NT.c",
  _xlpm.program_isT,  RIGHT(Athena_BV!B16,4)="_T.c",
  _xlpm.bv_isCorrect, LOWER(Athena_BV!D16)="correct",
  _xlpm.ma_isCorrect, LOWER(Athena_MA!D16)="correct",
  _xlpm.mi_isCorrect, LOWER(Athena_MI!D16)="correct",
  _xlpm.bv_column, IF(_xlpm.program_isNT, Athena_BV!G16, IF(_xlpm.program_isT, Athena_BV!E16, "")),
  _xlpm.ma_column, IF(_xlpm.program_isNT, Athena_MA!G16, IF(_xlpm.program_isT, Athena_MA!E16, "")),
  _xlpm.mi_column, IF(_xlpm.program_isNT, Athena_MI!G16, IF(_xlpm.program_isT, Athena_MI!E16,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Athena_BV!C16:M16,
    Athena_MA!C16:M16,
    Athena_MI!C16:M16
  )
)</f>
        <v>(FSE_Bitvector_Mode_Incorrect_Bit_Calculation_2_T_Loop0_TestCase0, YES, 21009)</v>
      </c>
      <c r="D16" s="142" t="str">
        <v>correct</v>
      </c>
      <c r="E16" s="80">
        <v>1</v>
      </c>
      <c r="F16" s="1" t="str">
        <v>1/1</v>
      </c>
      <c r="G16" s="80" t="str">
        <v/>
      </c>
      <c r="H16" s="1" t="str">
        <v/>
      </c>
      <c r="I16" s="143">
        <v>1</v>
      </c>
      <c r="J16" s="1" t="str">
        <v>1/1</v>
      </c>
      <c r="K16" s="142">
        <v>21009</v>
      </c>
      <c r="L16" s="1">
        <v>21009</v>
      </c>
      <c r="M16" s="140">
        <v>21009</v>
      </c>
      <c r="N16" s="14" t="str" cm="1">
        <f t="array" ref="N16:X16">_xlfn.LET(
  _xlpm.program_isNT, RIGHT(Athena_BV!B16,5)="_NT.c",
  _xlpm.program_isT,  RIGHT(Athena_BV!B16,4)="_T.c",
  _xlpm.bv_isCorrect, LOWER(Athena_BV!O16)="correct",
  _xlpm.ma_isCorrect, LOWER(Athena_MA!O16)="correct",
  _xlpm.mi_isCorrect, LOWER(Athena_MI!O16)="correct",
  _xlpm.bv_column, IF(_xlpm.program_isNT, Athena_BV!R16, IF(_xlpm.program_isT, Athena_BV!P16, "")),
  _xlpm.ma_column, IF(_xlpm.program_isNT, Athena_MA!R16, IF(_xlpm.program_isT, Athena_MA!P16, "")),
  _xlpm.mi_column, IF(_xlpm.program_isNT, Athena_MI!R16, IF(_xlpm.program_isT, Athena_MI!P16,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Athena_BV!N16:X16,
    Athena_MA!N16:X16,
    Athena_MI!N16:X16
  )
)</f>
        <v>(FSE_Bitvector_Mode_Incorrect_Bit_Calculation_2_T_Loop16_TestCase0, YES, 6934)</v>
      </c>
      <c r="O16" s="142" t="str">
        <v>correct</v>
      </c>
      <c r="P16" s="80">
        <v>1</v>
      </c>
      <c r="Q16" s="1" t="str">
        <v>1/1</v>
      </c>
      <c r="R16" s="80" t="str">
        <v/>
      </c>
      <c r="S16" s="149" t="str">
        <v/>
      </c>
      <c r="T16" s="80">
        <v>1</v>
      </c>
      <c r="U16" s="1" t="str">
        <v>1/1</v>
      </c>
      <c r="V16" s="142">
        <v>6934</v>
      </c>
      <c r="W16" s="150">
        <v>6934</v>
      </c>
      <c r="X16" s="142">
        <v>6934</v>
      </c>
      <c r="Y16" s="14" t="str" cm="1">
        <f t="array" ref="Y16:AI16">_xlfn.LET(
  _xlpm.program_isNT, RIGHT(Athena_BV!B16,5)="_NT.c",
  _xlpm.program_isT,  RIGHT(Athena_BV!B16,4)="_T.c",
  _xlpm.bv_isCorrect, LOWER(Athena_BV!Z16)="correct",
  _xlpm.ma_isCorrect, LOWER(Athena_MA!Z16)="correct",
  _xlpm.mi_isCorrect, LOWER(Athena_MI!Z16)="correct",
  _xlpm.bv_column, IF(_xlpm.program_isNT, Athena_BV!AC16, IF(_xlpm.program_isT, Athena_BV!AA16, "")),
  _xlpm.ma_column, IF(_xlpm.program_isNT, Athena_MA!AC16, IF(_xlpm.program_isT, Athena_MA!AA16, "")),
  _xlpm.mi_column, IF(_xlpm.program_isNT, Athena_MI!AC16, IF(_xlpm.program_isT, Athena_MI!AA16,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Athena_BV!Y16:AI16,
    Athena_MA!Y16:AI16,
    Athena_MI!Y16:AI16
  )
)</f>
        <v>(FSE_Bitvector_Mode_Incorrect_Bit_Calculation_2_T_Loop0_TestCase8, YES, 1725)
(FSE_Bitvector_Mode_Incorrect_Bit_Calculation_2_T_Loop0_TestCase9, YES, 1737)
(FSE_Bitvector_Mode_Incorrect_Bit_Calculation_2_T_Loop0_TestCase2, YES, 1709)
(FSE_Bitvector_Mode_Incorrect_Bit_Calculation_2_T_Loop0_TestCase3, YES, 2400)
(FSE_Bitvector_Mode_Incorrect_Bit_Calculation_2_T_Loop0_TestCase10, YES, 1719)
(FSE_Bitvector_Mode_Incorrect_Bit_Calculation_2_T_Loop0_TestCase1, YES, 1719)
(FSE_Bitvector_Mode_Incorrect_Bit_Calculation_2_T_Loop0_TestCase4, YES, 5393)
(FSE_Bitvector_Mode_Incorrect_Bit_Calculation_2_T_Loop0_TestCase5, YES, 1717)
(FSE_Bitvector_Mode_Incorrect_Bit_Calculation_2_T_Loop0_TestCase7, YES, 1774)
(FSE_Bitvector_Mode_Incorrect_Bit_Calculation_2_T_Loop0_TestCase6, YES, 1729)</v>
      </c>
      <c r="Z16" s="142" t="str">
        <v>correct</v>
      </c>
      <c r="AA16" s="80">
        <v>1</v>
      </c>
      <c r="AB16" s="1" t="str">
        <v>10/10</v>
      </c>
      <c r="AC16" s="80" t="str">
        <v/>
      </c>
      <c r="AD16" s="1" t="str">
        <v/>
      </c>
      <c r="AE16" s="143">
        <v>1</v>
      </c>
      <c r="AF16" s="1" t="str">
        <v>10/10</v>
      </c>
      <c r="AG16" s="142">
        <v>21622</v>
      </c>
      <c r="AH16" s="150">
        <v>2162.1999999999998</v>
      </c>
      <c r="AI16" s="142">
        <v>1727</v>
      </c>
      <c r="AJ16" s="14" t="str" cm="1">
        <f t="array" ref="AJ16:AT16">_xlfn.LET(
  _xlpm.program_isNT, RIGHT(Athena_BV!B16,5)="_NT.c",
  _xlpm.program_isT,  RIGHT(Athena_BV!B16,4)="_T.c",
  _xlpm.bv_isCorrect, LOWER(Athena_BV!AK16)="correct",
  _xlpm.ma_isCorrect, LOWER(Athena_MA!AK16)="correct",
  _xlpm.mi_isCorrect, LOWER(Athena_MI!AK16)="correct",
  _xlpm.bv_column, IF(_xlpm.program_isNT, Athena_BV!AN16, IF(_xlpm.program_isT, Athena_BV!AL16, "")),
  _xlpm.ma_column, IF(_xlpm.program_isNT, Athena_MA!AN16, IF(_xlpm.program_isT, Athena_MA!AL16, "")),
  _xlpm.mi_column, IF(_xlpm.program_isNT, Athena_MI!AN16, IF(_xlpm.program_isT, Athena_MI!AL16,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Athena_BV!AJ16:AT16,
    Athena_MA!AJ16:AT16,
    Athena_MI!AJ16:AT16
  )
)</f>
        <v>(FSE_Bitvector_Mode_Incorrect_Bit_Calculation_2_T_Loop16_TestCase9, YES, 1792)
(FSE_Bitvector_Mode_Incorrect_Bit_Calculation_2_T_Loop16_TestCase8, YES, 1784)
(FSE_Bitvector_Mode_Incorrect_Bit_Calculation_2_T_Loop16_TestCase6, YES, 1779)
(FSE_Bitvector_Mode_Incorrect_Bit_Calculation_2_T_Loop16_TestCase7, YES, 1758)
(FSE_Bitvector_Mode_Incorrect_Bit_Calculation_2_T_Loop16_TestCase5, YES, 1926)
(FSE_Bitvector_Mode_Incorrect_Bit_Calculation_2_T_Loop16_TestCase4, YES, 3716)
(FSE_Bitvector_Mode_Incorrect_Bit_Calculation_2_T_Loop16_TestCase1, YES, 1770)
(FSE_Bitvector_Mode_Incorrect_Bit_Calculation_2_T_Loop16_TestCase3, YES, 2961)
(FSE_Bitvector_Mode_Incorrect_Bit_Calculation_2_T_Loop16_TestCase2, YES, 1784)
(FSE_Bitvector_Mode_Incorrect_Bit_Calculation_2_T_Loop16_TestCase10, YES, 1738)</v>
      </c>
      <c r="AK16" s="142" t="str">
        <v>correct</v>
      </c>
      <c r="AL16" s="80">
        <v>1</v>
      </c>
      <c r="AM16" s="1" t="str">
        <v>10/10</v>
      </c>
      <c r="AN16" s="80" t="str">
        <v/>
      </c>
      <c r="AO16" s="1" t="str">
        <v/>
      </c>
      <c r="AP16" s="143">
        <v>1</v>
      </c>
      <c r="AQ16" s="1" t="str">
        <v>10/10</v>
      </c>
      <c r="AR16" s="142">
        <v>21008</v>
      </c>
      <c r="AS16" s="150">
        <v>2100.8000000000002</v>
      </c>
      <c r="AT16" s="142">
        <v>1784</v>
      </c>
      <c r="AU16" s="4" t="s">
        <v>97</v>
      </c>
    </row>
    <row r="17" spans="1:47" x14ac:dyDescent="0.2">
      <c r="A17" s="174"/>
      <c r="B17" s="9" t="s">
        <v>16</v>
      </c>
      <c r="C17" s="14" t="str" cm="1">
        <f t="array" ref="C17:M17">_xlfn.LET(
  _xlpm.program_isNT, RIGHT(Athena_BV!B17,5)="_NT.c",
  _xlpm.program_isT,  RIGHT(Athena_BV!B17,4)="_T.c",
  _xlpm.bv_isCorrect, LOWER(Athena_BV!D17)="correct",
  _xlpm.ma_isCorrect, LOWER(Athena_MA!D17)="correct",
  _xlpm.mi_isCorrect, LOWER(Athena_MI!D17)="correct",
  _xlpm.bv_column, IF(_xlpm.program_isNT, Athena_BV!G17, IF(_xlpm.program_isT, Athena_BV!E17, "")),
  _xlpm.ma_column, IF(_xlpm.program_isNT, Athena_MA!G17, IF(_xlpm.program_isT, Athena_MA!E17, "")),
  _xlpm.mi_column, IF(_xlpm.program_isNT, Athena_MI!G17, IF(_xlpm.program_isT, Athena_MI!E17,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Athena_BV!C17:M17,
    Athena_MA!C17:M17,
    Athena_MI!C17:M17
  )
)</f>
        <v>(FSE_Bitvector_Mode_Incorrect_Bit_Calculation_3_NT_Loop0_TestCase0, NO, 1917)</v>
      </c>
      <c r="D17" s="142" t="str">
        <v>correct</v>
      </c>
      <c r="E17" s="80">
        <v>0</v>
      </c>
      <c r="F17" s="1" t="str">
        <v>0/0</v>
      </c>
      <c r="G17" s="80">
        <v>1</v>
      </c>
      <c r="H17" s="1" t="str">
        <v>1/1</v>
      </c>
      <c r="I17" s="143">
        <v>1</v>
      </c>
      <c r="J17" s="1" t="str">
        <v>1/1</v>
      </c>
      <c r="K17" s="142">
        <v>1917</v>
      </c>
      <c r="L17" s="1">
        <v>1917</v>
      </c>
      <c r="M17" s="140">
        <v>1917</v>
      </c>
      <c r="N17" s="14" t="str" cm="1">
        <f t="array" ref="N17:X17">_xlfn.LET(
  _xlpm.program_isNT, RIGHT(Athena_BV!B17,5)="_NT.c",
  _xlpm.program_isT,  RIGHT(Athena_BV!B17,4)="_T.c",
  _xlpm.bv_isCorrect, LOWER(Athena_BV!O17)="correct",
  _xlpm.ma_isCorrect, LOWER(Athena_MA!O17)="correct",
  _xlpm.mi_isCorrect, LOWER(Athena_MI!O17)="correct",
  _xlpm.bv_column, IF(_xlpm.program_isNT, Athena_BV!R17, IF(_xlpm.program_isT, Athena_BV!P17, "")),
  _xlpm.ma_column, IF(_xlpm.program_isNT, Athena_MA!R17, IF(_xlpm.program_isT, Athena_MA!P17, "")),
  _xlpm.mi_column, IF(_xlpm.program_isNT, Athena_MI!R17, IF(_xlpm.program_isT, Athena_MI!P17,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Athena_BV!N17:X17,
    Athena_MA!N17:X17,
    Athena_MI!N17:X17
  )
)</f>
        <v>(FSE_Bitvector_Mode_Incorrect_Bit_Calculation_3_NT_Loop18_TestCase0, NO, 1747)</v>
      </c>
      <c r="O17" s="142" t="str">
        <v>correct</v>
      </c>
      <c r="P17" s="80">
        <v>0</v>
      </c>
      <c r="Q17" s="1" t="str">
        <v>0/0</v>
      </c>
      <c r="R17" s="80">
        <v>1</v>
      </c>
      <c r="S17" s="149" t="str">
        <v>1/1</v>
      </c>
      <c r="T17" s="80">
        <v>1</v>
      </c>
      <c r="U17" s="1" t="str">
        <v>1/1</v>
      </c>
      <c r="V17" s="142">
        <v>1747</v>
      </c>
      <c r="W17" s="150">
        <v>1747</v>
      </c>
      <c r="X17" s="142">
        <v>1747</v>
      </c>
      <c r="Y17" s="14" t="str" cm="1">
        <f t="array" ref="Y17:AI17">_xlfn.LET(
  _xlpm.program_isNT, RIGHT(Athena_BV!B17,5)="_NT.c",
  _xlpm.program_isT,  RIGHT(Athena_BV!B17,4)="_T.c",
  _xlpm.bv_isCorrect, LOWER(Athena_BV!Z17)="correct",
  _xlpm.ma_isCorrect, LOWER(Athena_MA!Z17)="correct",
  _xlpm.mi_isCorrect, LOWER(Athena_MI!Z17)="correct",
  _xlpm.bv_column, IF(_xlpm.program_isNT, Athena_BV!AC17, IF(_xlpm.program_isT, Athena_BV!AA17, "")),
  _xlpm.ma_column, IF(_xlpm.program_isNT, Athena_MA!AC17, IF(_xlpm.program_isT, Athena_MA!AA17, "")),
  _xlpm.mi_column, IF(_xlpm.program_isNT, Athena_MI!AC17, IF(_xlpm.program_isT, Athena_MI!AA17,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Athena_BV!Y17:AI17,
    Athena_MA!Y17:AI17,
    Athena_MI!Y17:AI17
  )
)</f>
        <v>(FSE_Bitvector_Mode_Incorrect_Bit_Calculation_3_NT_Loop0_TestCase1, YES, 1660)
(FSE_Bitvector_Mode_Incorrect_Bit_Calculation_3_NT_Loop0_TestCase3, YES, 1744)
(FSE_Bitvector_Mode_Incorrect_Bit_Calculation_3_NT_Loop0_TestCase2, YES, 1690)
(FSE_Bitvector_Mode_Incorrect_Bit_Calculation_3_NT_Loop0_TestCase6, NO, 1718)
(FSE_Bitvector_Mode_Incorrect_Bit_Calculation_3_NT_Loop0_TestCase7, NO, 1697)
(FSE_Bitvector_Mode_Incorrect_Bit_Calculation_3_NT_Loop0_TestCase5, YES, 1677)
(FSE_Bitvector_Mode_Incorrect_Bit_Calculation_3_NT_Loop0_TestCase4, YES, 1705)
(FSE_Bitvector_Mode_Incorrect_Bit_Calculation_3_NT_Loop0_TestCase10, NO, 1680)
(FSE_Bitvector_Mode_Incorrect_Bit_Calculation_3_NT_Loop0_TestCase9, NO, 1686)
(FSE_Bitvector_Mode_Incorrect_Bit_Calculation_3_NT_Loop0_TestCase8, NO, 1692)</v>
      </c>
      <c r="Z17" s="142" t="str">
        <v>correct</v>
      </c>
      <c r="AA17" s="80">
        <v>1</v>
      </c>
      <c r="AB17" s="1" t="str">
        <v>5/5</v>
      </c>
      <c r="AC17" s="80">
        <v>1</v>
      </c>
      <c r="AD17" s="1" t="str">
        <v>5/5</v>
      </c>
      <c r="AE17" s="143">
        <v>1</v>
      </c>
      <c r="AF17" s="1" t="str">
        <v>10/10</v>
      </c>
      <c r="AG17" s="142">
        <v>16949</v>
      </c>
      <c r="AH17" s="150">
        <v>1694.9</v>
      </c>
      <c r="AI17" s="142">
        <v>1691</v>
      </c>
      <c r="AJ17" s="14" t="str" cm="1">
        <f t="array" ref="AJ17:AT17">_xlfn.LET(
  _xlpm.program_isNT, RIGHT(Athena_BV!B17,5)="_NT.c",
  _xlpm.program_isT,  RIGHT(Athena_BV!B17,4)="_T.c",
  _xlpm.bv_isCorrect, LOWER(Athena_BV!AK17)="correct",
  _xlpm.ma_isCorrect, LOWER(Athena_MA!AK17)="correct",
  _xlpm.mi_isCorrect, LOWER(Athena_MI!AK17)="correct",
  _xlpm.bv_column, IF(_xlpm.program_isNT, Athena_BV!AN17, IF(_xlpm.program_isT, Athena_BV!AL17, "")),
  _xlpm.ma_column, IF(_xlpm.program_isNT, Athena_MA!AN17, IF(_xlpm.program_isT, Athena_MA!AL17, "")),
  _xlpm.mi_column, IF(_xlpm.program_isNT, Athena_MI!AN17, IF(_xlpm.program_isT, Athena_MI!AL17,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Athena_BV!AJ17:AT17,
    Athena_MA!AJ17:AT17,
    Athena_MI!AJ17:AT17
  )
)</f>
        <v>(FSE_Bitvector_Mode_Incorrect_Bit_Calculation_3_NT_Loop18_TestCase10, NO, 1811)
(FSE_Bitvector_Mode_Incorrect_Bit_Calculation_3_NT_Loop18_TestCase9, NO, 1713)
(FSE_Bitvector_Mode_Incorrect_Bit_Calculation_3_NT_Loop18_TestCase8, NO, 1696)
(FSE_Bitvector_Mode_Incorrect_Bit_Calculation_3_NT_Loop18_TestCase6, NO, 1693)
(FSE_Bitvector_Mode_Incorrect_Bit_Calculation_3_NT_Loop18_TestCase7, NO, 1724)
(FSE_Bitvector_Mode_Incorrect_Bit_Calculation_3_NT_Loop18_TestCase5, YES, 1785)
(FSE_Bitvector_Mode_Incorrect_Bit_Calculation_3_NT_Loop18_TestCase4, YES, 1700)
(FSE_Bitvector_Mode_Incorrect_Bit_Calculation_3_NT_Loop18_TestCase1, YES, 1722)
(FSE_Bitvector_Mode_Incorrect_Bit_Calculation_3_NT_Loop18_TestCase3, YES, 1725)
(FSE_Bitvector_Mode_Incorrect_Bit_Calculation_3_NT_Loop18_TestCase2, YES, 1697)</v>
      </c>
      <c r="AK17" s="142" t="str">
        <v>correct</v>
      </c>
      <c r="AL17" s="80">
        <v>1</v>
      </c>
      <c r="AM17" s="1" t="str">
        <v>5/5</v>
      </c>
      <c r="AN17" s="80">
        <v>1</v>
      </c>
      <c r="AO17" s="1" t="str">
        <v>5/5</v>
      </c>
      <c r="AP17" s="143">
        <v>1</v>
      </c>
      <c r="AQ17" s="1" t="str">
        <v>10/10</v>
      </c>
      <c r="AR17" s="142">
        <v>17266</v>
      </c>
      <c r="AS17" s="150">
        <v>1726.6</v>
      </c>
      <c r="AT17" s="142">
        <v>1717.5</v>
      </c>
      <c r="AU17" s="4" t="s">
        <v>97</v>
      </c>
    </row>
    <row r="18" spans="1:47" x14ac:dyDescent="0.2">
      <c r="A18" s="174"/>
      <c r="B18" s="9" t="s">
        <v>17</v>
      </c>
      <c r="C18" s="14" t="str" cm="1">
        <f t="array" ref="C18:M18">_xlfn.LET(
  _xlpm.program_isNT, RIGHT(Athena_BV!B18,5)="_NT.c",
  _xlpm.program_isT,  RIGHT(Athena_BV!B18,4)="_T.c",
  _xlpm.bv_isCorrect, LOWER(Athena_BV!D18)="correct",
  _xlpm.ma_isCorrect, LOWER(Athena_MA!D18)="correct",
  _xlpm.mi_isCorrect, LOWER(Athena_MI!D18)="correct",
  _xlpm.bv_column, IF(_xlpm.program_isNT, Athena_BV!G18, IF(_xlpm.program_isT, Athena_BV!E18, "")),
  _xlpm.ma_column, IF(_xlpm.program_isNT, Athena_MA!G18, IF(_xlpm.program_isT, Athena_MA!E18, "")),
  _xlpm.mi_column, IF(_xlpm.program_isNT, Athena_MI!G18, IF(_xlpm.program_isT, Athena_MI!E18,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Athena_BV!C18:M18,
    Athena_MA!C18:M18,
    Athena_MI!C18:M18
  )
)</f>
        <v>(FSE_Bitvector_Mode_Incorrect_Bit_Calculation_3_T_Loop0_TestCase0, YES, 1810)</v>
      </c>
      <c r="D18" s="142" t="str">
        <v>correct</v>
      </c>
      <c r="E18" s="80">
        <v>1</v>
      </c>
      <c r="F18" s="1" t="str">
        <v>1/1</v>
      </c>
      <c r="G18" s="80" t="str">
        <v/>
      </c>
      <c r="H18" s="1" t="str">
        <v/>
      </c>
      <c r="I18" s="143">
        <v>1</v>
      </c>
      <c r="J18" s="1" t="str">
        <v>1/1</v>
      </c>
      <c r="K18" s="142">
        <v>1810</v>
      </c>
      <c r="L18" s="1">
        <v>1810</v>
      </c>
      <c r="M18" s="140">
        <v>1810</v>
      </c>
      <c r="N18" s="14" t="str" cm="1">
        <f t="array" ref="N18:X18">_xlfn.LET(
  _xlpm.program_isNT, RIGHT(Athena_BV!B18,5)="_NT.c",
  _xlpm.program_isT,  RIGHT(Athena_BV!B18,4)="_T.c",
  _xlpm.bv_isCorrect, LOWER(Athena_BV!O18)="correct",
  _xlpm.ma_isCorrect, LOWER(Athena_MA!O18)="correct",
  _xlpm.mi_isCorrect, LOWER(Athena_MI!O18)="correct",
  _xlpm.bv_column, IF(_xlpm.program_isNT, Athena_BV!R18, IF(_xlpm.program_isT, Athena_BV!P18, "")),
  _xlpm.ma_column, IF(_xlpm.program_isNT, Athena_MA!R18, IF(_xlpm.program_isT, Athena_MA!P18, "")),
  _xlpm.mi_column, IF(_xlpm.program_isNT, Athena_MI!R18, IF(_xlpm.program_isT, Athena_MI!P18,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Athena_BV!N18:X18,
    Athena_MA!N18:X18,
    Athena_MI!N18:X18
  )
)</f>
        <v>(FSE_Bitvector_Mode_Incorrect_Bit_Calculation_3_T_Loop15_TestCase0, YES, 1748)</v>
      </c>
      <c r="O18" s="142" t="str">
        <v>correct</v>
      </c>
      <c r="P18" s="80">
        <v>1</v>
      </c>
      <c r="Q18" s="1" t="str">
        <v>1/1</v>
      </c>
      <c r="R18" s="80" t="str">
        <v/>
      </c>
      <c r="S18" s="149" t="str">
        <v/>
      </c>
      <c r="T18" s="80">
        <v>1</v>
      </c>
      <c r="U18" s="1" t="str">
        <v>1/1</v>
      </c>
      <c r="V18" s="142">
        <v>1748</v>
      </c>
      <c r="W18" s="150">
        <v>1748</v>
      </c>
      <c r="X18" s="142">
        <v>1748</v>
      </c>
      <c r="Y18" s="14" t="str" cm="1">
        <f t="array" ref="Y18:AI18">_xlfn.LET(
  _xlpm.program_isNT, RIGHT(Athena_BV!B18,5)="_NT.c",
  _xlpm.program_isT,  RIGHT(Athena_BV!B18,4)="_T.c",
  _xlpm.bv_isCorrect, LOWER(Athena_BV!Z18)="correct",
  _xlpm.ma_isCorrect, LOWER(Athena_MA!Z18)="correct",
  _xlpm.mi_isCorrect, LOWER(Athena_MI!Z18)="correct",
  _xlpm.bv_column, IF(_xlpm.program_isNT, Athena_BV!AC18, IF(_xlpm.program_isT, Athena_BV!AA18, "")),
  _xlpm.ma_column, IF(_xlpm.program_isNT, Athena_MA!AC18, IF(_xlpm.program_isT, Athena_MA!AA18, "")),
  _xlpm.mi_column, IF(_xlpm.program_isNT, Athena_MI!AC18, IF(_xlpm.program_isT, Athena_MI!AA18,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Athena_BV!Y18:AI18,
    Athena_MA!Y18:AI18,
    Athena_MI!Y18:AI18
  )
)</f>
        <v>(FSE_Bitvector_Mode_Incorrect_Bit_Calculation_3_T_Loop0_TestCase1, YES, 1718)
(FSE_Bitvector_Mode_Incorrect_Bit_Calculation_3_T_Loop0_TestCase2, YES, 1674)
(FSE_Bitvector_Mode_Incorrect_Bit_Calculation_3_T_Loop0_TestCase3, YES, 1715)
(FSE_Bitvector_Mode_Incorrect_Bit_Calculation_3_T_Loop0_TestCase7, YES, 1723)
(FSE_Bitvector_Mode_Incorrect_Bit_Calculation_3_T_Loop0_TestCase6, YES, 1709)
(FSE_Bitvector_Mode_Incorrect_Bit_Calculation_3_T_Loop0_TestCase4, YES, 1752)
(FSE_Bitvector_Mode_Incorrect_Bit_Calculation_3_T_Loop0_TestCase5, YES, 1679)
(FSE_Bitvector_Mode_Incorrect_Bit_Calculation_3_T_Loop0_TestCase8, YES, 1708)
(FSE_Bitvector_Mode_Incorrect_Bit_Calculation_3_T_Loop0_TestCase9, YES, 1709)
(FSE_Bitvector_Mode_Incorrect_Bit_Calculation_3_T_Loop0_TestCase10, YES, 1708)</v>
      </c>
      <c r="Z18" s="142" t="str">
        <v>correct</v>
      </c>
      <c r="AA18" s="80">
        <v>1</v>
      </c>
      <c r="AB18" s="1" t="str">
        <v>10/10</v>
      </c>
      <c r="AC18" s="80" t="str">
        <v/>
      </c>
      <c r="AD18" s="1" t="str">
        <v/>
      </c>
      <c r="AE18" s="143">
        <v>1</v>
      </c>
      <c r="AF18" s="1" t="str">
        <v>10/10</v>
      </c>
      <c r="AG18" s="142">
        <v>17095</v>
      </c>
      <c r="AH18" s="150">
        <v>1709.5</v>
      </c>
      <c r="AI18" s="142">
        <v>1709</v>
      </c>
      <c r="AJ18" s="14" t="str" cm="1">
        <f t="array" ref="AJ18:AT18">_xlfn.LET(
  _xlpm.program_isNT, RIGHT(Athena_BV!B18,5)="_NT.c",
  _xlpm.program_isT,  RIGHT(Athena_BV!B18,4)="_T.c",
  _xlpm.bv_isCorrect, LOWER(Athena_BV!AK18)="correct",
  _xlpm.ma_isCorrect, LOWER(Athena_MA!AK18)="correct",
  _xlpm.mi_isCorrect, LOWER(Athena_MI!AK18)="correct",
  _xlpm.bv_column, IF(_xlpm.program_isNT, Athena_BV!AN18, IF(_xlpm.program_isT, Athena_BV!AL18, "")),
  _xlpm.ma_column, IF(_xlpm.program_isNT, Athena_MA!AN18, IF(_xlpm.program_isT, Athena_MA!AL18, "")),
  _xlpm.mi_column, IF(_xlpm.program_isNT, Athena_MI!AN18, IF(_xlpm.program_isT, Athena_MI!AL18,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Athena_BV!AJ18:AT18,
    Athena_MA!AJ18:AT18,
    Athena_MI!AJ18:AT18
  )
)</f>
        <v>(FSE_Bitvector_Mode_Incorrect_Bit_Calculation_3_T_Loop15_TestCase10, YES, 1813)
(FSE_Bitvector_Mode_Incorrect_Bit_Calculation_3_T_Loop15_TestCase8, YES, 1738)
(FSE_Bitvector_Mode_Incorrect_Bit_Calculation_3_T_Loop15_TestCase9, YES, 1743)
(FSE_Bitvector_Mode_Incorrect_Bit_Calculation_3_T_Loop15_TestCase7, YES, 1787)
(FSE_Bitvector_Mode_Incorrect_Bit_Calculation_3_T_Loop15_TestCase6, YES, 1746)
(FSE_Bitvector_Mode_Incorrect_Bit_Calculation_3_T_Loop15_TestCase4, YES, 1760)
(FSE_Bitvector_Mode_Incorrect_Bit_Calculation_3_T_Loop15_TestCase5, YES, 1863)
(FSE_Bitvector_Mode_Incorrect_Bit_Calculation_3_T_Loop15_TestCase1, YES, 1726)
(FSE_Bitvector_Mode_Incorrect_Bit_Calculation_3_T_Loop15_TestCase2, YES, 1765)
(FSE_Bitvector_Mode_Incorrect_Bit_Calculation_3_T_Loop15_TestCase3, YES, 1742)</v>
      </c>
      <c r="AK18" s="142" t="str">
        <v>correct</v>
      </c>
      <c r="AL18" s="80">
        <v>1</v>
      </c>
      <c r="AM18" s="1" t="str">
        <v>10/10</v>
      </c>
      <c r="AN18" s="80" t="str">
        <v/>
      </c>
      <c r="AO18" s="1" t="str">
        <v/>
      </c>
      <c r="AP18" s="143">
        <v>1</v>
      </c>
      <c r="AQ18" s="1" t="str">
        <v>10/10</v>
      </c>
      <c r="AR18" s="142">
        <v>17683</v>
      </c>
      <c r="AS18" s="150">
        <v>1768.3</v>
      </c>
      <c r="AT18" s="142">
        <v>1753</v>
      </c>
      <c r="AU18" s="4" t="s">
        <v>97</v>
      </c>
    </row>
    <row r="19" spans="1:47" x14ac:dyDescent="0.2">
      <c r="A19" s="174"/>
      <c r="B19" s="9" t="s">
        <v>18</v>
      </c>
      <c r="C19" s="14" t="str" cm="1">
        <f t="array" ref="C19:M19">_xlfn.LET(
  _xlpm.program_isNT, RIGHT(Athena_BV!B19,5)="_NT.c",
  _xlpm.program_isT,  RIGHT(Athena_BV!B19,4)="_T.c",
  _xlpm.bv_isCorrect, LOWER(Athena_BV!D19)="correct",
  _xlpm.ma_isCorrect, LOWER(Athena_MA!D19)="correct",
  _xlpm.mi_isCorrect, LOWER(Athena_MI!D19)="correct",
  _xlpm.bv_column, IF(_xlpm.program_isNT, Athena_BV!G19, IF(_xlpm.program_isT, Athena_BV!E19, "")),
  _xlpm.ma_column, IF(_xlpm.program_isNT, Athena_MA!G19, IF(_xlpm.program_isT, Athena_MA!E19, "")),
  _xlpm.mi_column, IF(_xlpm.program_isNT, Athena_MI!G19, IF(_xlpm.program_isT, Athena_MI!E19,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Athena_BV!C19:M19,
    Athena_MA!C19:M19,
    Athena_MI!C19:M19
  )
)</f>
        <v>(FSE_Bitvector_Mode_Incorrect_Control_Statement_1_NT_Loop0_TestCase0, TIMEOUT, 302329)</v>
      </c>
      <c r="D19" s="142" t="str">
        <v>correct</v>
      </c>
      <c r="E19" s="80">
        <v>0</v>
      </c>
      <c r="F19" s="1" t="str">
        <v>0/0</v>
      </c>
      <c r="G19" s="80">
        <v>0</v>
      </c>
      <c r="H19" s="1" t="str">
        <v>0/1</v>
      </c>
      <c r="I19" s="143">
        <v>0</v>
      </c>
      <c r="J19" s="1" t="str">
        <v>0/1</v>
      </c>
      <c r="K19" s="142">
        <v>0</v>
      </c>
      <c r="L19" s="1">
        <v>0</v>
      </c>
      <c r="M19" s="140">
        <v>0</v>
      </c>
      <c r="N19" s="14" t="str" cm="1">
        <f t="array" ref="N19:X19">_xlfn.LET(
  _xlpm.program_isNT, RIGHT(Athena_BV!B19,5)="_NT.c",
  _xlpm.program_isT,  RIGHT(Athena_BV!B19,4)="_T.c",
  _xlpm.bv_isCorrect, LOWER(Athena_BV!O19)="correct",
  _xlpm.ma_isCorrect, LOWER(Athena_MA!O19)="correct",
  _xlpm.mi_isCorrect, LOWER(Athena_MI!O19)="correct",
  _xlpm.bv_column, IF(_xlpm.program_isNT, Athena_BV!R19, IF(_xlpm.program_isT, Athena_BV!P19, "")),
  _xlpm.ma_column, IF(_xlpm.program_isNT, Athena_MA!R19, IF(_xlpm.program_isT, Athena_MA!P19, "")),
  _xlpm.mi_column, IF(_xlpm.program_isNT, Athena_MI!R19, IF(_xlpm.program_isT, Athena_MI!P19,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Athena_BV!N19:X19,
    Athena_MA!N19:X19,
    Athena_MI!N19:X19
  )
)</f>
        <v>(FSE_Bitvector_Mode_Incorrect_Control_Statement_1_NT_Loop16_TestCase0, YES, 2189)
(FSE_Bitvector_Mode_Incorrect_Control_Statement_1_NT_Loop20_TestCase0, TIMEOUT, 302231)</v>
      </c>
      <c r="O19" s="142" t="str">
        <v>correct</v>
      </c>
      <c r="P19" s="80">
        <v>1</v>
      </c>
      <c r="Q19" s="1" t="str">
        <v>1/1</v>
      </c>
      <c r="R19" s="80">
        <v>0</v>
      </c>
      <c r="S19" s="149" t="str">
        <v>0/1</v>
      </c>
      <c r="T19" s="80">
        <v>0.5</v>
      </c>
      <c r="U19" s="1" t="str">
        <v>1/2</v>
      </c>
      <c r="V19" s="142">
        <v>2189</v>
      </c>
      <c r="W19" s="150">
        <v>2189</v>
      </c>
      <c r="X19" s="142">
        <v>2189</v>
      </c>
      <c r="Y19" s="14" t="str" cm="1">
        <f t="array" ref="Y19:AI19">_xlfn.LET(
  _xlpm.program_isNT, RIGHT(Athena_BV!B19,5)="_NT.c",
  _xlpm.program_isT,  RIGHT(Athena_BV!B19,4)="_T.c",
  _xlpm.bv_isCorrect, LOWER(Athena_BV!Z19)="correct",
  _xlpm.ma_isCorrect, LOWER(Athena_MA!Z19)="correct",
  _xlpm.mi_isCorrect, LOWER(Athena_MI!Z19)="correct",
  _xlpm.bv_column, IF(_xlpm.program_isNT, Athena_BV!AC19, IF(_xlpm.program_isT, Athena_BV!AA19, "")),
  _xlpm.ma_column, IF(_xlpm.program_isNT, Athena_MA!AC19, IF(_xlpm.program_isT, Athena_MA!AA19, "")),
  _xlpm.mi_column, IF(_xlpm.program_isNT, Athena_MI!AC19, IF(_xlpm.program_isT, Athena_MI!AA19,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Athena_BV!Y19:AI19,
    Athena_MA!Y19:AI19,
    Athena_MI!Y19:AI19
  )
)</f>
        <v>(FSE_Bitvector_Mode_Incorrect_Control_Statement_1_NT_Loop0_TestCase10, MAYBE, 1608)
(FSE_Bitvector_Mode_Incorrect_Control_Statement_1_NT_Loop0_TestCase2, MAYBE, 1670)
(FSE_Bitvector_Mode_Incorrect_Control_Statement_1_NT_Loop0_TestCase3, MAYBE, 1626)
(FSE_Bitvector_Mode_Incorrect_Control_Statement_1_NT_Loop0_TestCase1, MAYBE, 1665)
(FSE_Bitvector_Mode_Incorrect_Control_Statement_1_NT_Loop0_TestCase4, MAYBE, 1630)
(FSE_Bitvector_Mode_Incorrect_Control_Statement_1_NT_Loop0_TestCase5, MAYBE, 1623)
(FSE_Bitvector_Mode_Incorrect_Control_Statement_1_NT_Loop0_TestCase7, MAYBE, 1615)
(FSE_Bitvector_Mode_Incorrect_Control_Statement_1_NT_Loop0_TestCase6, MAYBE, 1608)
(FSE_Bitvector_Mode_Incorrect_Control_Statement_1_NT_Loop0_TestCase8, MAYBE, 1613)
(FSE_Bitvector_Mode_Incorrect_Control_Statement_1_NT_Loop0_TestCase9, MAYBE, 1624)</v>
      </c>
      <c r="Z19" s="142" t="str">
        <v>correct</v>
      </c>
      <c r="AA19" s="80">
        <v>0</v>
      </c>
      <c r="AB19" s="1" t="str">
        <v>0/5</v>
      </c>
      <c r="AC19" s="80">
        <v>0</v>
      </c>
      <c r="AD19" s="1" t="str">
        <v>0/5</v>
      </c>
      <c r="AE19" s="143">
        <v>0</v>
      </c>
      <c r="AF19" s="1" t="str">
        <v>0/10</v>
      </c>
      <c r="AG19" s="142">
        <v>0</v>
      </c>
      <c r="AH19" s="150">
        <v>0</v>
      </c>
      <c r="AI19" s="142">
        <v>0</v>
      </c>
      <c r="AJ19" s="14" t="str" cm="1">
        <f t="array" ref="AJ19:AT19">_xlfn.LET(
  _xlpm.program_isNT, RIGHT(Athena_BV!B19,5)="_NT.c",
  _xlpm.program_isT,  RIGHT(Athena_BV!B19,4)="_T.c",
  _xlpm.bv_isCorrect, LOWER(Athena_BV!AK19)="correct",
  _xlpm.ma_isCorrect, LOWER(Athena_MA!AK19)="correct",
  _xlpm.mi_isCorrect, LOWER(Athena_MI!AK19)="correct",
  _xlpm.bv_column, IF(_xlpm.program_isNT, Athena_BV!AN19, IF(_xlpm.program_isT, Athena_BV!AL19, "")),
  _xlpm.ma_column, IF(_xlpm.program_isNT, Athena_MA!AN19, IF(_xlpm.program_isT, Athena_MA!AL19, "")),
  _xlpm.mi_column, IF(_xlpm.program_isNT, Athena_MI!AN19, IF(_xlpm.program_isT, Athena_MI!AL19,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Athena_BV!AJ19:AT19,
    Athena_MA!AJ19:AT19,
    Athena_MI!AJ19:AT19
  )
)</f>
        <v>(FSE_Bitvector_Mode_Incorrect_Control_Statement_1_NT_Loop20_TestCase9, MAYBE, 1646)
(FSE_Bitvector_Mode_Incorrect_Control_Statement_1_NT_Loop20_TestCase8, MAYBE, 1626)
(FSE_Bitvector_Mode_Incorrect_Control_Statement_1_NT_Loop16_TestCase10, ERROR, 1679)
(FSE_Bitvector_Mode_Incorrect_Control_Statement_1_NT_Loop16_TestCase2, YES, 1743)
(FSE_Bitvector_Mode_Incorrect_Control_Statement_1_NT_Loop16_TestCase3, ERROR, 1665)
(FSE_Bitvector_Mode_Incorrect_Control_Statement_1_NT_Loop16_TestCase1, ERROR, 1707)
(FSE_Bitvector_Mode_Incorrect_Control_Statement_1_NT_Loop16_TestCase4, ERROR, 1655)
(FSE_Bitvector_Mode_Incorrect_Control_Statement_1_NT_Loop16_TestCase5, ERROR, 1631)
(FSE_Bitvector_Mode_Incorrect_Control_Statement_1_NT_Loop16_TestCase7, ERROR, 1705)
(FSE_Bitvector_Mode_Incorrect_Control_Statement_1_NT_Loop16_TestCase6, ERROR, 1678)
(FSE_Bitvector_Mode_Incorrect_Control_Statement_1_NT_Loop16_TestCase8, YES, 1755)
(FSE_Bitvector_Mode_Incorrect_Control_Statement_1_NT_Loop16_TestCase9, YES, 1837)
(FSE_Bitvector_Mode_Incorrect_Control_Statement_1_NT_Loop20_TestCase10, MAYBE, 1659)
(FSE_Bitvector_Mode_Incorrect_Control_Statement_1_NT_Loop20_TestCase1, MAYBE, 1644)
(FSE_Bitvector_Mode_Incorrect_Control_Statement_1_NT_Loop20_TestCase3, MAYBE, 1641)
(FSE_Bitvector_Mode_Incorrect_Control_Statement_1_NT_Loop20_TestCase2, MAYBE, 1626)
(FSE_Bitvector_Mode_Incorrect_Control_Statement_1_NT_Loop20_TestCase6, MAYBE, 1667)
(FSE_Bitvector_Mode_Incorrect_Control_Statement_1_NT_Loop20_TestCase7, MAYBE, 1623)
(FSE_Bitvector_Mode_Incorrect_Control_Statement_1_NT_Loop20_TestCase5, MAYBE, 1683)
(FSE_Bitvector_Mode_Incorrect_Control_Statement_1_NT_Loop20_TestCase4, MAYBE, 1683)</v>
      </c>
      <c r="AK19" s="142" t="str">
        <v>correct</v>
      </c>
      <c r="AL19" s="80">
        <v>0.2</v>
      </c>
      <c r="AM19" s="1" t="str">
        <v>3/15</v>
      </c>
      <c r="AN19" s="80">
        <v>0</v>
      </c>
      <c r="AO19" s="1" t="str">
        <v>0/5</v>
      </c>
      <c r="AP19" s="143">
        <v>0.15</v>
      </c>
      <c r="AQ19" s="1" t="str">
        <v>3/20</v>
      </c>
      <c r="AR19" s="142">
        <v>5335</v>
      </c>
      <c r="AS19" s="150">
        <v>1778.33</v>
      </c>
      <c r="AT19" s="142">
        <v>1755</v>
      </c>
      <c r="AU19" s="4" t="s">
        <v>99</v>
      </c>
    </row>
    <row r="20" spans="1:47" x14ac:dyDescent="0.2">
      <c r="A20" s="174"/>
      <c r="B20" s="9" t="s">
        <v>19</v>
      </c>
      <c r="C20" s="14" t="str" cm="1">
        <f t="array" ref="C20:M20">_xlfn.LET(
  _xlpm.program_isNT, RIGHT(Athena_BV!B20,5)="_NT.c",
  _xlpm.program_isT,  RIGHT(Athena_BV!B20,4)="_T.c",
  _xlpm.bv_isCorrect, LOWER(Athena_BV!D20)="correct",
  _xlpm.ma_isCorrect, LOWER(Athena_MA!D20)="correct",
  _xlpm.mi_isCorrect, LOWER(Athena_MI!D20)="correct",
  _xlpm.bv_column, IF(_xlpm.program_isNT, Athena_BV!G20, IF(_xlpm.program_isT, Athena_BV!E20, "")),
  _xlpm.ma_column, IF(_xlpm.program_isNT, Athena_MA!G20, IF(_xlpm.program_isT, Athena_MA!E20, "")),
  _xlpm.mi_column, IF(_xlpm.program_isNT, Athena_MI!G20, IF(_xlpm.program_isT, Athena_MI!E20,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Athena_BV!C20:M20,
    Athena_MA!C20:M20,
    Athena_MI!C20:M20
  )
)</f>
        <v>(FSE_Bitvector_Mode_Incorrect_Control_Statement_1_T_Loop0_TestCase0, TIMEOUT, 302544)</v>
      </c>
      <c r="D20" s="142" t="str">
        <v>correct</v>
      </c>
      <c r="E20" s="80">
        <v>0</v>
      </c>
      <c r="F20" s="1" t="str">
        <v>0/1</v>
      </c>
      <c r="G20" s="80" t="str">
        <v/>
      </c>
      <c r="H20" s="1" t="str">
        <v/>
      </c>
      <c r="I20" s="143">
        <v>0</v>
      </c>
      <c r="J20" s="1" t="str">
        <v>0/1</v>
      </c>
      <c r="K20" s="142">
        <v>0</v>
      </c>
      <c r="L20" s="1">
        <v>0</v>
      </c>
      <c r="M20" s="140">
        <v>0</v>
      </c>
      <c r="N20" s="14" t="str" cm="1">
        <f t="array" ref="N20:X20">_xlfn.LET(
  _xlpm.program_isNT, RIGHT(Athena_BV!B20,5)="_NT.c",
  _xlpm.program_isT,  RIGHT(Athena_BV!B20,4)="_T.c",
  _xlpm.bv_isCorrect, LOWER(Athena_BV!O20)="correct",
  _xlpm.ma_isCorrect, LOWER(Athena_MA!O20)="correct",
  _xlpm.mi_isCorrect, LOWER(Athena_MI!O20)="correct",
  _xlpm.bv_column, IF(_xlpm.program_isNT, Athena_BV!R20, IF(_xlpm.program_isT, Athena_BV!P20, "")),
  _xlpm.ma_column, IF(_xlpm.program_isNT, Athena_MA!R20, IF(_xlpm.program_isT, Athena_MA!P20, "")),
  _xlpm.mi_column, IF(_xlpm.program_isNT, Athena_MI!R20, IF(_xlpm.program_isT, Athena_MI!P20,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Athena_BV!N20:X20,
    Athena_MA!N20:X20,
    Athena_MI!N20:X20
  )
)</f>
        <v>(FSE_Bitvector_Mode_Incorrect_Control_Statement_1_T_Loop14_TestCase0, YES, 2167)
(FSE_Bitvector_Mode_Incorrect_Control_Statement_1_T_Loop18_TestCase0, TIMEOUT, 302260)</v>
      </c>
      <c r="O20" s="142" t="str">
        <v>correct</v>
      </c>
      <c r="P20" s="80">
        <v>0.5</v>
      </c>
      <c r="Q20" s="1" t="str">
        <v>1/2</v>
      </c>
      <c r="R20" s="80" t="str">
        <v/>
      </c>
      <c r="S20" s="149" t="str">
        <v/>
      </c>
      <c r="T20" s="80">
        <v>0.5</v>
      </c>
      <c r="U20" s="1" t="str">
        <v>1/2</v>
      </c>
      <c r="V20" s="142">
        <v>2167</v>
      </c>
      <c r="W20" s="150">
        <v>2167</v>
      </c>
      <c r="X20" s="142">
        <v>2167</v>
      </c>
      <c r="Y20" s="14" t="str" cm="1">
        <f t="array" ref="Y20:AI20">_xlfn.LET(
  _xlpm.program_isNT, RIGHT(Athena_BV!B20,5)="_NT.c",
  _xlpm.program_isT,  RIGHT(Athena_BV!B20,4)="_T.c",
  _xlpm.bv_isCorrect, LOWER(Athena_BV!Z20)="correct",
  _xlpm.ma_isCorrect, LOWER(Athena_MA!Z20)="correct",
  _xlpm.mi_isCorrect, LOWER(Athena_MI!Z20)="correct",
  _xlpm.bv_column, IF(_xlpm.program_isNT, Athena_BV!AC20, IF(_xlpm.program_isT, Athena_BV!AA20, "")),
  _xlpm.ma_column, IF(_xlpm.program_isNT, Athena_MA!AC20, IF(_xlpm.program_isT, Athena_MA!AA20, "")),
  _xlpm.mi_column, IF(_xlpm.program_isNT, Athena_MI!AC20, IF(_xlpm.program_isT, Athena_MI!AA20,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Athena_BV!Y20:AI20,
    Athena_MA!Y20:AI20,
    Athena_MI!Y20:AI20
  )
)</f>
        <v>(FSE_Bitvector_Mode_Incorrect_Control_Statement_1_T_Loop0_TestCase8, MAYBE, 1607)
(FSE_Bitvector_Mode_Incorrect_Control_Statement_1_T_Loop0_TestCase9, MAYBE, 1601)
(FSE_Bitvector_Mode_Incorrect_Control_Statement_1_T_Loop0_TestCase7, MAYBE, 1652)
(FSE_Bitvector_Mode_Incorrect_Control_Statement_1_T_Loop0_TestCase6, MAYBE, 1646)
(FSE_Bitvector_Mode_Incorrect_Control_Statement_1_T_Loop0_TestCase4, MAYBE, 1627)
(FSE_Bitvector_Mode_Incorrect_Control_Statement_1_T_Loop0_TestCase5, MAYBE, 1630)
(FSE_Bitvector_Mode_Incorrect_Control_Statement_1_T_Loop0_TestCase1, MAYBE, 1608)
(FSE_Bitvector_Mode_Incorrect_Control_Statement_1_T_Loop0_TestCase10, MAYBE, 1622)
(FSE_Bitvector_Mode_Incorrect_Control_Statement_1_T_Loop0_TestCase2, MAYBE, 1643)
(FSE_Bitvector_Mode_Incorrect_Control_Statement_1_T_Loop0_TestCase3, MAYBE, 1642)</v>
      </c>
      <c r="Z20" s="142" t="str">
        <v>correct</v>
      </c>
      <c r="AA20" s="80">
        <v>0</v>
      </c>
      <c r="AB20" s="1" t="str">
        <v>0/10</v>
      </c>
      <c r="AC20" s="80" t="str">
        <v/>
      </c>
      <c r="AD20" s="1" t="str">
        <v/>
      </c>
      <c r="AE20" s="143">
        <v>0</v>
      </c>
      <c r="AF20" s="1" t="str">
        <v>0/10</v>
      </c>
      <c r="AG20" s="142">
        <v>0</v>
      </c>
      <c r="AH20" s="150">
        <v>0</v>
      </c>
      <c r="AI20" s="142">
        <v>0</v>
      </c>
      <c r="AJ20" s="14" t="str" cm="1">
        <f t="array" ref="AJ20:AT20">_xlfn.LET(
  _xlpm.program_isNT, RIGHT(Athena_BV!B20,5)="_NT.c",
  _xlpm.program_isT,  RIGHT(Athena_BV!B20,4)="_T.c",
  _xlpm.bv_isCorrect, LOWER(Athena_BV!AK20)="correct",
  _xlpm.ma_isCorrect, LOWER(Athena_MA!AK20)="correct",
  _xlpm.mi_isCorrect, LOWER(Athena_MI!AK20)="correct",
  _xlpm.bv_column, IF(_xlpm.program_isNT, Athena_BV!AN20, IF(_xlpm.program_isT, Athena_BV!AL20, "")),
  _xlpm.ma_column, IF(_xlpm.program_isNT, Athena_MA!AN20, IF(_xlpm.program_isT, Athena_MA!AL20, "")),
  _xlpm.mi_column, IF(_xlpm.program_isNT, Athena_MI!AN20, IF(_xlpm.program_isT, Athena_MI!AL20,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Athena_BV!AJ20:AT20,
    Athena_MA!AJ20:AT20,
    Athena_MI!AJ20:AT20
  )
)</f>
        <v>(FSE_Bitvector_Mode_Incorrect_Control_Statement_1_T_Loop18_TestCase9, MAYBE, 1678)
(FSE_Bitvector_Mode_Incorrect_Control_Statement_1_T_Loop18_TestCase8, MAYBE, 1643)
(FSE_Bitvector_Mode_Incorrect_Control_Statement_1_T_Loop14_TestCase2, YES, 1769)
(FSE_Bitvector_Mode_Incorrect_Control_Statement_1_T_Loop14_TestCase3, ERROR, 1787)
(FSE_Bitvector_Mode_Incorrect_Control_Statement_1_T_Loop14_TestCase1, ERROR, 1684)
(FSE_Bitvector_Mode_Incorrect_Control_Statement_1_T_Loop14_TestCase4, ERROR, 1674)
(FSE_Bitvector_Mode_Incorrect_Control_Statement_1_T_Loop14_TestCase5, ERROR, 1617)
(FSE_Bitvector_Mode_Incorrect_Control_Statement_1_T_Loop14_TestCase7, ERROR, 1645)
(FSE_Bitvector_Mode_Incorrect_Control_Statement_1_T_Loop14_TestCase6, ERROR, 1655)
(FSE_Bitvector_Mode_Incorrect_Control_Statement_1_T_Loop14_TestCase8, YES, 1914)
(FSE_Bitvector_Mode_Incorrect_Control_Statement_1_T_Loop14_TestCase9, YES, 1723)
(FSE_Bitvector_Mode_Incorrect_Control_Statement_1_T_Loop14_TestCase10, ERROR, 1659)
(FSE_Bitvector_Mode_Incorrect_Control_Statement_1_T_Loop18_TestCase5, MAYBE, 1669)
(FSE_Bitvector_Mode_Incorrect_Control_Statement_1_T_Loop18_TestCase4, MAYBE, 1668)
(FSE_Bitvector_Mode_Incorrect_Control_Statement_1_T_Loop18_TestCase6, MAYBE, 1660)
(FSE_Bitvector_Mode_Incorrect_Control_Statement_1_T_Loop18_TestCase7, MAYBE, 1644)
(FSE_Bitvector_Mode_Incorrect_Control_Statement_1_T_Loop18_TestCase3, MAYBE, 1672)
(FSE_Bitvector_Mode_Incorrect_Control_Statement_1_T_Loop18_TestCase2, MAYBE, 1645)
(FSE_Bitvector_Mode_Incorrect_Control_Statement_1_T_Loop18_TestCase10, MAYBE, 1643)
(FSE_Bitvector_Mode_Incorrect_Control_Statement_1_T_Loop18_TestCase1, MAYBE, 1645)</v>
      </c>
      <c r="AK20" s="142" t="str">
        <v>correct</v>
      </c>
      <c r="AL20" s="80">
        <v>0.15</v>
      </c>
      <c r="AM20" s="1" t="str">
        <v>3/20</v>
      </c>
      <c r="AN20" s="80" t="str">
        <v/>
      </c>
      <c r="AO20" s="1" t="str">
        <v/>
      </c>
      <c r="AP20" s="143">
        <v>0.15</v>
      </c>
      <c r="AQ20" s="1" t="str">
        <v>3/20</v>
      </c>
      <c r="AR20" s="142">
        <v>5406</v>
      </c>
      <c r="AS20" s="150">
        <v>1802</v>
      </c>
      <c r="AT20" s="142">
        <v>1769</v>
      </c>
      <c r="AU20" s="4" t="s">
        <v>99</v>
      </c>
    </row>
    <row r="21" spans="1:47" x14ac:dyDescent="0.2">
      <c r="A21" s="174"/>
      <c r="B21" s="9" t="s">
        <v>20</v>
      </c>
      <c r="C21" s="14" t="str" cm="1">
        <f t="array" ref="C21:M21">_xlfn.LET(
  _xlpm.program_isNT, RIGHT(Athena_BV!B21,5)="_NT.c",
  _xlpm.program_isT,  RIGHT(Athena_BV!B21,4)="_T.c",
  _xlpm.bv_isCorrect, LOWER(Athena_BV!D21)="correct",
  _xlpm.ma_isCorrect, LOWER(Athena_MA!D21)="correct",
  _xlpm.mi_isCorrect, LOWER(Athena_MI!D21)="correct",
  _xlpm.bv_column, IF(_xlpm.program_isNT, Athena_BV!G21, IF(_xlpm.program_isT, Athena_BV!E21, "")),
  _xlpm.ma_column, IF(_xlpm.program_isNT, Athena_MA!G21, IF(_xlpm.program_isT, Athena_MA!E21, "")),
  _xlpm.mi_column, IF(_xlpm.program_isNT, Athena_MI!G21, IF(_xlpm.program_isT, Athena_MI!E21,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Athena_BV!C21:M21,
    Athena_MA!C21:M21,
    Athena_MI!C21:M21
  )
)</f>
        <v>(FSE_Bitvector_Mode_Incorrect_Control_Statement_2_NT_Loop0_TestCase0, TIMEOUT, 302085)</v>
      </c>
      <c r="D21" s="142" t="str">
        <v>correct</v>
      </c>
      <c r="E21" s="80">
        <v>0</v>
      </c>
      <c r="F21" s="1" t="str">
        <v>0/0</v>
      </c>
      <c r="G21" s="80">
        <v>0</v>
      </c>
      <c r="H21" s="1" t="str">
        <v>0/1</v>
      </c>
      <c r="I21" s="143">
        <v>0</v>
      </c>
      <c r="J21" s="1" t="str">
        <v>0/1</v>
      </c>
      <c r="K21" s="142">
        <v>0</v>
      </c>
      <c r="L21" s="1">
        <v>0</v>
      </c>
      <c r="M21" s="140">
        <v>0</v>
      </c>
      <c r="N21" s="14" t="str" cm="1">
        <f t="array" ref="N21:X21">_xlfn.LET(
  _xlpm.program_isNT, RIGHT(Athena_BV!B21,5)="_NT.c",
  _xlpm.program_isT,  RIGHT(Athena_BV!B21,4)="_T.c",
  _xlpm.bv_isCorrect, LOWER(Athena_BV!O21)="correct",
  _xlpm.ma_isCorrect, LOWER(Athena_MA!O21)="correct",
  _xlpm.mi_isCorrect, LOWER(Athena_MI!O21)="correct",
  _xlpm.bv_column, IF(_xlpm.program_isNT, Athena_BV!R21, IF(_xlpm.program_isT, Athena_BV!P21, "")),
  _xlpm.ma_column, IF(_xlpm.program_isNT, Athena_MA!R21, IF(_xlpm.program_isT, Athena_MA!P21, "")),
  _xlpm.mi_column, IF(_xlpm.program_isNT, Athena_MI!R21, IF(_xlpm.program_isT, Athena_MI!P21,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Athena_BV!N21:X21,
    Athena_MA!N21:X21,
    Athena_MI!N21:X21
  )
)</f>
        <v>(FSE_Bitvector_Mode_Incorrect_Control_Statement_2_NT_Loop23_TestCase0, TIMEOUT, 301752)
(FSE_Bitvector_Mode_Incorrect_Control_Statement_2_NT_Loop17_TestCase0, YES, 1770)</v>
      </c>
      <c r="O21" s="142" t="str">
        <v>correct</v>
      </c>
      <c r="P21" s="80">
        <v>1</v>
      </c>
      <c r="Q21" s="1" t="str">
        <v>1/1</v>
      </c>
      <c r="R21" s="80">
        <v>0</v>
      </c>
      <c r="S21" s="149" t="str">
        <v>0/1</v>
      </c>
      <c r="T21" s="80">
        <v>0.5</v>
      </c>
      <c r="U21" s="1" t="str">
        <v>1/2</v>
      </c>
      <c r="V21" s="142">
        <v>1770</v>
      </c>
      <c r="W21" s="150">
        <v>1770</v>
      </c>
      <c r="X21" s="142">
        <v>1770</v>
      </c>
      <c r="Y21" s="14" t="str" cm="1">
        <f t="array" ref="Y21:AI21">_xlfn.LET(
  _xlpm.program_isNT, RIGHT(Athena_BV!B21,5)="_NT.c",
  _xlpm.program_isT,  RIGHT(Athena_BV!B21,4)="_T.c",
  _xlpm.bv_isCorrect, LOWER(Athena_BV!Z21)="correct",
  _xlpm.ma_isCorrect, LOWER(Athena_MA!Z21)="correct",
  _xlpm.mi_isCorrect, LOWER(Athena_MI!Z21)="correct",
  _xlpm.bv_column, IF(_xlpm.program_isNT, Athena_BV!AC21, IF(_xlpm.program_isT, Athena_BV!AA21, "")),
  _xlpm.ma_column, IF(_xlpm.program_isNT, Athena_MA!AC21, IF(_xlpm.program_isT, Athena_MA!AA21, "")),
  _xlpm.mi_column, IF(_xlpm.program_isNT, Athena_MI!AC21, IF(_xlpm.program_isT, Athena_MI!AA21,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Athena_BV!Y21:AI21,
    Athena_MA!Y21:AI21,
    Athena_MI!Y21:AI21
  )
)</f>
        <v>(FSE_Bitvector_Mode_Incorrect_Control_Statement_2_NT_Loop0_TestCase7, NO, 2826)
(FSE_Bitvector_Mode_Incorrect_Control_Statement_2_NT_Loop0_TestCase6, NO, 4228)
(FSE_Bitvector_Mode_Incorrect_Control_Statement_2_NT_Loop0_TestCase4, NO, 3270)
(FSE_Bitvector_Mode_Incorrect_Control_Statement_2_NT_Loop0_TestCase10, NO, 3013)
(FSE_Bitvector_Mode_Incorrect_Control_Statement_2_NT_Loop0_TestCase5, NO, 3785)
(FSE_Bitvector_Mode_Incorrect_Control_Statement_2_NT_Loop0_TestCase1, NO, 4305)
(FSE_Bitvector_Mode_Incorrect_Control_Statement_2_NT_Loop0_TestCase2, NO, 4215)
(FSE_Bitvector_Mode_Incorrect_Control_Statement_2_NT_Loop0_TestCase3, NO, 3563)
(FSE_Bitvector_Mode_Incorrect_Control_Statement_2_NT_Loop0_TestCase8, NO, 4156)
(FSE_Bitvector_Mode_Incorrect_Control_Statement_2_NT_Loop0_TestCase9, NO, 2919)</v>
      </c>
      <c r="Z21" s="142" t="str">
        <v>correct</v>
      </c>
      <c r="AA21" s="80">
        <v>0</v>
      </c>
      <c r="AB21" s="1" t="str">
        <v>0/5</v>
      </c>
      <c r="AC21" s="80">
        <v>1</v>
      </c>
      <c r="AD21" s="1" t="str">
        <v>5/5</v>
      </c>
      <c r="AE21" s="143">
        <v>0.5</v>
      </c>
      <c r="AF21" s="1" t="str">
        <v>5/10</v>
      </c>
      <c r="AG21" s="142">
        <v>17142</v>
      </c>
      <c r="AH21" s="150">
        <v>3428.4</v>
      </c>
      <c r="AI21" s="142">
        <v>3013</v>
      </c>
      <c r="AJ21" s="14" t="str" cm="1">
        <f t="array" ref="AJ21:AT21">_xlfn.LET(
  _xlpm.program_isNT, RIGHT(Athena_BV!B21,5)="_NT.c",
  _xlpm.program_isT,  RIGHT(Athena_BV!B21,4)="_T.c",
  _xlpm.bv_isCorrect, LOWER(Athena_BV!AK21)="correct",
  _xlpm.ma_isCorrect, LOWER(Athena_MA!AK21)="correct",
  _xlpm.mi_isCorrect, LOWER(Athena_MI!AK21)="correct",
  _xlpm.bv_column, IF(_xlpm.program_isNT, Athena_BV!AN21, IF(_xlpm.program_isT, Athena_BV!AL21, "")),
  _xlpm.ma_column, IF(_xlpm.program_isNT, Athena_MA!AN21, IF(_xlpm.program_isT, Athena_MA!AL21, "")),
  _xlpm.mi_column, IF(_xlpm.program_isNT, Athena_MI!AN21, IF(_xlpm.program_isT, Athena_MI!AL21,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Athena_BV!AJ21:AT21,
    Athena_MA!AJ21:AT21,
    Athena_MI!AJ21:AT21
  )
)</f>
        <v>(FSE_Bitvector_Mode_Incorrect_Control_Statement_2_NT_Loop17_TestCase9, YES, 1749)
(FSE_Bitvector_Mode_Incorrect_Control_Statement_2_NT_Loop17_TestCase8, YES, 1745)
(FSE_Bitvector_Mode_Incorrect_Control_Statement_2_NT_Loop23_TestCase9, NO, 4385)
(FSE_Bitvector_Mode_Incorrect_Control_Statement_2_NT_Loop23_TestCase8, NO, 2984)
(FSE_Bitvector_Mode_Incorrect_Control_Statement_2_NT_Loop23_TestCase10, NO, 3535)
(FSE_Bitvector_Mode_Incorrect_Control_Statement_2_NT_Loop23_TestCase1, NO, 4481)
(FSE_Bitvector_Mode_Incorrect_Control_Statement_2_NT_Loop23_TestCase3, NO, 4150)
(FSE_Bitvector_Mode_Incorrect_Control_Statement_2_NT_Loop23_TestCase2, NO, 2886)
(FSE_Bitvector_Mode_Incorrect_Control_Statement_2_NT_Loop23_TestCase6, NO, 3186)
(FSE_Bitvector_Mode_Incorrect_Control_Statement_2_NT_Loop17_TestCase10, YES, 1751)
(FSE_Bitvector_Mode_Incorrect_Control_Statement_2_NT_Loop23_TestCase7, NO, 4314)
(FSE_Bitvector_Mode_Incorrect_Control_Statement_2_NT_Loop23_TestCase5, NO, 4332)
(FSE_Bitvector_Mode_Incorrect_Control_Statement_2_NT_Loop23_TestCase4, NO, 4183)
(FSE_Bitvector_Mode_Incorrect_Control_Statement_2_NT_Loop17_TestCase1, YES, 1713)
(FSE_Bitvector_Mode_Incorrect_Control_Statement_2_NT_Loop17_TestCase3, YES, 1742)
(FSE_Bitvector_Mode_Incorrect_Control_Statement_2_NT_Loop17_TestCase2, YES, 1697)
(FSE_Bitvector_Mode_Incorrect_Control_Statement_2_NT_Loop17_TestCase6, YES, 1745)
(FSE_Bitvector_Mode_Incorrect_Control_Statement_2_NT_Loop17_TestCase7, YES, 1752)
(FSE_Bitvector_Mode_Incorrect_Control_Statement_2_NT_Loop17_TestCase5, YES, 1757)
(FSE_Bitvector_Mode_Incorrect_Control_Statement_2_NT_Loop17_TestCase4, YES, 1730)</v>
      </c>
      <c r="AK21" s="142" t="str">
        <v>correct</v>
      </c>
      <c r="AL21" s="80">
        <v>0.66669999999999996</v>
      </c>
      <c r="AM21" s="1" t="str">
        <v>10/15</v>
      </c>
      <c r="AN21" s="80">
        <v>1</v>
      </c>
      <c r="AO21" s="1" t="str">
        <v>5/5</v>
      </c>
      <c r="AP21" s="143">
        <v>0.75</v>
      </c>
      <c r="AQ21" s="1" t="str">
        <v>15/20</v>
      </c>
      <c r="AR21" s="142">
        <v>35785</v>
      </c>
      <c r="AS21" s="150">
        <v>2385.67</v>
      </c>
      <c r="AT21" s="142">
        <v>1751</v>
      </c>
      <c r="AU21" s="4" t="s">
        <v>93</v>
      </c>
    </row>
    <row r="22" spans="1:47" x14ac:dyDescent="0.2">
      <c r="A22" s="174"/>
      <c r="B22" s="9" t="s">
        <v>21</v>
      </c>
      <c r="C22" s="14" t="str" cm="1">
        <f t="array" ref="C22:M22">_xlfn.LET(
  _xlpm.program_isNT, RIGHT(Athena_BV!B22,5)="_NT.c",
  _xlpm.program_isT,  RIGHT(Athena_BV!B22,4)="_T.c",
  _xlpm.bv_isCorrect, LOWER(Athena_BV!D22)="correct",
  _xlpm.ma_isCorrect, LOWER(Athena_MA!D22)="correct",
  _xlpm.mi_isCorrect, LOWER(Athena_MI!D22)="correct",
  _xlpm.bv_column, IF(_xlpm.program_isNT, Athena_BV!G22, IF(_xlpm.program_isT, Athena_BV!E22, "")),
  _xlpm.ma_column, IF(_xlpm.program_isNT, Athena_MA!G22, IF(_xlpm.program_isT, Athena_MA!E22, "")),
  _xlpm.mi_column, IF(_xlpm.program_isNT, Athena_MI!G22, IF(_xlpm.program_isT, Athena_MI!E22,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Athena_BV!C22:M22,
    Athena_MA!C22:M22,
    Athena_MI!C22:M22
  )
)</f>
        <v>(FSE_Bitvector_Mode_Incorrect_Control_Statement_2_T_Loop0_TestCase0, YES, 2274)</v>
      </c>
      <c r="D22" s="142" t="str">
        <v>correct</v>
      </c>
      <c r="E22" s="80">
        <v>1</v>
      </c>
      <c r="F22" s="1" t="str">
        <v>1/1</v>
      </c>
      <c r="G22" s="80" t="str">
        <v/>
      </c>
      <c r="H22" s="1" t="str">
        <v/>
      </c>
      <c r="I22" s="143">
        <v>1</v>
      </c>
      <c r="J22" s="1" t="str">
        <v>1/1</v>
      </c>
      <c r="K22" s="142">
        <v>2274</v>
      </c>
      <c r="L22" s="1">
        <v>2274</v>
      </c>
      <c r="M22" s="140">
        <v>2274</v>
      </c>
      <c r="N22" s="14" t="str" cm="1">
        <f t="array" ref="N22:X22">_xlfn.LET(
  _xlpm.program_isNT, RIGHT(Athena_BV!B22,5)="_NT.c",
  _xlpm.program_isT,  RIGHT(Athena_BV!B22,4)="_T.c",
  _xlpm.bv_isCorrect, LOWER(Athena_BV!O22)="correct",
  _xlpm.ma_isCorrect, LOWER(Athena_MA!O22)="correct",
  _xlpm.mi_isCorrect, LOWER(Athena_MI!O22)="correct",
  _xlpm.bv_column, IF(_xlpm.program_isNT, Athena_BV!R22, IF(_xlpm.program_isT, Athena_BV!P22, "")),
  _xlpm.ma_column, IF(_xlpm.program_isNT, Athena_MA!R22, IF(_xlpm.program_isT, Athena_MA!P22, "")),
  _xlpm.mi_column, IF(_xlpm.program_isNT, Athena_MI!R22, IF(_xlpm.program_isT, Athena_MI!P22,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Athena_BV!N22:X22,
    Athena_MA!N22:X22,
    Athena_MI!N22:X22
  )
)</f>
        <v>(FSE_Bitvector_Mode_Incorrect_Control_Statement_2_T_Loop23_TestCase0, YES, 2415)
(FSE_Bitvector_Mode_Incorrect_Control_Statement_2_T_Loop17_TestCase0, YES, 1827)</v>
      </c>
      <c r="O22" s="142" t="str">
        <v>correct</v>
      </c>
      <c r="P22" s="80">
        <v>1</v>
      </c>
      <c r="Q22" s="1" t="str">
        <v>2/2</v>
      </c>
      <c r="R22" s="80" t="str">
        <v/>
      </c>
      <c r="S22" s="149" t="str">
        <v/>
      </c>
      <c r="T22" s="80">
        <v>1</v>
      </c>
      <c r="U22" s="1" t="str">
        <v>2/2</v>
      </c>
      <c r="V22" s="142">
        <v>4242</v>
      </c>
      <c r="W22" s="150">
        <v>2121</v>
      </c>
      <c r="X22" s="142">
        <v>2121</v>
      </c>
      <c r="Y22" s="14" t="str" cm="1">
        <f t="array" ref="Y22:AI22">_xlfn.LET(
  _xlpm.program_isNT, RIGHT(Athena_BV!B22,5)="_NT.c",
  _xlpm.program_isT,  RIGHT(Athena_BV!B22,4)="_T.c",
  _xlpm.bv_isCorrect, LOWER(Athena_BV!Z22)="correct",
  _xlpm.ma_isCorrect, LOWER(Athena_MA!Z22)="correct",
  _xlpm.mi_isCorrect, LOWER(Athena_MI!Z22)="correct",
  _xlpm.bv_column, IF(_xlpm.program_isNT, Athena_BV!AC22, IF(_xlpm.program_isT, Athena_BV!AA22, "")),
  _xlpm.ma_column, IF(_xlpm.program_isNT, Athena_MA!AC22, IF(_xlpm.program_isT, Athena_MA!AA22, "")),
  _xlpm.mi_column, IF(_xlpm.program_isNT, Athena_MI!AC22, IF(_xlpm.program_isT, Athena_MI!AA22,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Athena_BV!Y22:AI22,
    Athena_MA!Y22:AI22,
    Athena_MI!Y22:AI22
  )
)</f>
        <v>(FSE_Bitvector_Mode_Incorrect_Control_Statement_2_T_Loop0_TestCase3, YES, 2191)
(FSE_Bitvector_Mode_Incorrect_Control_Statement_2_T_Loop0_TestCase2, YES, 2063)
(FSE_Bitvector_Mode_Incorrect_Control_Statement_2_T_Loop0_TestCase1, YES, 2103)
(FSE_Bitvector_Mode_Incorrect_Control_Statement_2_T_Loop0_TestCase5, YES, 2122)
(FSE_Bitvector_Mode_Incorrect_Control_Statement_2_T_Loop0_TestCase4, YES, 2025)
(FSE_Bitvector_Mode_Incorrect_Control_Statement_2_T_Loop0_TestCase6, YES, 1973)
(FSE_Bitvector_Mode_Incorrect_Control_Statement_2_T_Loop0_TestCase7, YES, 2066)
(FSE_Bitvector_Mode_Incorrect_Control_Statement_2_T_Loop0_TestCase9, YES, 2069)
(FSE_Bitvector_Mode_Incorrect_Control_Statement_2_T_Loop0_TestCase8, YES, 1930)
(FSE_Bitvector_Mode_Incorrect_Control_Statement_2_T_Loop0_TestCase10, YES, 1967)</v>
      </c>
      <c r="Z22" s="142" t="str">
        <v>correct</v>
      </c>
      <c r="AA22" s="80">
        <v>1</v>
      </c>
      <c r="AB22" s="1" t="str">
        <v>10/10</v>
      </c>
      <c r="AC22" s="80" t="str">
        <v/>
      </c>
      <c r="AD22" s="1" t="str">
        <v/>
      </c>
      <c r="AE22" s="143">
        <v>1</v>
      </c>
      <c r="AF22" s="1" t="str">
        <v>10/10</v>
      </c>
      <c r="AG22" s="142">
        <v>20509</v>
      </c>
      <c r="AH22" s="150">
        <v>2050.9</v>
      </c>
      <c r="AI22" s="142">
        <v>2064.5</v>
      </c>
      <c r="AJ22" s="14" t="str" cm="1">
        <f t="array" ref="AJ22:AT22">_xlfn.LET(
  _xlpm.program_isNT, RIGHT(Athena_BV!B22,5)="_NT.c",
  _xlpm.program_isT,  RIGHT(Athena_BV!B22,4)="_T.c",
  _xlpm.bv_isCorrect, LOWER(Athena_BV!AK22)="correct",
  _xlpm.ma_isCorrect, LOWER(Athena_MA!AK22)="correct",
  _xlpm.mi_isCorrect, LOWER(Athena_MI!AK22)="correct",
  _xlpm.bv_column, IF(_xlpm.program_isNT, Athena_BV!AN22, IF(_xlpm.program_isT, Athena_BV!AL22, "")),
  _xlpm.ma_column, IF(_xlpm.program_isNT, Athena_MA!AN22, IF(_xlpm.program_isT, Athena_MA!AL22, "")),
  _xlpm.mi_column, IF(_xlpm.program_isNT, Athena_MI!AN22, IF(_xlpm.program_isT, Athena_MI!AL22,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Athena_BV!AJ22:AT22,
    Athena_MA!AJ22:AT22,
    Athena_MI!AJ22:AT22
  )
)</f>
        <v>(FSE_Bitvector_Mode_Incorrect_Control_Statement_2_T_Loop23_TestCase2, YES, 2418)
(FSE_Bitvector_Mode_Incorrect_Control_Statement_2_T_Loop23_TestCase3, YES, 2080)
(FSE_Bitvector_Mode_Incorrect_Control_Statement_2_T_Loop23_TestCase1, YES, 2206)
(FSE_Bitvector_Mode_Incorrect_Control_Statement_2_T_Loop23_TestCase4, YES, 2074)
(FSE_Bitvector_Mode_Incorrect_Control_Statement_2_T_Loop23_TestCase5, YES, 2234)
(FSE_Bitvector_Mode_Incorrect_Control_Statement_2_T_Loop23_TestCase7, YES, 2114)
(FSE_Bitvector_Mode_Incorrect_Control_Statement_2_T_Loop23_TestCase6, YES, 2087)
(FSE_Bitvector_Mode_Incorrect_Control_Statement_2_T_Loop17_TestCase2, YES, 1726)
(FSE_Bitvector_Mode_Incorrect_Control_Statement_2_T_Loop17_TestCase3, YES, 1752)
(FSE_Bitvector_Mode_Incorrect_Control_Statement_2_T_Loop17_TestCase1, YES, 1740)
(FSE_Bitvector_Mode_Incorrect_Control_Statement_2_T_Loop17_TestCase4, YES, 1756)
(FSE_Bitvector_Mode_Incorrect_Control_Statement_2_T_Loop23_TestCase10, YES, 1999)
(FSE_Bitvector_Mode_Incorrect_Control_Statement_2_T_Loop17_TestCase5, YES, 1762)
(FSE_Bitvector_Mode_Incorrect_Control_Statement_2_T_Loop17_TestCase7, YES, 1712)
(FSE_Bitvector_Mode_Incorrect_Control_Statement_2_T_Loop17_TestCase6, YES, 1773)
(FSE_Bitvector_Mode_Incorrect_Control_Statement_2_T_Loop17_TestCase8, YES, 1718)
(FSE_Bitvector_Mode_Incorrect_Control_Statement_2_T_Loop17_TestCase10, YES, 1754)
(FSE_Bitvector_Mode_Incorrect_Control_Statement_2_T_Loop17_TestCase9, YES, 1764)
(FSE_Bitvector_Mode_Incorrect_Control_Statement_2_T_Loop23_TestCase8, YES, 2091)
(FSE_Bitvector_Mode_Incorrect_Control_Statement_2_T_Loop23_TestCase9, YES, 2135)</v>
      </c>
      <c r="AK22" s="142" t="str">
        <v>correct</v>
      </c>
      <c r="AL22" s="80">
        <v>1</v>
      </c>
      <c r="AM22" s="1" t="str">
        <v>20/20</v>
      </c>
      <c r="AN22" s="80" t="str">
        <v/>
      </c>
      <c r="AO22" s="1" t="str">
        <v/>
      </c>
      <c r="AP22" s="143">
        <v>1</v>
      </c>
      <c r="AQ22" s="1" t="str">
        <v>20/20</v>
      </c>
      <c r="AR22" s="142">
        <v>38895</v>
      </c>
      <c r="AS22" s="150">
        <v>1944.75</v>
      </c>
      <c r="AT22" s="142">
        <v>1886</v>
      </c>
      <c r="AU22" s="4" t="s">
        <v>93</v>
      </c>
    </row>
    <row r="23" spans="1:47" x14ac:dyDescent="0.2">
      <c r="A23" s="174"/>
      <c r="B23" s="9" t="s">
        <v>26</v>
      </c>
      <c r="C23" s="14" t="str" cm="1">
        <f t="array" ref="C23:M23">_xlfn.LET(
  _xlpm.program_isNT, RIGHT(Athena_BV!B23,5)="_NT.c",
  _xlpm.program_isT,  RIGHT(Athena_BV!B23,4)="_T.c",
  _xlpm.bv_isCorrect, LOWER(Athena_BV!D23)="correct",
  _xlpm.ma_isCorrect, LOWER(Athena_MA!D23)="correct",
  _xlpm.mi_isCorrect, LOWER(Athena_MI!D23)="correct",
  _xlpm.bv_column, IF(_xlpm.program_isNT, Athena_BV!G23, IF(_xlpm.program_isT, Athena_BV!E23, "")),
  _xlpm.ma_column, IF(_xlpm.program_isNT, Athena_MA!G23, IF(_xlpm.program_isT, Athena_MA!E23, "")),
  _xlpm.mi_column, IF(_xlpm.program_isNT, Athena_MI!G23, IF(_xlpm.program_isT, Athena_MI!E23,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Athena_BV!C23:M23,
    Athena_MA!C23:M23,
    Athena_MI!C23:M23
  )
)</f>
        <v>(FSE_Bitvector_Mode_Incorrect_Initialization_1_NT_Loop0_TestCase0, NO, 132055)</v>
      </c>
      <c r="D23" s="142" t="str">
        <v>correct</v>
      </c>
      <c r="E23" s="80">
        <v>0</v>
      </c>
      <c r="F23" s="1" t="str">
        <v>0/0</v>
      </c>
      <c r="G23" s="80">
        <v>1</v>
      </c>
      <c r="H23" s="1" t="str">
        <v>1/1</v>
      </c>
      <c r="I23" s="143">
        <v>1</v>
      </c>
      <c r="J23" s="1" t="str">
        <v>1/1</v>
      </c>
      <c r="K23" s="142">
        <v>132055</v>
      </c>
      <c r="L23" s="1">
        <v>132055</v>
      </c>
      <c r="M23" s="140">
        <v>132055</v>
      </c>
      <c r="N23" s="14" t="str" cm="1">
        <f t="array" ref="N23:X23">_xlfn.LET(
  _xlpm.program_isNT, RIGHT(Athena_BV!B23,5)="_NT.c",
  _xlpm.program_isT,  RIGHT(Athena_BV!B23,4)="_T.c",
  _xlpm.bv_isCorrect, LOWER(Athena_BV!O23)="correct",
  _xlpm.ma_isCorrect, LOWER(Athena_MA!O23)="correct",
  _xlpm.mi_isCorrect, LOWER(Athena_MI!O23)="correct",
  _xlpm.bv_column, IF(_xlpm.program_isNT, Athena_BV!R23, IF(_xlpm.program_isT, Athena_BV!P23, "")),
  _xlpm.ma_column, IF(_xlpm.program_isNT, Athena_MA!R23, IF(_xlpm.program_isT, Athena_MA!P23, "")),
  _xlpm.mi_column, IF(_xlpm.program_isNT, Athena_MI!R23, IF(_xlpm.program_isT, Athena_MI!P23,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Athena_BV!N23:X23,
    Athena_MA!N23:X23,
    Athena_MI!N23:X23
  )
)</f>
        <v>(FSE_Bitvector_Mode_Incorrect_Initialization_1_NT_Loop19_TestCase0, NO, 298158)
(FSE_Bitvector_Mode_Incorrect_Initialization_1_NT_Loop16_TestCase0, TIMEOUT, 302299)
(FSE_Bitvector_Mode_Incorrect_Initialization_1_NT_Loop32_TestCase0, YES, 1767)
(FSE_Bitvector_Mode_Incorrect_Initialization_1_NT_Loop36_TestCase0, TIMEOUT, 302357)</v>
      </c>
      <c r="O23" s="142" t="str">
        <v>correct</v>
      </c>
      <c r="P23" s="80">
        <v>1</v>
      </c>
      <c r="Q23" s="1" t="str">
        <v>1/1</v>
      </c>
      <c r="R23" s="80">
        <v>0.33329999999999999</v>
      </c>
      <c r="S23" s="149" t="str">
        <v>1/3</v>
      </c>
      <c r="T23" s="80">
        <v>0.5</v>
      </c>
      <c r="U23" s="1" t="str">
        <v>2/4</v>
      </c>
      <c r="V23" s="142">
        <v>299925</v>
      </c>
      <c r="W23" s="150">
        <v>149962.5</v>
      </c>
      <c r="X23" s="142">
        <v>149962.5</v>
      </c>
      <c r="Y23" s="14" t="str" cm="1">
        <f t="array" ref="Y23:AI23">_xlfn.LET(
  _xlpm.program_isNT, RIGHT(Athena_BV!B23,5)="_NT.c",
  _xlpm.program_isT,  RIGHT(Athena_BV!B23,4)="_T.c",
  _xlpm.bv_isCorrect, LOWER(Athena_BV!Z23)="correct",
  _xlpm.ma_isCorrect, LOWER(Athena_MA!Z23)="correct",
  _xlpm.mi_isCorrect, LOWER(Athena_MI!Z23)="correct",
  _xlpm.bv_column, IF(_xlpm.program_isNT, Athena_BV!AC23, IF(_xlpm.program_isT, Athena_BV!AA23, "")),
  _xlpm.ma_column, IF(_xlpm.program_isNT, Athena_MA!AC23, IF(_xlpm.program_isT, Athena_MA!AA23, "")),
  _xlpm.mi_column, IF(_xlpm.program_isNT, Athena_MI!AC23, IF(_xlpm.program_isT, Athena_MI!AA23,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Athena_BV!Y23:AI23,
    Athena_MA!Y23:AI23,
    Athena_MI!Y23:AI23
  )
)</f>
        <v>(FSE_Bitvector_Mode_Incorrect_Initialization_1_NT_Loop0_TestCase6, MAYBE, 1362)
(FSE_Bitvector_Mode_Incorrect_Initialization_1_NT_Loop0_TestCase7, MAYBE, 1341)
(FSE_Bitvector_Mode_Incorrect_Initialization_1_NT_Loop0_TestCase5, MAYBE, 1373)
(FSE_Bitvector_Mode_Incorrect_Initialization_1_NT_Loop0_TestCase4, MAYBE, 1351)
(FSE_Bitvector_Mode_Incorrect_Initialization_1_NT_Loop0_TestCase1, MAYBE, 1372)
(FSE_Bitvector_Mode_Incorrect_Initialization_1_NT_Loop0_TestCase3, MAYBE, 1337)
(FSE_Bitvector_Mode_Incorrect_Initialization_1_NT_Loop0_TestCase2, MAYBE, 1370)
(FSE_Bitvector_Mode_Incorrect_Initialization_1_NT_Loop0_TestCase10, MAYBE, 1346)
(FSE_Bitvector_Mode_Incorrect_Initialization_1_NT_Loop0_TestCase9, MAYBE, 1361)
(FSE_Bitvector_Mode_Incorrect_Initialization_1_NT_Loop0_TestCase8, MAYBE, 1334)</v>
      </c>
      <c r="Z23" s="142" t="str">
        <v>correct</v>
      </c>
      <c r="AA23" s="80">
        <v>0</v>
      </c>
      <c r="AB23" s="1" t="str">
        <v>0/1</v>
      </c>
      <c r="AC23" s="80">
        <v>0</v>
      </c>
      <c r="AD23" s="1" t="str">
        <v>0/9</v>
      </c>
      <c r="AE23" s="143">
        <v>0</v>
      </c>
      <c r="AF23" s="1" t="str">
        <v>0/10</v>
      </c>
      <c r="AG23" s="142">
        <v>0</v>
      </c>
      <c r="AH23" s="150">
        <v>0</v>
      </c>
      <c r="AI23" s="142">
        <v>0</v>
      </c>
      <c r="AJ23" s="14" t="str" cm="1">
        <f t="array" ref="AJ23:AT23">_xlfn.LET(
  _xlpm.program_isNT, RIGHT(Athena_BV!B23,5)="_NT.c",
  _xlpm.program_isT,  RIGHT(Athena_BV!B23,4)="_T.c",
  _xlpm.bv_isCorrect, LOWER(Athena_BV!AK23)="correct",
  _xlpm.ma_isCorrect, LOWER(Athena_MA!AK23)="correct",
  _xlpm.mi_isCorrect, LOWER(Athena_MI!AK23)="correct",
  _xlpm.bv_column, IF(_xlpm.program_isNT, Athena_BV!AN23, IF(_xlpm.program_isT, Athena_BV!AL23, "")),
  _xlpm.ma_column, IF(_xlpm.program_isNT, Athena_MA!AN23, IF(_xlpm.program_isT, Athena_MA!AL23, "")),
  _xlpm.mi_column, IF(_xlpm.program_isNT, Athena_MI!AN23, IF(_xlpm.program_isT, Athena_MI!AL23,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Athena_BV!AJ23:AT23,
    Athena_MA!AJ23:AT23,
    Athena_MI!AJ23:AT23
  )
)</f>
        <v>(FSE_Bitvector_Mode_Incorrect_Initialization_1_NT_Loop19_TestCase5, MAYBE, 1397)
(FSE_Bitvector_Mode_Incorrect_Initialization_1_NT_Loop19_TestCase4, MAYBE, 1364)
(FSE_Bitvector_Mode_Incorrect_Initialization_1_NT_Loop32_TestCase9, ERROR, 1635)
(FSE_Bitvector_Mode_Incorrect_Initialization_1_NT_Loop19_TestCase6, MAYBE, 1407)
(FSE_Bitvector_Mode_Incorrect_Initialization_1_NT_Loop36_TestCase8, MAYBE, 1374)
(FSE_Bitvector_Mode_Incorrect_Initialization_1_NT_Loop36_TestCase9, MAYBE, 1739)
(FSE_Bitvector_Mode_Incorrect_Initialization_1_NT_Loop19_TestCase7, MAYBE, 1375)
(FSE_Bitvector_Mode_Incorrect_Initialization_1_NT_Loop32_TestCase8, YES, 1754)
(FSE_Bitvector_Mode_Incorrect_Initialization_1_NT_Loop19_TestCase3, MAYBE, 1350)
(FSE_Bitvector_Mode_Incorrect_Initialization_1_NT_Loop32_TestCase10, YES, 1846)
(FSE_Bitvector_Mode_Incorrect_Initialization_1_NT_Loop19_TestCase2, MAYBE, 1387)
(FSE_Bitvector_Mode_Incorrect_Initialization_1_NT_Loop19_TestCase1, MAYBE, 1354)
(FSE_Bitvector_Mode_Incorrect_Initialization_1_NT_Loop16_TestCase8, MAYBE, 1390)
(FSE_Bitvector_Mode_Incorrect_Initialization_1_NT_Loop16_TestCase9, MAYBE, 1382)
(FSE_Bitvector_Mode_Incorrect_Initialization_1_NT_Loop36_TestCase10, MAYBE, 1372)
(FSE_Bitvector_Mode_Incorrect_Initialization_1_NT_Loop16_TestCase7, MAYBE, 1359)
(FSE_Bitvector_Mode_Incorrect_Initialization_1_NT_Loop16_TestCase6, MAYBE, 1383)
(FSE_Bitvector_Mode_Incorrect_Initialization_1_NT_Loop16_TestCase4, MAYBE, 1353)
(FSE_Bitvector_Mode_Incorrect_Initialization_1_NT_Loop16_TestCase5, MAYBE, 1416)
(FSE_Bitvector_Mode_Incorrect_Initialization_1_NT_Loop16_TestCase1, MAYBE, 1374)
(FSE_Bitvector_Mode_Incorrect_Initialization_1_NT_Loop19_TestCase10, MAYBE, 1398)
(FSE_Bitvector_Mode_Incorrect_Initialization_1_NT_Loop16_TestCase10, MAYBE, 1337)
(FSE_Bitvector_Mode_Incorrect_Initialization_1_NT_Loop16_TestCase2, MAYBE, 1393)
(FSE_Bitvector_Mode_Incorrect_Initialization_1_NT_Loop16_TestCase3, MAYBE, 1365)
(FSE_Bitvector_Mode_Incorrect_Initialization_1_NT_Loop32_TestCase3, YES, 1829)
(FSE_Bitvector_Mode_Incorrect_Initialization_1_NT_Loop36_TestCase2, MAYBE, 1380)
(FSE_Bitvector_Mode_Incorrect_Initialization_1_NT_Loop36_TestCase3, MAYBE, 1346)
(FSE_Bitvector_Mode_Incorrect_Initialization_1_NT_Loop32_TestCase2, YES, 1914)
(FSE_Bitvector_Mode_Incorrect_Initialization_1_NT_Loop36_TestCase1, MAYBE, 1358)
(FSE_Bitvector_Mode_Incorrect_Initialization_1_NT_Loop32_TestCase1, YES, 1824)
(FSE_Bitvector_Mode_Incorrect_Initialization_1_NT_Loop32_TestCase5, YES, 1826)
(FSE_Bitvector_Mode_Incorrect_Initialization_1_NT_Loop36_TestCase4, MAYBE, 1361)
(FSE_Bitvector_Mode_Incorrect_Initialization_1_NT_Loop36_TestCase5, MAYBE, 1374)
(FSE_Bitvector_Mode_Incorrect_Initialization_1_NT_Loop32_TestCase4, ERROR, 1845)
(FSE_Bitvector_Mode_Incorrect_Initialization_1_NT_Loop32_TestCase6, ERROR, 1915)
(FSE_Bitvector_Mode_Incorrect_Initialization_1_NT_Loop19_TestCase9, MAYBE, 1345)
(FSE_Bitvector_Mode_Incorrect_Initialization_1_NT_Loop36_TestCase7, MAYBE, 1387)
(FSE_Bitvector_Mode_Incorrect_Initialization_1_NT_Loop36_TestCase6, MAYBE, 1369)
(FSE_Bitvector_Mode_Incorrect_Initialization_1_NT_Loop19_TestCase8, MAYBE, 1391)
(FSE_Bitvector_Mode_Incorrect_Initialization_1_NT_Loop32_TestCase7, ERROR, 1788)</v>
      </c>
      <c r="AK23" s="142" t="str">
        <v>correct</v>
      </c>
      <c r="AL23" s="80">
        <v>0.46150000000000002</v>
      </c>
      <c r="AM23" s="1" t="str">
        <v>6/13</v>
      </c>
      <c r="AN23" s="80">
        <v>0</v>
      </c>
      <c r="AO23" s="1" t="str">
        <v>0/27</v>
      </c>
      <c r="AP23" s="143">
        <v>0.15</v>
      </c>
      <c r="AQ23" s="1" t="str">
        <v>6/40</v>
      </c>
      <c r="AR23" s="142">
        <v>10993</v>
      </c>
      <c r="AS23" s="150">
        <v>1832.17</v>
      </c>
      <c r="AT23" s="142">
        <v>1827.5</v>
      </c>
      <c r="AU23" s="4" t="s">
        <v>99</v>
      </c>
    </row>
    <row r="24" spans="1:47" x14ac:dyDescent="0.2">
      <c r="A24" s="174"/>
      <c r="B24" s="9" t="s">
        <v>27</v>
      </c>
      <c r="C24" s="14" t="str" cm="1">
        <f t="array" ref="C24:M24">_xlfn.LET(
  _xlpm.program_isNT, RIGHT(Athena_BV!B24,5)="_NT.c",
  _xlpm.program_isT,  RIGHT(Athena_BV!B24,4)="_T.c",
  _xlpm.bv_isCorrect, LOWER(Athena_BV!D24)="correct",
  _xlpm.ma_isCorrect, LOWER(Athena_MA!D24)="correct",
  _xlpm.mi_isCorrect, LOWER(Athena_MI!D24)="correct",
  _xlpm.bv_column, IF(_xlpm.program_isNT, Athena_BV!G24, IF(_xlpm.program_isT, Athena_BV!E24, "")),
  _xlpm.ma_column, IF(_xlpm.program_isNT, Athena_MA!G24, IF(_xlpm.program_isT, Athena_MA!E24, "")),
  _xlpm.mi_column, IF(_xlpm.program_isNT, Athena_MI!G24, IF(_xlpm.program_isT, Athena_MI!E24,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Athena_BV!C24:M24,
    Athena_MA!C24:M24,
    Athena_MI!C24:M24
  )
)</f>
        <v>(FSE_Bitvector_Mode_Incorrect_Initialization_1_T_Loop0_TestCase0, TIMEOUT, 302152)</v>
      </c>
      <c r="D24" s="142" t="str">
        <v>correct</v>
      </c>
      <c r="E24" s="80">
        <v>0</v>
      </c>
      <c r="F24" s="1" t="str">
        <v>0/1</v>
      </c>
      <c r="G24" s="80" t="str">
        <v/>
      </c>
      <c r="H24" s="1" t="str">
        <v/>
      </c>
      <c r="I24" s="143">
        <v>0</v>
      </c>
      <c r="J24" s="1" t="str">
        <v>0/1</v>
      </c>
      <c r="K24" s="142">
        <v>0</v>
      </c>
      <c r="L24" s="1">
        <v>0</v>
      </c>
      <c r="M24" s="140">
        <v>0</v>
      </c>
      <c r="N24" s="14" t="str" cm="1">
        <f t="array" ref="N24:X24">_xlfn.LET(
  _xlpm.program_isNT, RIGHT(Athena_BV!B24,5)="_NT.c",
  _xlpm.program_isT,  RIGHT(Athena_BV!B24,4)="_T.c",
  _xlpm.bv_isCorrect, LOWER(Athena_BV!O24)="correct",
  _xlpm.ma_isCorrect, LOWER(Athena_MA!O24)="correct",
  _xlpm.mi_isCorrect, LOWER(Athena_MI!O24)="correct",
  _xlpm.bv_column, IF(_xlpm.program_isNT, Athena_BV!R24, IF(_xlpm.program_isT, Athena_BV!P24, "")),
  _xlpm.ma_column, IF(_xlpm.program_isNT, Athena_MA!R24, IF(_xlpm.program_isT, Athena_MA!P24, "")),
  _xlpm.mi_column, IF(_xlpm.program_isNT, Athena_MI!R24, IF(_xlpm.program_isT, Athena_MI!P24,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Athena_BV!N24:X24,
    Athena_MA!N24:X24,
    Athena_MI!N24:X24
  )
)</f>
        <v>(FSE_Bitvector_Mode_Incorrect_Initialization_1_T_Loop18_TestCase0, TIMEOUT, 302287)
(FSE_Bitvector_Mode_Incorrect_Initialization_1_T_Loop31_TestCase0, YES, 2093)
(FSE_Bitvector_Mode_Incorrect_Initialization_1_T_Loop35_TestCase0, TIMEOUT, 302311)
(FSE_Bitvector_Mode_Incorrect_Initialization_1_T_Loop15_TestCase0, TIMEOUT, 302043)</v>
      </c>
      <c r="O24" s="142" t="str">
        <v>correct</v>
      </c>
      <c r="P24" s="80">
        <v>0.25</v>
      </c>
      <c r="Q24" s="1" t="str">
        <v>1/4</v>
      </c>
      <c r="R24" s="80" t="str">
        <v/>
      </c>
      <c r="S24" s="149" t="str">
        <v/>
      </c>
      <c r="T24" s="80">
        <v>0.25</v>
      </c>
      <c r="U24" s="1" t="str">
        <v>1/4</v>
      </c>
      <c r="V24" s="142">
        <v>2093</v>
      </c>
      <c r="W24" s="150">
        <v>2093</v>
      </c>
      <c r="X24" s="142">
        <v>2093</v>
      </c>
      <c r="Y24" s="14" t="str" cm="1">
        <f t="array" ref="Y24:AI24">_xlfn.LET(
  _xlpm.program_isNT, RIGHT(Athena_BV!B24,5)="_NT.c",
  _xlpm.program_isT,  RIGHT(Athena_BV!B24,4)="_T.c",
  _xlpm.bv_isCorrect, LOWER(Athena_BV!Z24)="correct",
  _xlpm.ma_isCorrect, LOWER(Athena_MA!Z24)="correct",
  _xlpm.mi_isCorrect, LOWER(Athena_MI!Z24)="correct",
  _xlpm.bv_column, IF(_xlpm.program_isNT, Athena_BV!AC24, IF(_xlpm.program_isT, Athena_BV!AA24, "")),
  _xlpm.ma_column, IF(_xlpm.program_isNT, Athena_MA!AC24, IF(_xlpm.program_isT, Athena_MA!AA24, "")),
  _xlpm.mi_column, IF(_xlpm.program_isNT, Athena_MI!AC24, IF(_xlpm.program_isT, Athena_MI!AA24,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Athena_BV!Y24:AI24,
    Athena_MA!Y24:AI24,
    Athena_MI!Y24:AI24
  )
)</f>
        <v>(FSE_Bitvector_Mode_Incorrect_Initialization_1_T_Loop0_TestCase5, MAYBE, 1361)
(FSE_Bitvector_Mode_Incorrect_Initialization_1_T_Loop0_TestCase4, MAYBE, 1337)
(FSE_Bitvector_Mode_Incorrect_Initialization_1_T_Loop0_TestCase6, MAYBE, 1380)
(FSE_Bitvector_Mode_Incorrect_Initialization_1_T_Loop0_TestCase7, MAYBE, 1365)
(FSE_Bitvector_Mode_Incorrect_Initialization_1_T_Loop0_TestCase3, MAYBE, 1353)
(FSE_Bitvector_Mode_Incorrect_Initialization_1_T_Loop0_TestCase2, MAYBE, 1379)
(FSE_Bitvector_Mode_Incorrect_Initialization_1_T_Loop0_TestCase1, MAYBE, 1362)
(FSE_Bitvector_Mode_Incorrect_Initialization_1_T_Loop0_TestCase10, MAYBE, 1364)
(FSE_Bitvector_Mode_Incorrect_Initialization_1_T_Loop0_TestCase9, MAYBE, 1341)
(FSE_Bitvector_Mode_Incorrect_Initialization_1_T_Loop0_TestCase8, MAYBE, 1379)</v>
      </c>
      <c r="Z24" s="142" t="str">
        <v>correct</v>
      </c>
      <c r="AA24" s="80">
        <v>0</v>
      </c>
      <c r="AB24" s="1" t="str">
        <v>0/10</v>
      </c>
      <c r="AC24" s="80" t="str">
        <v/>
      </c>
      <c r="AD24" s="1" t="str">
        <v/>
      </c>
      <c r="AE24" s="143">
        <v>0</v>
      </c>
      <c r="AF24" s="1" t="str">
        <v>0/10</v>
      </c>
      <c r="AG24" s="142">
        <v>0</v>
      </c>
      <c r="AH24" s="150">
        <v>0</v>
      </c>
      <c r="AI24" s="142">
        <v>0</v>
      </c>
      <c r="AJ24" s="14" t="str" cm="1">
        <f t="array" ref="AJ24:AT24">_xlfn.LET(
  _xlpm.program_isNT, RIGHT(Athena_BV!B24,5)="_NT.c",
  _xlpm.program_isT,  RIGHT(Athena_BV!B24,4)="_T.c",
  _xlpm.bv_isCorrect, LOWER(Athena_BV!AK24)="correct",
  _xlpm.ma_isCorrect, LOWER(Athena_MA!AK24)="correct",
  _xlpm.mi_isCorrect, LOWER(Athena_MI!AK24)="correct",
  _xlpm.bv_column, IF(_xlpm.program_isNT, Athena_BV!AN24, IF(_xlpm.program_isT, Athena_BV!AL24, "")),
  _xlpm.ma_column, IF(_xlpm.program_isNT, Athena_MA!AN24, IF(_xlpm.program_isT, Athena_MA!AL24, "")),
  _xlpm.mi_column, IF(_xlpm.program_isNT, Athena_MI!AN24, IF(_xlpm.program_isT, Athena_MI!AL24,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Athena_BV!AJ24:AT24,
    Athena_MA!AJ24:AT24,
    Athena_MI!AJ24:AT24
  )
)</f>
        <v>(FSE_Bitvector_Mode_Incorrect_Initialization_1_T_Loop15_TestCase8, MAYBE, 1349)
(FSE_Bitvector_Mode_Incorrect_Initialization_1_T_Loop18_TestCase10, MAYBE, 1379)
(FSE_Bitvector_Mode_Incorrect_Initialization_1_T_Loop15_TestCase9, MAYBE, 1354)
(FSE_Bitvector_Mode_Incorrect_Initialization_1_T_Loop18_TestCase8, MAYBE, 1396)
(FSE_Bitvector_Mode_Incorrect_Initialization_1_T_Loop18_TestCase9, MAYBE, 1385)
(FSE_Bitvector_Mode_Incorrect_Initialization_1_T_Loop15_TestCase10, MAYBE, 1386)
(FSE_Bitvector_Mode_Incorrect_Initialization_1_T_Loop31_TestCase9, ERROR, 1656)
(FSE_Bitvector_Mode_Incorrect_Initialization_1_T_Loop35_TestCase8, MAYBE, 1373)
(FSE_Bitvector_Mode_Incorrect_Initialization_1_T_Loop35_TestCase9, MAYBE, 1346)
(FSE_Bitvector_Mode_Incorrect_Initialization_1_T_Loop31_TestCase8, YES, 1833)
(FSE_Bitvector_Mode_Incorrect_Initialization_1_T_Loop18_TestCase1, MAYBE, 1370)
(FSE_Bitvector_Mode_Incorrect_Initialization_1_T_Loop31_TestCase5, YES, 1765)
(FSE_Bitvector_Mode_Incorrect_Initialization_1_T_Loop35_TestCase4, MAYBE, 1366)
(FSE_Bitvector_Mode_Incorrect_Initialization_1_T_Loop35_TestCase5, MAYBE, 1383)
(FSE_Bitvector_Mode_Incorrect_Initialization_1_T_Loop31_TestCase4, ERROR, 1691)
(FSE_Bitvector_Mode_Incorrect_Initialization_1_T_Loop31_TestCase6, ERROR, 1684)
(FSE_Bitvector_Mode_Incorrect_Initialization_1_T_Loop18_TestCase2, MAYBE, 1375)
(FSE_Bitvector_Mode_Incorrect_Initialization_1_T_Loop35_TestCase7, MAYBE, 1363)
(FSE_Bitvector_Mode_Incorrect_Initialization_1_T_Loop35_TestCase6, MAYBE, 1360)
(FSE_Bitvector_Mode_Incorrect_Initialization_1_T_Loop18_TestCase3, MAYBE, 1396)
(FSE_Bitvector_Mode_Incorrect_Initialization_1_T_Loop31_TestCase7, ERROR, 1694)
(FSE_Bitvector_Mode_Incorrect_Initialization_1_T_Loop31_TestCase3, YES, 1764)
(FSE_Bitvector_Mode_Incorrect_Initialization_1_T_Loop18_TestCase7, MAYBE, 1409)
(FSE_Bitvector_Mode_Incorrect_Initialization_1_T_Loop35_TestCase2, MAYBE, 1385)
(FSE_Bitvector_Mode_Incorrect_Initialization_1_T_Loop35_TestCase3, MAYBE, 1348)
(FSE_Bitvector_Mode_Incorrect_Initialization_1_T_Loop18_TestCase6, MAYBE, 1394)
(FSE_Bitvector_Mode_Incorrect_Initialization_1_T_Loop31_TestCase2, YES, 1745)
(FSE_Bitvector_Mode_Incorrect_Initialization_1_T_Loop35_TestCase10, MAYBE, 1386)
(FSE_Bitvector_Mode_Incorrect_Initialization_1_T_Loop18_TestCase4, MAYBE, 1363)
(FSE_Bitvector_Mode_Incorrect_Initialization_1_T_Loop35_TestCase1, MAYBE, 1369)
(FSE_Bitvector_Mode_Incorrect_Initialization_1_T_Loop31_TestCase1, YES, 1985)
(FSE_Bitvector_Mode_Incorrect_Initialization_1_T_Loop18_TestCase5, MAYBE, 1417)
(FSE_Bitvector_Mode_Incorrect_Initialization_1_T_Loop15_TestCase1, MAYBE, 1439)
(FSE_Bitvector_Mode_Incorrect_Initialization_1_T_Loop15_TestCase2, MAYBE, 1353)
(FSE_Bitvector_Mode_Incorrect_Initialization_1_T_Loop15_TestCase3, MAYBE, 1381)
(FSE_Bitvector_Mode_Incorrect_Initialization_1_T_Loop15_TestCase7, MAYBE, 1366)
(FSE_Bitvector_Mode_Incorrect_Initialization_1_T_Loop15_TestCase6, MAYBE, 1367)
(FSE_Bitvector_Mode_Incorrect_Initialization_1_T_Loop31_TestCase10, YES, 1789)
(FSE_Bitvector_Mode_Incorrect_Initialization_1_T_Loop15_TestCase4, MAYBE, 1351)
(FSE_Bitvector_Mode_Incorrect_Initialization_1_T_Loop15_TestCase5, MAYBE, 1503)</v>
      </c>
      <c r="AK24" s="142" t="str">
        <v>correct</v>
      </c>
      <c r="AL24" s="80">
        <v>0.15</v>
      </c>
      <c r="AM24" s="1" t="str">
        <v>6/40</v>
      </c>
      <c r="AN24" s="80" t="str">
        <v/>
      </c>
      <c r="AO24" s="1" t="str">
        <v/>
      </c>
      <c r="AP24" s="143">
        <v>0.15</v>
      </c>
      <c r="AQ24" s="1" t="str">
        <v>6/40</v>
      </c>
      <c r="AR24" s="142">
        <v>10881</v>
      </c>
      <c r="AS24" s="150">
        <v>1813.5</v>
      </c>
      <c r="AT24" s="142">
        <v>1777</v>
      </c>
      <c r="AU24" s="4" t="s">
        <v>99</v>
      </c>
    </row>
    <row r="25" spans="1:47" x14ac:dyDescent="0.2">
      <c r="A25" s="174"/>
      <c r="B25" s="9" t="s">
        <v>28</v>
      </c>
      <c r="C25" s="14" t="str" cm="1">
        <f t="array" ref="C25:M25">_xlfn.LET(
  _xlpm.program_isNT, RIGHT(Athena_BV!B25,5)="_NT.c",
  _xlpm.program_isT,  RIGHT(Athena_BV!B25,4)="_T.c",
  _xlpm.bv_isCorrect, LOWER(Athena_BV!D25)="correct",
  _xlpm.ma_isCorrect, LOWER(Athena_MA!D25)="correct",
  _xlpm.mi_isCorrect, LOWER(Athena_MI!D25)="correct",
  _xlpm.bv_column, IF(_xlpm.program_isNT, Athena_BV!G25, IF(_xlpm.program_isT, Athena_BV!E25, "")),
  _xlpm.ma_column, IF(_xlpm.program_isNT, Athena_MA!G25, IF(_xlpm.program_isT, Athena_MA!E25, "")),
  _xlpm.mi_column, IF(_xlpm.program_isNT, Athena_MI!G25, IF(_xlpm.program_isT, Athena_MI!E25,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Athena_BV!C25:M25,
    Athena_MA!C25:M25,
    Athena_MI!C25:M25
  )
)</f>
        <v>(FSE_Bitvector_Mode_Incorrect_Initialization_2_NT_Loop0_TestCase0, NO, 2552)</v>
      </c>
      <c r="D25" s="142" t="str">
        <v>correct</v>
      </c>
      <c r="E25" s="80">
        <v>0</v>
      </c>
      <c r="F25" s="1" t="str">
        <v>0/0</v>
      </c>
      <c r="G25" s="80">
        <v>1</v>
      </c>
      <c r="H25" s="1" t="str">
        <v>1/1</v>
      </c>
      <c r="I25" s="143">
        <v>1</v>
      </c>
      <c r="J25" s="1" t="str">
        <v>1/1</v>
      </c>
      <c r="K25" s="142">
        <v>2552</v>
      </c>
      <c r="L25" s="1">
        <v>2552</v>
      </c>
      <c r="M25" s="140">
        <v>2552</v>
      </c>
      <c r="N25" s="14" t="str" cm="1">
        <f t="array" ref="N25:X25">_xlfn.LET(
  _xlpm.program_isNT, RIGHT(Athena_BV!B25,5)="_NT.c",
  _xlpm.program_isT,  RIGHT(Athena_BV!B25,4)="_T.c",
  _xlpm.bv_isCorrect, LOWER(Athena_BV!O25)="correct",
  _xlpm.ma_isCorrect, LOWER(Athena_MA!O25)="correct",
  _xlpm.mi_isCorrect, LOWER(Athena_MI!O25)="correct",
  _xlpm.bv_column, IF(_xlpm.program_isNT, Athena_BV!R25, IF(_xlpm.program_isT, Athena_BV!P25, "")),
  _xlpm.ma_column, IF(_xlpm.program_isNT, Athena_MA!R25, IF(_xlpm.program_isT, Athena_MA!P25, "")),
  _xlpm.mi_column, IF(_xlpm.program_isNT, Athena_MI!R25, IF(_xlpm.program_isT, Athena_MI!P25,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Athena_BV!N25:X25,
    Athena_MA!N25:X25,
    Athena_MI!N25:X25
  )
)</f>
        <v>(FSE_Bitvector_Mode_Incorrect_Initialization_2_NT_Loop29_TestCase0, NO, 2606)
(FSE_Bitvector_Mode_Incorrect_Initialization_2_NT_Loop31_TestCase0, NO, 2326)</v>
      </c>
      <c r="O25" s="142" t="str">
        <v>correct</v>
      </c>
      <c r="P25" s="80">
        <v>0</v>
      </c>
      <c r="Q25" s="1" t="str">
        <v>0/0</v>
      </c>
      <c r="R25" s="80">
        <v>1</v>
      </c>
      <c r="S25" s="149" t="str">
        <v>2/2</v>
      </c>
      <c r="T25" s="80">
        <v>1</v>
      </c>
      <c r="U25" s="1" t="str">
        <v>2/2</v>
      </c>
      <c r="V25" s="142">
        <v>4932</v>
      </c>
      <c r="W25" s="150">
        <v>2466</v>
      </c>
      <c r="X25" s="142">
        <v>2466</v>
      </c>
      <c r="Y25" s="14" t="str" cm="1">
        <f t="array" ref="Y25:AI25">_xlfn.LET(
  _xlpm.program_isNT, RIGHT(Athena_BV!B25,5)="_NT.c",
  _xlpm.program_isT,  RIGHT(Athena_BV!B25,4)="_T.c",
  _xlpm.bv_isCorrect, LOWER(Athena_BV!Z25)="correct",
  _xlpm.ma_isCorrect, LOWER(Athena_MA!Z25)="correct",
  _xlpm.mi_isCorrect, LOWER(Athena_MI!Z25)="correct",
  _xlpm.bv_column, IF(_xlpm.program_isNT, Athena_BV!AC25, IF(_xlpm.program_isT, Athena_BV!AA25, "")),
  _xlpm.ma_column, IF(_xlpm.program_isNT, Athena_MA!AC25, IF(_xlpm.program_isT, Athena_MA!AA25, "")),
  _xlpm.mi_column, IF(_xlpm.program_isNT, Athena_MI!AC25, IF(_xlpm.program_isT, Athena_MI!AA25,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Athena_BV!Y25:AI25,
    Athena_MA!Y25:AI25,
    Athena_MI!Y25:AI25
  )
)</f>
        <v>(FSE_Bitvector_Mode_Incorrect_Initialization_2_NT_Loop0_TestCase3, NO, 1780)
(FSE_Bitvector_Mode_Incorrect_Initialization_2_NT_Loop0_TestCase2, NO, 1764)
(FSE_Bitvector_Mode_Incorrect_Initialization_2_NT_Loop0_TestCase1, YES, 1834)
(FSE_Bitvector_Mode_Incorrect_Initialization_2_NT_Loop0_TestCase5, NO, 1787)
(FSE_Bitvector_Mode_Incorrect_Initialization_2_NT_Loop0_TestCase4, NO, 1884)
(FSE_Bitvector_Mode_Incorrect_Initialization_2_NT_Loop0_TestCase6, NO, 1865)
(FSE_Bitvector_Mode_Incorrect_Initialization_2_NT_Loop0_TestCase7, NO, 1957)
(FSE_Bitvector_Mode_Incorrect_Initialization_2_NT_Loop0_TestCase10, NO, 1882)
(FSE_Bitvector_Mode_Incorrect_Initialization_2_NT_Loop0_TestCase9, NO, 1874)
(FSE_Bitvector_Mode_Incorrect_Initialization_2_NT_Loop0_TestCase8, NO, 1889)</v>
      </c>
      <c r="Z25" s="142" t="str">
        <v>correct</v>
      </c>
      <c r="AA25" s="80">
        <v>0.2</v>
      </c>
      <c r="AB25" s="1" t="str">
        <v>1/5</v>
      </c>
      <c r="AC25" s="80">
        <v>1</v>
      </c>
      <c r="AD25" s="1" t="str">
        <v>5/5</v>
      </c>
      <c r="AE25" s="143">
        <v>0.6</v>
      </c>
      <c r="AF25" s="1" t="str">
        <v>6/10</v>
      </c>
      <c r="AG25" s="142">
        <v>11301</v>
      </c>
      <c r="AH25" s="150">
        <v>1883.5</v>
      </c>
      <c r="AI25" s="142">
        <v>1878</v>
      </c>
      <c r="AJ25" s="14" t="str" cm="1">
        <f t="array" ref="AJ25:AT25">_xlfn.LET(
  _xlpm.program_isNT, RIGHT(Athena_BV!B25,5)="_NT.c",
  _xlpm.program_isT,  RIGHT(Athena_BV!B25,4)="_T.c",
  _xlpm.bv_isCorrect, LOWER(Athena_BV!AK25)="correct",
  _xlpm.ma_isCorrect, LOWER(Athena_MA!AK25)="correct",
  _xlpm.mi_isCorrect, LOWER(Athena_MI!AK25)="correct",
  _xlpm.bv_column, IF(_xlpm.program_isNT, Athena_BV!AN25, IF(_xlpm.program_isT, Athena_BV!AL25, "")),
  _xlpm.ma_column, IF(_xlpm.program_isNT, Athena_MA!AN25, IF(_xlpm.program_isT, Athena_MA!AL25, "")),
  _xlpm.mi_column, IF(_xlpm.program_isNT, Athena_MI!AN25, IF(_xlpm.program_isT, Athena_MI!AL25,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Athena_BV!AJ25:AT25,
    Athena_MA!AJ25:AT25,
    Athena_MI!AJ25:AT25
  )
)</f>
        <v>(FSE_Bitvector_Mode_Incorrect_Initialization_2_NT_Loop29_TestCase1, YES, 1791)
(FSE_Bitvector_Mode_Incorrect_Initialization_2_NT_Loop29_TestCase2, NO, 1788)
(FSE_Bitvector_Mode_Incorrect_Initialization_2_NT_Loop29_TestCase3, NO, 1803)
(FSE_Bitvector_Mode_Incorrect_Initialization_2_NT_Loop29_TestCase7, NO, 1935)
(FSE_Bitvector_Mode_Incorrect_Initialization_2_NT_Loop29_TestCase6, NO, 1917)
(FSE_Bitvector_Mode_Incorrect_Initialization_2_NT_Loop29_TestCase4, NO, 1892)
(FSE_Bitvector_Mode_Incorrect_Initialization_2_NT_Loop29_TestCase5, NO, 1794)
(FSE_Bitvector_Mode_Incorrect_Initialization_2_NT_Loop31_TestCase9, NO, 1890)
(FSE_Bitvector_Mode_Incorrect_Initialization_2_NT_Loop31_TestCase8, NO, 1882)
(FSE_Bitvector_Mode_Incorrect_Initialization_2_NT_Loop31_TestCase3, NO, 1775)
(FSE_Bitvector_Mode_Incorrect_Initialization_2_NT_Loop31_TestCase2, NO, 1939)
(FSE_Bitvector_Mode_Incorrect_Initialization_2_NT_Loop31_TestCase1, YES, 1784)
(FSE_Bitvector_Mode_Incorrect_Initialization_2_NT_Loop31_TestCase5, NO, 2001)
(FSE_Bitvector_Mode_Incorrect_Initialization_2_NT_Loop31_TestCase4, NO, 1919)
(FSE_Bitvector_Mode_Incorrect_Initialization_2_NT_Loop31_TestCase6, NO, 1849)
(FSE_Bitvector_Mode_Incorrect_Initialization_2_NT_Loop29_TestCase10, NO, 1936)
(FSE_Bitvector_Mode_Incorrect_Initialization_2_NT_Loop31_TestCase7, NO, 1982)
(FSE_Bitvector_Mode_Incorrect_Initialization_2_NT_Loop29_TestCase8, NO, 1883)
(FSE_Bitvector_Mode_Incorrect_Initialization_2_NT_Loop29_TestCase9, NO, 1924)
(FSE_Bitvector_Mode_Incorrect_Initialization_2_NT_Loop31_TestCase10, NO, 1883)</v>
      </c>
      <c r="AK25" s="142" t="str">
        <v>correct</v>
      </c>
      <c r="AL25" s="80">
        <v>0.2</v>
      </c>
      <c r="AM25" s="1" t="str">
        <v>2/10</v>
      </c>
      <c r="AN25" s="80">
        <v>1</v>
      </c>
      <c r="AO25" s="1" t="str">
        <v>10/10</v>
      </c>
      <c r="AP25" s="143">
        <v>0.6</v>
      </c>
      <c r="AQ25" s="1" t="str">
        <v>12/20</v>
      </c>
      <c r="AR25" s="142">
        <v>22656</v>
      </c>
      <c r="AS25" s="150">
        <v>1888</v>
      </c>
      <c r="AT25" s="142">
        <v>1886.5</v>
      </c>
    </row>
    <row r="26" spans="1:47" x14ac:dyDescent="0.2">
      <c r="A26" s="174"/>
      <c r="B26" s="9" t="s">
        <v>112</v>
      </c>
      <c r="C26" s="14" t="str" cm="1">
        <f t="array" ref="C26:M26">_xlfn.LET(
  _xlpm.program_isNT, RIGHT(Athena_BV!B26,5)="_NT.c",
  _xlpm.program_isT,  RIGHT(Athena_BV!B26,4)="_T.c",
  _xlpm.bv_isCorrect, LOWER(Athena_BV!D26)="correct",
  _xlpm.ma_isCorrect, LOWER(Athena_MA!D26)="correct",
  _xlpm.mi_isCorrect, LOWER(Athena_MI!D26)="correct",
  _xlpm.bv_column, IF(_xlpm.program_isNT, Athena_BV!G26, IF(_xlpm.program_isT, Athena_BV!E26, "")),
  _xlpm.ma_column, IF(_xlpm.program_isNT, Athena_MA!G26, IF(_xlpm.program_isT, Athena_MA!E26, "")),
  _xlpm.mi_column, IF(_xlpm.program_isNT, Athena_MI!G26, IF(_xlpm.program_isT, Athena_MI!E26,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Athena_BV!C26:M26,
    Athena_MA!C26:M26,
    Athena_MI!C26:M26
  )
)</f>
        <v>(FSE_Bitvector_Mode_Incorrect_Initialization_2_T_Loop0_TestCase0, NO, 2408)</v>
      </c>
      <c r="D26" s="142" t="str">
        <v>correct</v>
      </c>
      <c r="E26" s="80">
        <v>0</v>
      </c>
      <c r="F26" s="1" t="str">
        <v>0/0</v>
      </c>
      <c r="G26" s="80">
        <v>1</v>
      </c>
      <c r="H26" s="1" t="str">
        <v>1/1</v>
      </c>
      <c r="I26" s="143">
        <v>1</v>
      </c>
      <c r="J26" s="1" t="str">
        <v>1/1</v>
      </c>
      <c r="K26" s="142">
        <v>2408</v>
      </c>
      <c r="L26" s="1">
        <v>2408</v>
      </c>
      <c r="M26" s="140">
        <v>2408</v>
      </c>
      <c r="N26" s="14" t="str" cm="1">
        <f t="array" ref="N26:X26">_xlfn.LET(
  _xlpm.program_isNT, RIGHT(Athena_BV!B26,5)="_NT.c",
  _xlpm.program_isT,  RIGHT(Athena_BV!B26,4)="_T.c",
  _xlpm.bv_isCorrect, LOWER(Athena_BV!O26)="correct",
  _xlpm.ma_isCorrect, LOWER(Athena_MA!O26)="correct",
  _xlpm.mi_isCorrect, LOWER(Athena_MI!O26)="correct",
  _xlpm.bv_column, IF(_xlpm.program_isNT, Athena_BV!R26, IF(_xlpm.program_isT, Athena_BV!P26, "")),
  _xlpm.ma_column, IF(_xlpm.program_isNT, Athena_MA!R26, IF(_xlpm.program_isT, Athena_MA!P26, "")),
  _xlpm.mi_column, IF(_xlpm.program_isNT, Athena_MI!R26, IF(_xlpm.program_isT, Athena_MI!P26,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Athena_BV!N26:X26,
    Athena_MA!N26:X26,
    Athena_MI!N26:X26
  )
)</f>
        <v>(FSE_Bitvector_Mode_Incorrect_Initialization_2_T_Loop29_TestCase0, NO, 3381)
(FSE_Bitvector_Mode_Incorrect_Initialization_2_T_Loop26_TestCase0, NO, 2724)</v>
      </c>
      <c r="O26" s="142" t="str">
        <v>correct</v>
      </c>
      <c r="P26" s="80">
        <v>0</v>
      </c>
      <c r="Q26" s="1" t="str">
        <v>0/0</v>
      </c>
      <c r="R26" s="80">
        <v>1</v>
      </c>
      <c r="S26" s="149" t="str">
        <v>2/2</v>
      </c>
      <c r="T26" s="80">
        <v>1</v>
      </c>
      <c r="U26" s="1" t="str">
        <v>2/2</v>
      </c>
      <c r="V26" s="142">
        <v>6105</v>
      </c>
      <c r="W26" s="150">
        <v>3052.5</v>
      </c>
      <c r="X26" s="142">
        <v>3052.5</v>
      </c>
      <c r="Y26" s="14" t="str" cm="1">
        <f t="array" ref="Y26:AI26">_xlfn.LET(
  _xlpm.program_isNT, RIGHT(Athena_BV!B26,5)="_NT.c",
  _xlpm.program_isT,  RIGHT(Athena_BV!B26,4)="_T.c",
  _xlpm.bv_isCorrect, LOWER(Athena_BV!Z26)="correct",
  _xlpm.ma_isCorrect, LOWER(Athena_MA!Z26)="correct",
  _xlpm.mi_isCorrect, LOWER(Athena_MI!Z26)="correct",
  _xlpm.bv_column, IF(_xlpm.program_isNT, Athena_BV!AC26, IF(_xlpm.program_isT, Athena_BV!AA26, "")),
  _xlpm.ma_column, IF(_xlpm.program_isNT, Athena_MA!AC26, IF(_xlpm.program_isT, Athena_MA!AA26, "")),
  _xlpm.mi_column, IF(_xlpm.program_isNT, Athena_MI!AC26, IF(_xlpm.program_isT, Athena_MI!AA26,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Athena_BV!Y26:AI26,
    Athena_MA!Y26:AI26,
    Athena_MI!Y26:AI26
  )
)</f>
        <v>(FSE_Bitvector_Mode_Incorrect_Initialization_2_T_Loop0_TestCase8, YES, 15842)
(FSE_Bitvector_Mode_Incorrect_Initialization_2_T_Loop0_TestCase9, YES, 14354)
(FSE_Bitvector_Mode_Incorrect_Initialization_2_T_Loop0_TestCase1, YES, 1772)
(FSE_Bitvector_Mode_Incorrect_Initialization_2_T_Loop0_TestCase2, NO, 1768)
(FSE_Bitvector_Mode_Incorrect_Initialization_2_T_Loop0_TestCase3, NO, 1815)
(FSE_Bitvector_Mode_Incorrect_Initialization_2_T_Loop0_TestCase7, YES, 12842)
(FSE_Bitvector_Mode_Incorrect_Initialization_2_T_Loop0_TestCase6, YES, 18716)
(FSE_Bitvector_Mode_Incorrect_Initialization_2_T_Loop0_TestCase4, NO, 2183)
(FSE_Bitvector_Mode_Incorrect_Initialization_2_T_Loop0_TestCase5, NO, 1939)
(FSE_Bitvector_Mode_Incorrect_Initialization_2_T_Loop0_TestCase10, YES, 65926)</v>
      </c>
      <c r="Z26" s="142" t="str">
        <v>correct</v>
      </c>
      <c r="AA26" s="80">
        <v>0.2</v>
      </c>
      <c r="AB26" s="1" t="str">
        <v>1/5</v>
      </c>
      <c r="AC26" s="80">
        <v>0</v>
      </c>
      <c r="AD26" s="1" t="str">
        <v>0/5</v>
      </c>
      <c r="AE26" s="143">
        <v>0.1</v>
      </c>
      <c r="AF26" s="1" t="str">
        <v>1/10</v>
      </c>
      <c r="AG26" s="142">
        <v>1772</v>
      </c>
      <c r="AH26" s="150">
        <v>1772</v>
      </c>
      <c r="AI26" s="142">
        <v>1772</v>
      </c>
      <c r="AJ26" s="14" t="str" cm="1">
        <f t="array" ref="AJ26:AT26">_xlfn.LET(
  _xlpm.program_isNT, RIGHT(Athena_BV!B26,5)="_NT.c",
  _xlpm.program_isT,  RIGHT(Athena_BV!B26,4)="_T.c",
  _xlpm.bv_isCorrect, LOWER(Athena_BV!AK26)="correct",
  _xlpm.ma_isCorrect, LOWER(Athena_MA!AK26)="correct",
  _xlpm.mi_isCorrect, LOWER(Athena_MI!AK26)="correct",
  _xlpm.bv_column, IF(_xlpm.program_isNT, Athena_BV!AN26, IF(_xlpm.program_isT, Athena_BV!AL26, "")),
  _xlpm.ma_column, IF(_xlpm.program_isNT, Athena_MA!AN26, IF(_xlpm.program_isT, Athena_MA!AL26, "")),
  _xlpm.mi_column, IF(_xlpm.program_isNT, Athena_MI!AN26, IF(_xlpm.program_isT, Athena_MI!AL26,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Athena_BV!AJ26:AT26,
    Athena_MA!AJ26:AT26,
    Athena_MI!AJ26:AT26
  )
)</f>
        <v>(FSE_Bitvector_Mode_Incorrect_Initialization_2_T_Loop29_TestCase2, NO, 1775)
(FSE_Bitvector_Mode_Incorrect_Initialization_2_T_Loop29_TestCase3, NO, 1778)
(FSE_Bitvector_Mode_Incorrect_Initialization_2_T_Loop29_TestCase1, YES, 1829)
(FSE_Bitvector_Mode_Incorrect_Initialization_2_T_Loop29_TestCase4, NO, 2216)
(FSE_Bitvector_Mode_Incorrect_Initialization_2_T_Loop29_TestCase5, NO, 2014)
(FSE_Bitvector_Mode_Incorrect_Initialization_2_T_Loop29_TestCase7, YES, 29763)
(FSE_Bitvector_Mode_Incorrect_Initialization_2_T_Loop29_TestCase6, YES, 11889)
(FSE_Bitvector_Mode_Incorrect_Initialization_2_T_Loop26_TestCase9, YES, 38183)
(FSE_Bitvector_Mode_Incorrect_Initialization_2_T_Loop26_TestCase8, YES, 19102)
(FSE_Bitvector_Mode_Incorrect_Initialization_2_T_Loop26_TestCase1, YES, 2139)
(FSE_Bitvector_Mode_Incorrect_Initialization_2_T_Loop26_TestCase3, NO, 1816)
(FSE_Bitvector_Mode_Incorrect_Initialization_2_T_Loop26_TestCase2, NO, 1816)
(FSE_Bitvector_Mode_Incorrect_Initialization_2_T_Loop26_TestCase6, YES, 9374)
(FSE_Bitvector_Mode_Incorrect_Initialization_2_T_Loop26_TestCase7, YES, 86847)
(FSE_Bitvector_Mode_Incorrect_Initialization_2_T_Loop26_TestCase5, NO, 1786)
(FSE_Bitvector_Mode_Incorrect_Initialization_2_T_Loop26_TestCase4, NO, 1948)
(FSE_Bitvector_Mode_Incorrect_Initialization_2_T_Loop29_TestCase8, YES, 9257)
(FSE_Bitvector_Mode_Incorrect_Initialization_2_T_Loop29_TestCase9, YES, 56126)
(FSE_Bitvector_Mode_Incorrect_Initialization_2_T_Loop29_TestCase10, YES, 12346)
(FSE_Bitvector_Mode_Incorrect_Initialization_2_T_Loop26_TestCase10, TIMEOUT, 301753)</v>
      </c>
      <c r="AK26" s="142" t="str">
        <v>correct</v>
      </c>
      <c r="AL26" s="80">
        <v>0.2</v>
      </c>
      <c r="AM26" s="1" t="str">
        <v>2/10</v>
      </c>
      <c r="AN26" s="80">
        <v>0</v>
      </c>
      <c r="AO26" s="1" t="str">
        <v>0/10</v>
      </c>
      <c r="AP26" s="143">
        <v>0.1</v>
      </c>
      <c r="AQ26" s="1" t="str">
        <v>2/20</v>
      </c>
      <c r="AR26" s="142">
        <v>3968</v>
      </c>
      <c r="AS26" s="150">
        <v>1984</v>
      </c>
      <c r="AT26" s="142">
        <v>1984</v>
      </c>
    </row>
    <row r="27" spans="1:47" x14ac:dyDescent="0.2">
      <c r="A27" s="174"/>
      <c r="B27" s="9" t="s">
        <v>29</v>
      </c>
      <c r="C27" s="14" t="str" cm="1">
        <f t="array" ref="C27:M27">_xlfn.LET(
  _xlpm.program_isNT, RIGHT(Athena_BV!B27,5)="_NT.c",
  _xlpm.program_isT,  RIGHT(Athena_BV!B27,4)="_T.c",
  _xlpm.bv_isCorrect, LOWER(Athena_BV!D27)="correct",
  _xlpm.ma_isCorrect, LOWER(Athena_MA!D27)="correct",
  _xlpm.mi_isCorrect, LOWER(Athena_MI!D27)="correct",
  _xlpm.bv_column, IF(_xlpm.program_isNT, Athena_BV!G27, IF(_xlpm.program_isT, Athena_BV!E27, "")),
  _xlpm.ma_column, IF(_xlpm.program_isNT, Athena_MA!G27, IF(_xlpm.program_isT, Athena_MA!E27, "")),
  _xlpm.mi_column, IF(_xlpm.program_isNT, Athena_MI!G27, IF(_xlpm.program_isT, Athena_MI!E27,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Athena_BV!C27:M27,
    Athena_MA!C27:M27,
    Athena_MI!C27:M27
  )
)</f>
        <v>(FSE_Bitvector_Mode_Incorrect_Initialization_3_NT_Loop0_TestCase0, TIMEOUT, 302043)</v>
      </c>
      <c r="D27" s="142" t="str">
        <v>correct</v>
      </c>
      <c r="E27" s="80">
        <v>0</v>
      </c>
      <c r="F27" s="1" t="str">
        <v>0/0</v>
      </c>
      <c r="G27" s="80">
        <v>0</v>
      </c>
      <c r="H27" s="1" t="str">
        <v>0/1</v>
      </c>
      <c r="I27" s="143">
        <v>0</v>
      </c>
      <c r="J27" s="1" t="str">
        <v>0/1</v>
      </c>
      <c r="K27" s="142">
        <v>0</v>
      </c>
      <c r="L27" s="1">
        <v>0</v>
      </c>
      <c r="M27" s="140">
        <v>0</v>
      </c>
      <c r="N27" s="14" t="str" cm="1">
        <f t="array" ref="N27:X27">_xlfn.LET(
  _xlpm.program_isNT, RIGHT(Athena_BV!B27,5)="_NT.c",
  _xlpm.program_isT,  RIGHT(Athena_BV!B27,4)="_T.c",
  _xlpm.bv_isCorrect, LOWER(Athena_BV!O27)="correct",
  _xlpm.ma_isCorrect, LOWER(Athena_MA!O27)="correct",
  _xlpm.mi_isCorrect, LOWER(Athena_MI!O27)="correct",
  _xlpm.bv_column, IF(_xlpm.program_isNT, Athena_BV!R27, IF(_xlpm.program_isT, Athena_BV!P27, "")),
  _xlpm.ma_column, IF(_xlpm.program_isNT, Athena_MA!R27, IF(_xlpm.program_isT, Athena_MA!P27, "")),
  _xlpm.mi_column, IF(_xlpm.program_isNT, Athena_MI!R27, IF(_xlpm.program_isT, Athena_MI!P27,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Athena_BV!N27:X27,
    Athena_MA!N27:X27,
    Athena_MI!N27:X27
  )
)</f>
        <v>(FSE_Bitvector_Mode_Incorrect_Initialization_3_NT_Loop21_TestCase0, YES, 1816)
(FSE_Bitvector_Mode_Incorrect_Initialization_3_NT_Loop25_TestCase0, MAYBE, 1387)
(FSE_Bitvector_Mode_Incorrect_Initialization_3_NT_Loop10_TestCase0, MAYBE, 2205)</v>
      </c>
      <c r="O27" s="142" t="str">
        <v>correct</v>
      </c>
      <c r="P27" s="80">
        <v>1</v>
      </c>
      <c r="Q27" s="1" t="str">
        <v>1/1</v>
      </c>
      <c r="R27" s="80">
        <v>0</v>
      </c>
      <c r="S27" s="149" t="str">
        <v>0/2</v>
      </c>
      <c r="T27" s="80">
        <v>0.33329999999999999</v>
      </c>
      <c r="U27" s="1" t="str">
        <v>1/3</v>
      </c>
      <c r="V27" s="142">
        <v>1816</v>
      </c>
      <c r="W27" s="150">
        <v>1816</v>
      </c>
      <c r="X27" s="142">
        <v>1816</v>
      </c>
      <c r="Y27" s="14" t="str" cm="1">
        <f t="array" ref="Y27:AI27">_xlfn.LET(
  _xlpm.program_isNT, RIGHT(Athena_BV!B27,5)="_NT.c",
  _xlpm.program_isT,  RIGHT(Athena_BV!B27,4)="_T.c",
  _xlpm.bv_isCorrect, LOWER(Athena_BV!Z27)="correct",
  _xlpm.ma_isCorrect, LOWER(Athena_MA!Z27)="correct",
  _xlpm.mi_isCorrect, LOWER(Athena_MI!Z27)="correct",
  _xlpm.bv_column, IF(_xlpm.program_isNT, Athena_BV!AC27, IF(_xlpm.program_isT, Athena_BV!AA27, "")),
  _xlpm.ma_column, IF(_xlpm.program_isNT, Athena_MA!AC27, IF(_xlpm.program_isT, Athena_MA!AA27, "")),
  _xlpm.mi_column, IF(_xlpm.program_isNT, Athena_MI!AC27, IF(_xlpm.program_isT, Athena_MI!AA27,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Athena_BV!Y27:AI27,
    Athena_MA!Y27:AI27,
    Athena_MI!Y27:AI27
  )
)</f>
        <v>(FSE_Bitvector_Mode_Incorrect_Initialization_3_NT_Loop0_TestCase0, TIMEOUT, 302055)</v>
      </c>
      <c r="Z27" s="142" t="str">
        <v>correct</v>
      </c>
      <c r="AA27" s="80">
        <v>0</v>
      </c>
      <c r="AB27" s="1" t="str">
        <v>0/0</v>
      </c>
      <c r="AC27" s="80">
        <v>0</v>
      </c>
      <c r="AD27" s="1" t="str">
        <v>0/1</v>
      </c>
      <c r="AE27" s="143">
        <v>0</v>
      </c>
      <c r="AF27" s="1" t="str">
        <v>0/1</v>
      </c>
      <c r="AG27" s="142">
        <v>0</v>
      </c>
      <c r="AH27" s="150">
        <v>0</v>
      </c>
      <c r="AI27" s="142">
        <v>0</v>
      </c>
      <c r="AJ27" s="14" t="str" cm="1">
        <f t="array" ref="AJ27:AT27">_xlfn.LET(
  _xlpm.program_isNT, RIGHT(Athena_BV!B27,5)="_NT.c",
  _xlpm.program_isT,  RIGHT(Athena_BV!B27,4)="_T.c",
  _xlpm.bv_isCorrect, LOWER(Athena_BV!AK27)="correct",
  _xlpm.ma_isCorrect, LOWER(Athena_MA!AK27)="correct",
  _xlpm.mi_isCorrect, LOWER(Athena_MI!AK27)="correct",
  _xlpm.bv_column, IF(_xlpm.program_isNT, Athena_BV!AN27, IF(_xlpm.program_isT, Athena_BV!AL27, "")),
  _xlpm.ma_column, IF(_xlpm.program_isNT, Athena_MA!AN27, IF(_xlpm.program_isT, Athena_MA!AL27, "")),
  _xlpm.mi_column, IF(_xlpm.program_isNT, Athena_MI!AN27, IF(_xlpm.program_isT, Athena_MI!AL27,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Athena_BV!AJ27:AT27,
    Athena_MA!AJ27:AT27,
    Athena_MI!AJ27:AT27
  )
)</f>
        <v>(FSE_Bitvector_Mode_Incorrect_Initialization_3_NT_Loop21_TestCase0, YES, 1785)
(FSE_Bitvector_Mode_Incorrect_Initialization_3_NT_Loop25_TestCase0, MAYBE, 1373)
(FSE_Bitvector_Mode_Incorrect_Initialization_3_NT_Loop10_TestCase0, MAYBE, 2131)</v>
      </c>
      <c r="AK27" s="142" t="str">
        <v>correct</v>
      </c>
      <c r="AL27" s="80">
        <v>1</v>
      </c>
      <c r="AM27" s="1" t="str">
        <v>1/1</v>
      </c>
      <c r="AN27" s="80">
        <v>0</v>
      </c>
      <c r="AO27" s="1" t="str">
        <v>0/2</v>
      </c>
      <c r="AP27" s="143">
        <v>0.33329999999999999</v>
      </c>
      <c r="AQ27" s="1" t="str">
        <v>1/3</v>
      </c>
      <c r="AR27" s="142">
        <v>1785</v>
      </c>
      <c r="AS27" s="150">
        <v>1785</v>
      </c>
      <c r="AT27" s="142">
        <v>1785</v>
      </c>
      <c r="AU27" s="4" t="s">
        <v>99</v>
      </c>
    </row>
    <row r="28" spans="1:47" x14ac:dyDescent="0.2">
      <c r="A28" s="174"/>
      <c r="B28" s="9" t="s">
        <v>30</v>
      </c>
      <c r="C28" s="14" t="str" cm="1">
        <f t="array" ref="C28:M28">_xlfn.LET(
  _xlpm.program_isNT, RIGHT(Athena_BV!B28,5)="_NT.c",
  _xlpm.program_isT,  RIGHT(Athena_BV!B28,4)="_T.c",
  _xlpm.bv_isCorrect, LOWER(Athena_BV!D28)="correct",
  _xlpm.ma_isCorrect, LOWER(Athena_MA!D28)="correct",
  _xlpm.mi_isCorrect, LOWER(Athena_MI!D28)="correct",
  _xlpm.bv_column, IF(_xlpm.program_isNT, Athena_BV!G28, IF(_xlpm.program_isT, Athena_BV!E28, "")),
  _xlpm.ma_column, IF(_xlpm.program_isNT, Athena_MA!G28, IF(_xlpm.program_isT, Athena_MA!E28, "")),
  _xlpm.mi_column, IF(_xlpm.program_isNT, Athena_MI!G28, IF(_xlpm.program_isT, Athena_MI!E28,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Athena_BV!C28:M28,
    Athena_MA!C28:M28,
    Athena_MI!C28:M28
  )
)</f>
        <v>(FSE_Bitvector_Mode_Incorrect_Initialization_3_T_Loop0_TestCase0, TIMEOUT, 302181)</v>
      </c>
      <c r="D28" s="142" t="str">
        <v>correct</v>
      </c>
      <c r="E28" s="80">
        <v>0</v>
      </c>
      <c r="F28" s="1" t="str">
        <v>0/1</v>
      </c>
      <c r="G28" s="80" t="str">
        <v/>
      </c>
      <c r="H28" s="1" t="str">
        <v/>
      </c>
      <c r="I28" s="143">
        <v>0</v>
      </c>
      <c r="J28" s="1" t="str">
        <v>0/1</v>
      </c>
      <c r="K28" s="142">
        <v>0</v>
      </c>
      <c r="L28" s="1">
        <v>0</v>
      </c>
      <c r="M28" s="140">
        <v>0</v>
      </c>
      <c r="N28" s="14" t="str" cm="1">
        <f t="array" ref="N28:X28">_xlfn.LET(
  _xlpm.program_isNT, RIGHT(Athena_BV!B28,5)="_NT.c",
  _xlpm.program_isT,  RIGHT(Athena_BV!B28,4)="_T.c",
  _xlpm.bv_isCorrect, LOWER(Athena_BV!O28)="correct",
  _xlpm.ma_isCorrect, LOWER(Athena_MA!O28)="correct",
  _xlpm.mi_isCorrect, LOWER(Athena_MI!O28)="correct",
  _xlpm.bv_column, IF(_xlpm.program_isNT, Athena_BV!R28, IF(_xlpm.program_isT, Athena_BV!P28, "")),
  _xlpm.ma_column, IF(_xlpm.program_isNT, Athena_MA!R28, IF(_xlpm.program_isT, Athena_MA!P28, "")),
  _xlpm.mi_column, IF(_xlpm.program_isNT, Athena_MI!R28, IF(_xlpm.program_isT, Athena_MI!P28,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Athena_BV!N28:X28,
    Athena_MA!N28:X28,
    Athena_MI!N28:X28
  )
)</f>
        <v>(FSE_Bitvector_Mode_Incorrect_Initialization_3_T_Loop10_TestCase0, MAYBE, 2170)
(FSE_Bitvector_Mode_Incorrect_Initialization_3_T_Loop21_TestCase0, YES, 1894)
(FSE_Bitvector_Mode_Incorrect_Initialization_3_T_Loop25_TestCase0, MAYBE, 1870)</v>
      </c>
      <c r="O28" s="142" t="str">
        <v>correct</v>
      </c>
      <c r="P28" s="80">
        <v>0.33329999999999999</v>
      </c>
      <c r="Q28" s="1" t="str">
        <v>1/3</v>
      </c>
      <c r="R28" s="80" t="str">
        <v/>
      </c>
      <c r="S28" s="149" t="str">
        <v/>
      </c>
      <c r="T28" s="80">
        <v>0.33329999999999999</v>
      </c>
      <c r="U28" s="1" t="str">
        <v>1/3</v>
      </c>
      <c r="V28" s="142">
        <v>1894</v>
      </c>
      <c r="W28" s="150">
        <v>1894</v>
      </c>
      <c r="X28" s="142">
        <v>1894</v>
      </c>
      <c r="Y28" s="14" t="str" cm="1">
        <f t="array" ref="Y28:AI28">_xlfn.LET(
  _xlpm.program_isNT, RIGHT(Athena_BV!B28,5)="_NT.c",
  _xlpm.program_isT,  RIGHT(Athena_BV!B28,4)="_T.c",
  _xlpm.bv_isCorrect, LOWER(Athena_BV!Z28)="correct",
  _xlpm.ma_isCorrect, LOWER(Athena_MA!Z28)="correct",
  _xlpm.mi_isCorrect, LOWER(Athena_MI!Z28)="correct",
  _xlpm.bv_column, IF(_xlpm.program_isNT, Athena_BV!AC28, IF(_xlpm.program_isT, Athena_BV!AA28, "")),
  _xlpm.ma_column, IF(_xlpm.program_isNT, Athena_MA!AC28, IF(_xlpm.program_isT, Athena_MA!AA28, "")),
  _xlpm.mi_column, IF(_xlpm.program_isNT, Athena_MI!AC28, IF(_xlpm.program_isT, Athena_MI!AA28,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Athena_BV!Y28:AI28,
    Athena_MA!Y28:AI28,
    Athena_MI!Y28:AI28
  )
)</f>
        <v>(FSE_Bitvector_Mode_Incorrect_Initialization_3_T_Loop0_TestCase0, TIMEOUT, 302194)</v>
      </c>
      <c r="Z28" s="142" t="str">
        <v>correct</v>
      </c>
      <c r="AA28" s="80">
        <v>0</v>
      </c>
      <c r="AB28" s="1" t="str">
        <v>0/1</v>
      </c>
      <c r="AC28" s="80" t="str">
        <v/>
      </c>
      <c r="AD28" s="1" t="str">
        <v/>
      </c>
      <c r="AE28" s="143">
        <v>0</v>
      </c>
      <c r="AF28" s="1" t="str">
        <v>0/1</v>
      </c>
      <c r="AG28" s="142">
        <v>0</v>
      </c>
      <c r="AH28" s="150">
        <v>0</v>
      </c>
      <c r="AI28" s="142">
        <v>0</v>
      </c>
      <c r="AJ28" s="14" t="str" cm="1">
        <f t="array" ref="AJ28:AT28">_xlfn.LET(
  _xlpm.program_isNT, RIGHT(Athena_BV!B28,5)="_NT.c",
  _xlpm.program_isT,  RIGHT(Athena_BV!B28,4)="_T.c",
  _xlpm.bv_isCorrect, LOWER(Athena_BV!AK28)="correct",
  _xlpm.ma_isCorrect, LOWER(Athena_MA!AK28)="correct",
  _xlpm.mi_isCorrect, LOWER(Athena_MI!AK28)="correct",
  _xlpm.bv_column, IF(_xlpm.program_isNT, Athena_BV!AN28, IF(_xlpm.program_isT, Athena_BV!AL28, "")),
  _xlpm.ma_column, IF(_xlpm.program_isNT, Athena_MA!AN28, IF(_xlpm.program_isT, Athena_MA!AL28, "")),
  _xlpm.mi_column, IF(_xlpm.program_isNT, Athena_MI!AN28, IF(_xlpm.program_isT, Athena_MI!AL28,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Athena_BV!AJ28:AT28,
    Athena_MA!AJ28:AT28,
    Athena_MI!AJ28:AT28
  )
)</f>
        <v>(FSE_Bitvector_Mode_Incorrect_Initialization_3_T_Loop10_TestCase0, MAYBE, 2176)
(FSE_Bitvector_Mode_Incorrect_Initialization_3_T_Loop21_TestCase0, YES, 2122)
(FSE_Bitvector_Mode_Incorrect_Initialization_3_T_Loop25_TestCase0, MAYBE, 1838)</v>
      </c>
      <c r="AK28" s="142" t="str">
        <v>correct</v>
      </c>
      <c r="AL28" s="80">
        <v>0.33329999999999999</v>
      </c>
      <c r="AM28" s="1" t="str">
        <v>1/3</v>
      </c>
      <c r="AN28" s="80" t="str">
        <v/>
      </c>
      <c r="AO28" s="1" t="str">
        <v/>
      </c>
      <c r="AP28" s="143">
        <v>0.33329999999999999</v>
      </c>
      <c r="AQ28" s="1" t="str">
        <v>1/3</v>
      </c>
      <c r="AR28" s="142">
        <v>2122</v>
      </c>
      <c r="AS28" s="150">
        <v>2122</v>
      </c>
      <c r="AT28" s="142">
        <v>2122</v>
      </c>
      <c r="AU28" s="4" t="s">
        <v>99</v>
      </c>
    </row>
    <row r="29" spans="1:47" x14ac:dyDescent="0.2">
      <c r="A29" s="174"/>
      <c r="B29" s="9" t="s">
        <v>31</v>
      </c>
      <c r="C29" s="14" t="str" cm="1">
        <f t="array" ref="C29:M29">_xlfn.LET(
  _xlpm.program_isNT, RIGHT(Athena_BV!B29,5)="_NT.c",
  _xlpm.program_isT,  RIGHT(Athena_BV!B29,4)="_T.c",
  _xlpm.bv_isCorrect, LOWER(Athena_BV!D29)="correct",
  _xlpm.ma_isCorrect, LOWER(Athena_MA!D29)="correct",
  _xlpm.mi_isCorrect, LOWER(Athena_MI!D29)="correct",
  _xlpm.bv_column, IF(_xlpm.program_isNT, Athena_BV!G29, IF(_xlpm.program_isT, Athena_BV!E29, "")),
  _xlpm.ma_column, IF(_xlpm.program_isNT, Athena_MA!G29, IF(_xlpm.program_isT, Athena_MA!E29, "")),
  _xlpm.mi_column, IF(_xlpm.program_isNT, Athena_MI!G29, IF(_xlpm.program_isT, Athena_MI!E29,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Athena_BV!C29:M29,
    Athena_MA!C29:M29,
    Athena_MI!C29:M29
  )
)</f>
        <v>(FSE_Bitvector_Mode_Incorrect_Initialization_4_NT_Loop0_TestCase0, NO, 6653)</v>
      </c>
      <c r="D29" s="142" t="str">
        <v>correct</v>
      </c>
      <c r="E29" s="80">
        <v>0</v>
      </c>
      <c r="F29" s="1" t="str">
        <v>0/0</v>
      </c>
      <c r="G29" s="80">
        <v>1</v>
      </c>
      <c r="H29" s="1" t="str">
        <v>1/1</v>
      </c>
      <c r="I29" s="143">
        <v>1</v>
      </c>
      <c r="J29" s="1" t="str">
        <v>1/1</v>
      </c>
      <c r="K29" s="142">
        <v>6653</v>
      </c>
      <c r="L29" s="1">
        <v>6653</v>
      </c>
      <c r="M29" s="140">
        <v>6653</v>
      </c>
      <c r="N29" s="14" t="str" cm="1">
        <f t="array" ref="N29:X29">_xlfn.LET(
  _xlpm.program_isNT, RIGHT(Athena_BV!B29,5)="_NT.c",
  _xlpm.program_isT,  RIGHT(Athena_BV!B29,4)="_T.c",
  _xlpm.bv_isCorrect, LOWER(Athena_BV!O29)="correct",
  _xlpm.ma_isCorrect, LOWER(Athena_MA!O29)="correct",
  _xlpm.mi_isCorrect, LOWER(Athena_MI!O29)="correct",
  _xlpm.bv_column, IF(_xlpm.program_isNT, Athena_BV!R29, IF(_xlpm.program_isT, Athena_BV!P29, "")),
  _xlpm.ma_column, IF(_xlpm.program_isNT, Athena_MA!R29, IF(_xlpm.program_isT, Athena_MA!P29, "")),
  _xlpm.mi_column, IF(_xlpm.program_isNT, Athena_MI!R29, IF(_xlpm.program_isT, Athena_MI!P29,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Athena_BV!N29:X29,
    Athena_MA!N29:X29,
    Athena_MI!N29:X29
  )
)</f>
        <v>(FSE_Bitvector_Mode_Incorrect_Initialization_4_NT_Loop19_TestCase0, NO, 3202)</v>
      </c>
      <c r="O29" s="142" t="str">
        <v>correct</v>
      </c>
      <c r="P29" s="80">
        <v>0</v>
      </c>
      <c r="Q29" s="1" t="str">
        <v>0/0</v>
      </c>
      <c r="R29" s="80">
        <v>1</v>
      </c>
      <c r="S29" s="149" t="str">
        <v>1/1</v>
      </c>
      <c r="T29" s="80">
        <v>1</v>
      </c>
      <c r="U29" s="1" t="str">
        <v>1/1</v>
      </c>
      <c r="V29" s="142">
        <v>3202</v>
      </c>
      <c r="W29" s="150">
        <v>3202</v>
      </c>
      <c r="X29" s="142">
        <v>3202</v>
      </c>
      <c r="Y29" s="14" t="str" cm="1">
        <f t="array" ref="Y29:AI29">_xlfn.LET(
  _xlpm.program_isNT, RIGHT(Athena_BV!B29,5)="_NT.c",
  _xlpm.program_isT,  RIGHT(Athena_BV!B29,4)="_T.c",
  _xlpm.bv_isCorrect, LOWER(Athena_BV!Z29)="correct",
  _xlpm.ma_isCorrect, LOWER(Athena_MA!Z29)="correct",
  _xlpm.mi_isCorrect, LOWER(Athena_MI!Z29)="correct",
  _xlpm.bv_column, IF(_xlpm.program_isNT, Athena_BV!AC29, IF(_xlpm.program_isT, Athena_BV!AA29, "")),
  _xlpm.ma_column, IF(_xlpm.program_isNT, Athena_MA!AC29, IF(_xlpm.program_isT, Athena_MA!AA29, "")),
  _xlpm.mi_column, IF(_xlpm.program_isNT, Athena_MI!AC29, IF(_xlpm.program_isT, Athena_MI!AA29,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Athena_BV!Y29:AI29,
    Athena_MA!Y29:AI29,
    Athena_MI!Y29:AI29
  )
)</f>
        <v>(FSE_Bitvector_Mode_Incorrect_Initialization_4_NT_Loop0_TestCase4, YES, 1718)
(FSE_Bitvector_Mode_Incorrect_Initialization_4_NT_Loop0_TestCase5, YES, 1815)
(FSE_Bitvector_Mode_Incorrect_Initialization_4_NT_Loop0_TestCase10, NO, 1807)
(FSE_Bitvector_Mode_Incorrect_Initialization_4_NT_Loop0_TestCase7, NO, 1830)
(FSE_Bitvector_Mode_Incorrect_Initialization_4_NT_Loop0_TestCase6, NO, 1853)
(FSE_Bitvector_Mode_Incorrect_Initialization_4_NT_Loop0_TestCase2, YES, 2176)
(FSE_Bitvector_Mode_Incorrect_Initialization_4_NT_Loop0_TestCase3, YES, 1748)
(FSE_Bitvector_Mode_Incorrect_Initialization_4_NT_Loop0_TestCase1, YES, 1653)
(FSE_Bitvector_Mode_Incorrect_Initialization_4_NT_Loop0_TestCase8, NO, 1717)
(FSE_Bitvector_Mode_Incorrect_Initialization_4_NT_Loop0_TestCase9, NO, 1866)</v>
      </c>
      <c r="Z29" s="142" t="str">
        <v>correct</v>
      </c>
      <c r="AA29" s="80">
        <v>1</v>
      </c>
      <c r="AB29" s="1" t="str">
        <v>5/5</v>
      </c>
      <c r="AC29" s="80">
        <v>1</v>
      </c>
      <c r="AD29" s="1" t="str">
        <v>5/5</v>
      </c>
      <c r="AE29" s="143">
        <v>1</v>
      </c>
      <c r="AF29" s="1" t="str">
        <v>10/10</v>
      </c>
      <c r="AG29" s="142">
        <v>18183</v>
      </c>
      <c r="AH29" s="150">
        <v>1818.3</v>
      </c>
      <c r="AI29" s="142">
        <v>1811</v>
      </c>
      <c r="AJ29" s="14" t="str" cm="1">
        <f t="array" ref="AJ29:AT29">_xlfn.LET(
  _xlpm.program_isNT, RIGHT(Athena_BV!B29,5)="_NT.c",
  _xlpm.program_isT,  RIGHT(Athena_BV!B29,4)="_T.c",
  _xlpm.bv_isCorrect, LOWER(Athena_BV!AK29)="correct",
  _xlpm.ma_isCorrect, LOWER(Athena_MA!AK29)="correct",
  _xlpm.mi_isCorrect, LOWER(Athena_MI!AK29)="correct",
  _xlpm.bv_column, IF(_xlpm.program_isNT, Athena_BV!AN29, IF(_xlpm.program_isT, Athena_BV!AL29, "")),
  _xlpm.ma_column, IF(_xlpm.program_isNT, Athena_MA!AN29, IF(_xlpm.program_isT, Athena_MA!AL29, "")),
  _xlpm.mi_column, IF(_xlpm.program_isNT, Athena_MI!AN29, IF(_xlpm.program_isT, Athena_MI!AL29,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Athena_BV!AJ29:AT29,
    Athena_MA!AJ29:AT29,
    Athena_MI!AJ29:AT29
  )
)</f>
        <v>(FSE_Bitvector_Mode_Incorrect_Initialization_4_NT_Loop19_TestCase9, NO, 2048)
(FSE_Bitvector_Mode_Incorrect_Initialization_4_NT_Loop19_TestCase8, NO, 1709)
(FSE_Bitvector_Mode_Incorrect_Initialization_4_NT_Loop19_TestCase6, NO, 1815)
(FSE_Bitvector_Mode_Incorrect_Initialization_4_NT_Loop19_TestCase7, NO, 1844)
(FSE_Bitvector_Mode_Incorrect_Initialization_4_NT_Loop19_TestCase5, YES, 1743)
(FSE_Bitvector_Mode_Incorrect_Initialization_4_NT_Loop19_TestCase4, YES, 1719)
(FSE_Bitvector_Mode_Incorrect_Initialization_4_NT_Loop19_TestCase1, YES, 1776)
(FSE_Bitvector_Mode_Incorrect_Initialization_4_NT_Loop19_TestCase3, YES, 1720)
(FSE_Bitvector_Mode_Incorrect_Initialization_4_NT_Loop19_TestCase2, YES, 1743)
(FSE_Bitvector_Mode_Incorrect_Initialization_4_NT_Loop19_TestCase10, NO, 1878)</v>
      </c>
      <c r="AK29" s="142" t="str">
        <v>correct</v>
      </c>
      <c r="AL29" s="80">
        <v>1</v>
      </c>
      <c r="AM29" s="1" t="str">
        <v>5/5</v>
      </c>
      <c r="AN29" s="80">
        <v>1</v>
      </c>
      <c r="AO29" s="1" t="str">
        <v>5/5</v>
      </c>
      <c r="AP29" s="143">
        <v>1</v>
      </c>
      <c r="AQ29" s="1" t="str">
        <v>10/10</v>
      </c>
      <c r="AR29" s="142">
        <v>17995</v>
      </c>
      <c r="AS29" s="150">
        <v>1799.5</v>
      </c>
      <c r="AT29" s="142">
        <v>1759.5</v>
      </c>
    </row>
    <row r="30" spans="1:47" x14ac:dyDescent="0.2">
      <c r="A30" s="174"/>
      <c r="B30" s="9" t="s">
        <v>32</v>
      </c>
      <c r="C30" s="14" t="str" cm="1">
        <f t="array" ref="C30:M30">_xlfn.LET(
  _xlpm.program_isNT, RIGHT(Athena_BV!B30,5)="_NT.c",
  _xlpm.program_isT,  RIGHT(Athena_BV!B30,4)="_T.c",
  _xlpm.bv_isCorrect, LOWER(Athena_BV!D30)="correct",
  _xlpm.ma_isCorrect, LOWER(Athena_MA!D30)="correct",
  _xlpm.mi_isCorrect, LOWER(Athena_MI!D30)="correct",
  _xlpm.bv_column, IF(_xlpm.program_isNT, Athena_BV!G30, IF(_xlpm.program_isT, Athena_BV!E30, "")),
  _xlpm.ma_column, IF(_xlpm.program_isNT, Athena_MA!G30, IF(_xlpm.program_isT, Athena_MA!E30, "")),
  _xlpm.mi_column, IF(_xlpm.program_isNT, Athena_MI!G30, IF(_xlpm.program_isT, Athena_MI!E30,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Athena_BV!C30:M30,
    Athena_MA!C30:M30,
    Athena_MI!C30:M30
  )
)</f>
        <v>(FSE_Modulo_Arithmetic_Mode_Incorrect_Initialization_4_T_Loop0_TestCase0, YES, 86436)</v>
      </c>
      <c r="D30" s="142" t="str">
        <v>correct</v>
      </c>
      <c r="E30" s="80">
        <v>1</v>
      </c>
      <c r="F30" s="1" t="str">
        <v>1/1</v>
      </c>
      <c r="G30" s="80" t="str">
        <v/>
      </c>
      <c r="H30" s="1" t="str">
        <v/>
      </c>
      <c r="I30" s="143">
        <v>1</v>
      </c>
      <c r="J30" s="1" t="str">
        <v>1/1</v>
      </c>
      <c r="K30" s="142">
        <v>86436</v>
      </c>
      <c r="L30" s="1">
        <v>86436</v>
      </c>
      <c r="M30" s="140">
        <v>86436</v>
      </c>
      <c r="N30" s="14" t="str" cm="1">
        <f t="array" ref="N30:X30">_xlfn.LET(
  _xlpm.program_isNT, RIGHT(Athena_BV!B30,5)="_NT.c",
  _xlpm.program_isT,  RIGHT(Athena_BV!B30,4)="_T.c",
  _xlpm.bv_isCorrect, LOWER(Athena_BV!O30)="correct",
  _xlpm.ma_isCorrect, LOWER(Athena_MA!O30)="correct",
  _xlpm.mi_isCorrect, LOWER(Athena_MI!O30)="correct",
  _xlpm.bv_column, IF(_xlpm.program_isNT, Athena_BV!R30, IF(_xlpm.program_isT, Athena_BV!P30, "")),
  _xlpm.ma_column, IF(_xlpm.program_isNT, Athena_MA!R30, IF(_xlpm.program_isT, Athena_MA!P30, "")),
  _xlpm.mi_column, IF(_xlpm.program_isNT, Athena_MI!R30, IF(_xlpm.program_isT, Athena_MI!P30,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Athena_BV!N30:X30,
    Athena_MA!N30:X30,
    Athena_MI!N30:X30
  )
)</f>
        <v>(FSE_Modulo_Arithmetic_Mode_Incorrect_Initialization_4_T_Loop20_TestCase0, YES, 101855)</v>
      </c>
      <c r="O30" s="142" t="str">
        <v>correct</v>
      </c>
      <c r="P30" s="80">
        <v>1</v>
      </c>
      <c r="Q30" s="1" t="str">
        <v>1/1</v>
      </c>
      <c r="R30" s="80" t="str">
        <v/>
      </c>
      <c r="S30" s="149" t="str">
        <v/>
      </c>
      <c r="T30" s="80">
        <v>1</v>
      </c>
      <c r="U30" s="1" t="str">
        <v>1/1</v>
      </c>
      <c r="V30" s="142">
        <v>101855</v>
      </c>
      <c r="W30" s="150">
        <v>101855</v>
      </c>
      <c r="X30" s="142">
        <v>101855</v>
      </c>
      <c r="Y30" s="14" t="str" cm="1">
        <f t="array" ref="Y30:AI30">_xlfn.LET(
  _xlpm.program_isNT, RIGHT(Athena_BV!B30,5)="_NT.c",
  _xlpm.program_isT,  RIGHT(Athena_BV!B30,4)="_T.c",
  _xlpm.bv_isCorrect, LOWER(Athena_BV!Z30)="correct",
  _xlpm.ma_isCorrect, LOWER(Athena_MA!Z30)="correct",
  _xlpm.mi_isCorrect, LOWER(Athena_MI!Z30)="correct",
  _xlpm.bv_column, IF(_xlpm.program_isNT, Athena_BV!AC30, IF(_xlpm.program_isT, Athena_BV!AA30, "")),
  _xlpm.ma_column, IF(_xlpm.program_isNT, Athena_MA!AC30, IF(_xlpm.program_isT, Athena_MA!AA30, "")),
  _xlpm.mi_column, IF(_xlpm.program_isNT, Athena_MI!AC30, IF(_xlpm.program_isT, Athena_MI!AA30,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Athena_BV!Y30:AI30,
    Athena_MA!Y30:AI30,
    Athena_MI!Y30:AI30
  )
)</f>
        <v>(FSE_Bitvector_Mode_Incorrect_Initialization_4_T_Loop0_TestCase9, YES, 1705)
(FSE_Bitvector_Mode_Incorrect_Initialization_4_T_Loop0_TestCase8, YES, 1811)
(FSE_Bitvector_Mode_Incorrect_Initialization_4_T_Loop0_TestCase5, YES, 1716)
(FSE_Bitvector_Mode_Incorrect_Initialization_4_T_Loop0_TestCase4, YES, 1696)
(FSE_Bitvector_Mode_Incorrect_Initialization_4_T_Loop0_TestCase6, YES, 1723)
(FSE_Bitvector_Mode_Incorrect_Initialization_4_T_Loop0_TestCase10, YES, 1862)
(FSE_Bitvector_Mode_Incorrect_Initialization_4_T_Loop0_TestCase7, YES, 1722)
(FSE_Bitvector_Mode_Incorrect_Initialization_4_T_Loop0_TestCase3, YES, 1687)
(FSE_Bitvector_Mode_Incorrect_Initialization_4_T_Loop0_TestCase2, YES, 1726)
(FSE_Bitvector_Mode_Incorrect_Initialization_4_T_Loop0_TestCase1, YES, 1700)</v>
      </c>
      <c r="Z30" s="142" t="str">
        <v>correct</v>
      </c>
      <c r="AA30" s="80">
        <v>1</v>
      </c>
      <c r="AB30" s="1" t="str">
        <v>10/10</v>
      </c>
      <c r="AC30" s="80" t="str">
        <v/>
      </c>
      <c r="AD30" s="1" t="str">
        <v/>
      </c>
      <c r="AE30" s="143">
        <v>1</v>
      </c>
      <c r="AF30" s="1" t="str">
        <v>10/10</v>
      </c>
      <c r="AG30" s="142">
        <v>17348</v>
      </c>
      <c r="AH30" s="150">
        <v>1734.8</v>
      </c>
      <c r="AI30" s="142">
        <v>1719</v>
      </c>
      <c r="AJ30" s="14" t="str" cm="1">
        <f t="array" ref="AJ30:AT30">_xlfn.LET(
  _xlpm.program_isNT, RIGHT(Athena_BV!B30,5)="_NT.c",
  _xlpm.program_isT,  RIGHT(Athena_BV!B30,4)="_T.c",
  _xlpm.bv_isCorrect, LOWER(Athena_BV!AK30)="correct",
  _xlpm.ma_isCorrect, LOWER(Athena_MA!AK30)="correct",
  _xlpm.mi_isCorrect, LOWER(Athena_MI!AK30)="correct",
  _xlpm.bv_column, IF(_xlpm.program_isNT, Athena_BV!AN30, IF(_xlpm.program_isT, Athena_BV!AL30, "")),
  _xlpm.ma_column, IF(_xlpm.program_isNT, Athena_MA!AN30, IF(_xlpm.program_isT, Athena_MA!AL30, "")),
  _xlpm.mi_column, IF(_xlpm.program_isNT, Athena_MI!AN30, IF(_xlpm.program_isT, Athena_MI!AL30,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Athena_BV!AJ30:AT30,
    Athena_MA!AJ30:AT30,
    Athena_MI!AJ30:AT30
  )
)</f>
        <v>(FSE_Bitvector_Mode_Incorrect_Initialization_4_T_Loop20_TestCase4, YES, 1763)
(FSE_Bitvector_Mode_Incorrect_Initialization_4_T_Loop20_TestCase5, YES, 1728)
(FSE_Bitvector_Mode_Incorrect_Initialization_4_T_Loop20_TestCase7, YES, 1705)
(FSE_Bitvector_Mode_Incorrect_Initialization_4_T_Loop20_TestCase6, YES, 1718)
(FSE_Bitvector_Mode_Incorrect_Initialization_4_T_Loop20_TestCase2, YES, 1744)
(FSE_Bitvector_Mode_Incorrect_Initialization_4_T_Loop20_TestCase3, YES, 1756)
(FSE_Bitvector_Mode_Incorrect_Initialization_4_T_Loop20_TestCase1, YES, 1704)
(FSE_Bitvector_Mode_Incorrect_Initialization_4_T_Loop20_TestCase10, YES, 1916)
(FSE_Bitvector_Mode_Incorrect_Initialization_4_T_Loop20_TestCase8, YES, 2338)
(FSE_Bitvector_Mode_Incorrect_Initialization_4_T_Loop20_TestCase9, YES, 1698)</v>
      </c>
      <c r="AK30" s="142" t="str">
        <v>correct</v>
      </c>
      <c r="AL30" s="80">
        <v>1</v>
      </c>
      <c r="AM30" s="1" t="str">
        <v>10/10</v>
      </c>
      <c r="AN30" s="80" t="str">
        <v/>
      </c>
      <c r="AO30" s="1" t="str">
        <v/>
      </c>
      <c r="AP30" s="143">
        <v>1</v>
      </c>
      <c r="AQ30" s="1" t="str">
        <v>10/10</v>
      </c>
      <c r="AR30" s="142">
        <v>18070</v>
      </c>
      <c r="AS30" s="150">
        <v>1807</v>
      </c>
      <c r="AT30" s="142">
        <v>1736</v>
      </c>
    </row>
    <row r="31" spans="1:47" x14ac:dyDescent="0.2">
      <c r="A31" s="174"/>
      <c r="B31" s="9" t="s">
        <v>35</v>
      </c>
      <c r="C31" s="14" t="str" cm="1">
        <f t="array" ref="C31:M31">_xlfn.LET(
  _xlpm.program_isNT, RIGHT(Athena_BV!B31,5)="_NT.c",
  _xlpm.program_isT,  RIGHT(Athena_BV!B31,4)="_T.c",
  _xlpm.bv_isCorrect, LOWER(Athena_BV!D31)="correct",
  _xlpm.ma_isCorrect, LOWER(Athena_MA!D31)="correct",
  _xlpm.mi_isCorrect, LOWER(Athena_MI!D31)="correct",
  _xlpm.bv_column, IF(_xlpm.program_isNT, Athena_BV!G31, IF(_xlpm.program_isT, Athena_BV!E31, "")),
  _xlpm.ma_column, IF(_xlpm.program_isNT, Athena_MA!G31, IF(_xlpm.program_isT, Athena_MA!E31, "")),
  _xlpm.mi_column, IF(_xlpm.program_isNT, Athena_MI!G31, IF(_xlpm.program_isT, Athena_MI!E31,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Athena_BV!C31:M31,
    Athena_MA!C31:M31,
    Athena_MI!C31:M31
  )
)</f>
        <v>(FSE_Bitvector_Mode_Incorrect_Update_for_Loop_Iterator_1_NT_Loop0_TestCase0, NO, 79772)</v>
      </c>
      <c r="D31" s="142" t="str">
        <v>correct</v>
      </c>
      <c r="E31" s="80">
        <v>0</v>
      </c>
      <c r="F31" s="1" t="str">
        <v>0/0</v>
      </c>
      <c r="G31" s="80">
        <v>1</v>
      </c>
      <c r="H31" s="1" t="str">
        <v>1/1</v>
      </c>
      <c r="I31" s="143">
        <v>1</v>
      </c>
      <c r="J31" s="1" t="str">
        <v>1/1</v>
      </c>
      <c r="K31" s="142">
        <v>79772</v>
      </c>
      <c r="L31" s="1">
        <v>79772</v>
      </c>
      <c r="M31" s="140">
        <v>79772</v>
      </c>
      <c r="N31" s="14" t="str" cm="1">
        <f t="array" ref="N31:X31">_xlfn.LET(
  _xlpm.program_isNT, RIGHT(Athena_BV!B31,5)="_NT.c",
  _xlpm.program_isT,  RIGHT(Athena_BV!B31,4)="_T.c",
  _xlpm.bv_isCorrect, LOWER(Athena_BV!O31)="correct",
  _xlpm.ma_isCorrect, LOWER(Athena_MA!O31)="correct",
  _xlpm.mi_isCorrect, LOWER(Athena_MI!O31)="correct",
  _xlpm.bv_column, IF(_xlpm.program_isNT, Athena_BV!R31, IF(_xlpm.program_isT, Athena_BV!P31, "")),
  _xlpm.ma_column, IF(_xlpm.program_isNT, Athena_MA!R31, IF(_xlpm.program_isT, Athena_MA!P31, "")),
  _xlpm.mi_column, IF(_xlpm.program_isNT, Athena_MI!R31, IF(_xlpm.program_isT, Athena_MI!P31,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Athena_BV!N31:X31,
    Athena_MA!N31:X31,
    Athena_MI!N31:X31
  )
)</f>
        <v>(FSE_Bitvector_Mode_Incorrect_Update_for_Loop_Iterator_1_NT_Loop19_TestCase0, NO, 16743)</v>
      </c>
      <c r="O31" s="142" t="str">
        <v>correct</v>
      </c>
      <c r="P31" s="80">
        <v>0</v>
      </c>
      <c r="Q31" s="1" t="str">
        <v>0/0</v>
      </c>
      <c r="R31" s="80">
        <v>1</v>
      </c>
      <c r="S31" s="149" t="str">
        <v>1/1</v>
      </c>
      <c r="T31" s="80">
        <v>1</v>
      </c>
      <c r="U31" s="1" t="str">
        <v>1/1</v>
      </c>
      <c r="V31" s="142">
        <v>16743</v>
      </c>
      <c r="W31" s="150">
        <v>16743</v>
      </c>
      <c r="X31" s="142">
        <v>16743</v>
      </c>
      <c r="Y31" s="14" t="str" cm="1">
        <f t="array" ref="Y31:AI31">_xlfn.LET(
  _xlpm.program_isNT, RIGHT(Athena_BV!B31,5)="_NT.c",
  _xlpm.program_isT,  RIGHT(Athena_BV!B31,4)="_T.c",
  _xlpm.bv_isCorrect, LOWER(Athena_BV!Z31)="correct",
  _xlpm.ma_isCorrect, LOWER(Athena_MA!Z31)="correct",
  _xlpm.mi_isCorrect, LOWER(Athena_MI!Z31)="correct",
  _xlpm.bv_column, IF(_xlpm.program_isNT, Athena_BV!AC31, IF(_xlpm.program_isT, Athena_BV!AA31, "")),
  _xlpm.ma_column, IF(_xlpm.program_isNT, Athena_MA!AC31, IF(_xlpm.program_isT, Athena_MA!AA31, "")),
  _xlpm.mi_column, IF(_xlpm.program_isNT, Athena_MI!AC31, IF(_xlpm.program_isT, Athena_MI!AA31,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Athena_BV!Y31:AI31,
    Athena_MA!Y31:AI31,
    Athena_MI!Y31:AI31
  )
)</f>
        <v>(FSE_Bitvector_Mode_Incorrect_Update_for_Loop_Iterator_1_NT_Loop0_TestCase8, NO, 1781)
(FSE_Bitvector_Mode_Incorrect_Update_for_Loop_Iterator_1_NT_Loop0_TestCase9, NO, 1695)
(FSE_Bitvector_Mode_Incorrect_Update_for_Loop_Iterator_1_NT_Loop0_TestCase10, NO, 1673)
(FSE_Bitvector_Mode_Incorrect_Update_for_Loop_Iterator_1_NT_Loop0_TestCase7, NO, 1756)
(FSE_Bitvector_Mode_Incorrect_Update_for_Loop_Iterator_1_NT_Loop0_TestCase6, NO, 1728)
(FSE_Bitvector_Mode_Incorrect_Update_for_Loop_Iterator_1_NT_Loop0_TestCase4, YES, 12591)
(FSE_Bitvector_Mode_Incorrect_Update_for_Loop_Iterator_1_NT_Loop0_TestCase5, YES, 22928)
(FSE_Bitvector_Mode_Incorrect_Update_for_Loop_Iterator_1_NT_Loop0_TestCase1, YES, 16488)
(FSE_Bitvector_Mode_Incorrect_Update_for_Loop_Iterator_1_NT_Loop0_TestCase2, YES, 13802)
(FSE_Bitvector_Mode_Incorrect_Update_for_Loop_Iterator_1_NT_Loop0_TestCase3, YES, 20142)</v>
      </c>
      <c r="Z31" s="142" t="str">
        <v>correct</v>
      </c>
      <c r="AA31" s="80">
        <v>1</v>
      </c>
      <c r="AB31" s="1" t="str">
        <v>5/5</v>
      </c>
      <c r="AC31" s="80">
        <v>1</v>
      </c>
      <c r="AD31" s="1" t="str">
        <v>5/5</v>
      </c>
      <c r="AE31" s="143">
        <v>1</v>
      </c>
      <c r="AF31" s="1" t="str">
        <v>10/10</v>
      </c>
      <c r="AG31" s="142">
        <v>94584</v>
      </c>
      <c r="AH31" s="150">
        <v>9458.4</v>
      </c>
      <c r="AI31" s="142">
        <v>7186</v>
      </c>
      <c r="AJ31" s="14" t="str" cm="1">
        <f t="array" ref="AJ31:AT31">_xlfn.LET(
  _xlpm.program_isNT, RIGHT(Athena_BV!B31,5)="_NT.c",
  _xlpm.program_isT,  RIGHT(Athena_BV!B31,4)="_T.c",
  _xlpm.bv_isCorrect, LOWER(Athena_BV!AK31)="correct",
  _xlpm.ma_isCorrect, LOWER(Athena_MA!AK31)="correct",
  _xlpm.mi_isCorrect, LOWER(Athena_MI!AK31)="correct",
  _xlpm.bv_column, IF(_xlpm.program_isNT, Athena_BV!AN31, IF(_xlpm.program_isT, Athena_BV!AL31, "")),
  _xlpm.ma_column, IF(_xlpm.program_isNT, Athena_MA!AN31, IF(_xlpm.program_isT, Athena_MA!AL31, "")),
  _xlpm.mi_column, IF(_xlpm.program_isNT, Athena_MI!AN31, IF(_xlpm.program_isT, Athena_MI!AL31,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Athena_BV!AJ31:AT31,
    Athena_MA!AJ31:AT31,
    Athena_MI!AJ31:AT31
  )
)</f>
        <v>(FSE_Bitvector_Mode_Incorrect_Update_for_Loop_Iterator_1_NT_Loop19_TestCase9, NO, 1910)
(FSE_Bitvector_Mode_Incorrect_Update_for_Loop_Iterator_1_NT_Loop19_TestCase8, NO, 1767)
(FSE_Bitvector_Mode_Incorrect_Update_for_Loop_Iterator_1_NT_Loop19_TestCase3, YES, 26438)
(FSE_Bitvector_Mode_Incorrect_Update_for_Loop_Iterator_1_NT_Loop19_TestCase2, YES, 25350)
(FSE_Bitvector_Mode_Incorrect_Update_for_Loop_Iterator_1_NT_Loop19_TestCase1, YES, 9495)
(FSE_Bitvector_Mode_Incorrect_Update_for_Loop_Iterator_1_NT_Loop19_TestCase5, YES, 44306)
(FSE_Bitvector_Mode_Incorrect_Update_for_Loop_Iterator_1_NT_Loop19_TestCase4, YES, 30135)
(FSE_Bitvector_Mode_Incorrect_Update_for_Loop_Iterator_1_NT_Loop19_TestCase6, NO, 1785)
(FSE_Bitvector_Mode_Incorrect_Update_for_Loop_Iterator_1_NT_Loop19_TestCase7, NO, 1742)
(FSE_Bitvector_Mode_Incorrect_Update_for_Loop_Iterator_1_NT_Loop19_TestCase10, NO, 1798)</v>
      </c>
      <c r="AK31" s="142" t="str">
        <v>correct</v>
      </c>
      <c r="AL31" s="80">
        <v>1</v>
      </c>
      <c r="AM31" s="1" t="str">
        <v>5/5</v>
      </c>
      <c r="AN31" s="80">
        <v>1</v>
      </c>
      <c r="AO31" s="1" t="str">
        <v>5/5</v>
      </c>
      <c r="AP31" s="143">
        <v>1</v>
      </c>
      <c r="AQ31" s="1" t="str">
        <v>10/10</v>
      </c>
      <c r="AR31" s="142">
        <v>144726</v>
      </c>
      <c r="AS31" s="150">
        <v>14472.6</v>
      </c>
      <c r="AT31" s="142">
        <v>5702.5</v>
      </c>
      <c r="AU31" s="4" t="s">
        <v>102</v>
      </c>
    </row>
    <row r="32" spans="1:47" x14ac:dyDescent="0.2">
      <c r="A32" s="174"/>
      <c r="B32" s="9" t="s">
        <v>36</v>
      </c>
      <c r="C32" s="14" t="str" cm="1">
        <f t="array" ref="C32:M32">_xlfn.LET(
  _xlpm.program_isNT, RIGHT(Athena_BV!B32,5)="_NT.c",
  _xlpm.program_isT,  RIGHT(Athena_BV!B32,4)="_T.c",
  _xlpm.bv_isCorrect, LOWER(Athena_BV!D32)="correct",
  _xlpm.ma_isCorrect, LOWER(Athena_MA!D32)="correct",
  _xlpm.mi_isCorrect, LOWER(Athena_MI!D32)="correct",
  _xlpm.bv_column, IF(_xlpm.program_isNT, Athena_BV!G32, IF(_xlpm.program_isT, Athena_BV!E32, "")),
  _xlpm.ma_column, IF(_xlpm.program_isNT, Athena_MA!G32, IF(_xlpm.program_isT, Athena_MA!E32, "")),
  _xlpm.mi_column, IF(_xlpm.program_isNT, Athena_MI!G32, IF(_xlpm.program_isT, Athena_MI!E32,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Athena_BV!C32:M32,
    Athena_MA!C32:M32,
    Athena_MI!C32:M32
  )
)</f>
        <v>(FSE_Bitvector_Mode_Incorrect_Update_for_Loop_Iterator_1_T_Loop0_TestCase0, YES, 11421)</v>
      </c>
      <c r="D32" s="142" t="str">
        <v>correct</v>
      </c>
      <c r="E32" s="80">
        <v>1</v>
      </c>
      <c r="F32" s="1" t="str">
        <v>1/1</v>
      </c>
      <c r="G32" s="80" t="str">
        <v/>
      </c>
      <c r="H32" s="1" t="str">
        <v/>
      </c>
      <c r="I32" s="143">
        <v>1</v>
      </c>
      <c r="J32" s="1" t="str">
        <v>1/1</v>
      </c>
      <c r="K32" s="142">
        <v>11421</v>
      </c>
      <c r="L32" s="1">
        <v>11421</v>
      </c>
      <c r="M32" s="140">
        <v>11421</v>
      </c>
      <c r="N32" s="14" t="str" cm="1">
        <f t="array" ref="N32:X32">_xlfn.LET(
  _xlpm.program_isNT, RIGHT(Athena_BV!B32,5)="_NT.c",
  _xlpm.program_isT,  RIGHT(Athena_BV!B32,4)="_T.c",
  _xlpm.bv_isCorrect, LOWER(Athena_BV!O32)="correct",
  _xlpm.ma_isCorrect, LOWER(Athena_MA!O32)="correct",
  _xlpm.mi_isCorrect, LOWER(Athena_MI!O32)="correct",
  _xlpm.bv_column, IF(_xlpm.program_isNT, Athena_BV!R32, IF(_xlpm.program_isT, Athena_BV!P32, "")),
  _xlpm.ma_column, IF(_xlpm.program_isNT, Athena_MA!R32, IF(_xlpm.program_isT, Athena_MA!P32, "")),
  _xlpm.mi_column, IF(_xlpm.program_isNT, Athena_MI!R32, IF(_xlpm.program_isT, Athena_MI!P32,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Athena_BV!N32:X32,
    Athena_MA!N32:X32,
    Athena_MI!N32:X32
  )
)</f>
        <v>(FSE_Bitvector_Mode_Incorrect_Update_for_Loop_Iterator_1_T_Loop19_TestCase0, YES, 9590)</v>
      </c>
      <c r="O32" s="142" t="str">
        <v>correct</v>
      </c>
      <c r="P32" s="80">
        <v>1</v>
      </c>
      <c r="Q32" s="1" t="str">
        <v>1/1</v>
      </c>
      <c r="R32" s="80" t="str">
        <v/>
      </c>
      <c r="S32" s="149" t="str">
        <v/>
      </c>
      <c r="T32" s="80">
        <v>1</v>
      </c>
      <c r="U32" s="1" t="str">
        <v>1/1</v>
      </c>
      <c r="V32" s="142">
        <v>9590</v>
      </c>
      <c r="W32" s="150">
        <v>9590</v>
      </c>
      <c r="X32" s="142">
        <v>9590</v>
      </c>
      <c r="Y32" s="14" t="str" cm="1">
        <f t="array" ref="Y32:AI32">_xlfn.LET(
  _xlpm.program_isNT, RIGHT(Athena_BV!B32,5)="_NT.c",
  _xlpm.program_isT,  RIGHT(Athena_BV!B32,4)="_T.c",
  _xlpm.bv_isCorrect, LOWER(Athena_BV!Z32)="correct",
  _xlpm.ma_isCorrect, LOWER(Athena_MA!Z32)="correct",
  _xlpm.mi_isCorrect, LOWER(Athena_MI!Z32)="correct",
  _xlpm.bv_column, IF(_xlpm.program_isNT, Athena_BV!AC32, IF(_xlpm.program_isT, Athena_BV!AA32, "")),
  _xlpm.ma_column, IF(_xlpm.program_isNT, Athena_MA!AC32, IF(_xlpm.program_isT, Athena_MA!AA32, "")),
  _xlpm.mi_column, IF(_xlpm.program_isNT, Athena_MI!AC32, IF(_xlpm.program_isT, Athena_MI!AA32,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Athena_BV!Y32:AI32,
    Athena_MA!Y32:AI32,
    Athena_MI!Y32:AI32
  )
)</f>
        <v>(FSE_Bitvector_Mode_Incorrect_Update_for_Loop_Iterator_1_T_Loop0_TestCase10, YES, 1715)
(FSE_Bitvector_Mode_Incorrect_Update_for_Loop_Iterator_1_T_Loop0_TestCase9, YES, 1722)
(FSE_Bitvector_Mode_Incorrect_Update_for_Loop_Iterator_1_T_Loop0_TestCase8, YES, 1706)
(FSE_Bitvector_Mode_Incorrect_Update_for_Loop_Iterator_1_T_Loop0_TestCase6, YES, 1848)
(FSE_Bitvector_Mode_Incorrect_Update_for_Loop_Iterator_1_T_Loop0_TestCase7, YES, 1692)
(FSE_Bitvector_Mode_Incorrect_Update_for_Loop_Iterator_1_T_Loop0_TestCase5, YES, 1826)
(FSE_Bitvector_Mode_Incorrect_Update_for_Loop_Iterator_1_T_Loop0_TestCase4, YES, 1735)
(FSE_Bitvector_Mode_Incorrect_Update_for_Loop_Iterator_1_T_Loop0_TestCase1, YES, 2064)
(FSE_Bitvector_Mode_Incorrect_Update_for_Loop_Iterator_1_T_Loop0_TestCase3, YES, 1734)
(FSE_Bitvector_Mode_Incorrect_Update_for_Loop_Iterator_1_T_Loop0_TestCase2, YES, 1714)</v>
      </c>
      <c r="Z32" s="142" t="str">
        <v>correct</v>
      </c>
      <c r="AA32" s="80">
        <v>1</v>
      </c>
      <c r="AB32" s="1" t="str">
        <v>10/10</v>
      </c>
      <c r="AC32" s="80" t="str">
        <v/>
      </c>
      <c r="AD32" s="1" t="str">
        <v/>
      </c>
      <c r="AE32" s="143">
        <v>1</v>
      </c>
      <c r="AF32" s="1" t="str">
        <v>10/10</v>
      </c>
      <c r="AG32" s="142">
        <v>17756</v>
      </c>
      <c r="AH32" s="150">
        <v>1775.6</v>
      </c>
      <c r="AI32" s="142">
        <v>1728</v>
      </c>
      <c r="AJ32" s="14" t="str" cm="1">
        <f t="array" ref="AJ32:AT32">_xlfn.LET(
  _xlpm.program_isNT, RIGHT(Athena_BV!B32,5)="_NT.c",
  _xlpm.program_isT,  RIGHT(Athena_BV!B32,4)="_T.c",
  _xlpm.bv_isCorrect, LOWER(Athena_BV!AK32)="correct",
  _xlpm.ma_isCorrect, LOWER(Athena_MA!AK32)="correct",
  _xlpm.mi_isCorrect, LOWER(Athena_MI!AK32)="correct",
  _xlpm.bv_column, IF(_xlpm.program_isNT, Athena_BV!AN32, IF(_xlpm.program_isT, Athena_BV!AL32, "")),
  _xlpm.ma_column, IF(_xlpm.program_isNT, Athena_MA!AN32, IF(_xlpm.program_isT, Athena_MA!AL32, "")),
  _xlpm.mi_column, IF(_xlpm.program_isNT, Athena_MI!AN32, IF(_xlpm.program_isT, Athena_MI!AL32,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Athena_BV!AJ32:AT32,
    Athena_MA!AJ32:AT32,
    Athena_MI!AJ32:AT32
  )
)</f>
        <v>(FSE_Bitvector_Mode_Incorrect_Update_for_Loop_Iterator_1_T_Loop19_TestCase8, YES, 1738)
(FSE_Bitvector_Mode_Incorrect_Update_for_Loop_Iterator_1_T_Loop19_TestCase9, YES, 1858)
(FSE_Bitvector_Mode_Incorrect_Update_for_Loop_Iterator_1_T_Loop19_TestCase10, YES, 2078)
(FSE_Bitvector_Mode_Incorrect_Update_for_Loop_Iterator_1_T_Loop19_TestCase7, YES, 2053)
(FSE_Bitvector_Mode_Incorrect_Update_for_Loop_Iterator_1_T_Loop19_TestCase6, YES, 1841)
(FSE_Bitvector_Mode_Incorrect_Update_for_Loop_Iterator_1_T_Loop19_TestCase4, YES, 1735)
(FSE_Bitvector_Mode_Incorrect_Update_for_Loop_Iterator_1_T_Loop19_TestCase5, YES, 1852)
(FSE_Bitvector_Mode_Incorrect_Update_for_Loop_Iterator_1_T_Loop19_TestCase1, YES, 2069)
(FSE_Bitvector_Mode_Incorrect_Update_for_Loop_Iterator_1_T_Loop19_TestCase2, YES, 1722)
(FSE_Bitvector_Mode_Incorrect_Update_for_Loop_Iterator_1_T_Loop19_TestCase3, YES, 1761)</v>
      </c>
      <c r="AK32" s="142" t="str">
        <v>correct</v>
      </c>
      <c r="AL32" s="80">
        <v>1</v>
      </c>
      <c r="AM32" s="1" t="str">
        <v>10/10</v>
      </c>
      <c r="AN32" s="80" t="str">
        <v/>
      </c>
      <c r="AO32" s="1" t="str">
        <v/>
      </c>
      <c r="AP32" s="143">
        <v>1</v>
      </c>
      <c r="AQ32" s="1" t="str">
        <v>10/10</v>
      </c>
      <c r="AR32" s="142">
        <v>18707</v>
      </c>
      <c r="AS32" s="150">
        <v>1870.7</v>
      </c>
      <c r="AT32" s="142">
        <v>1846.5</v>
      </c>
      <c r="AU32" s="4" t="s">
        <v>102</v>
      </c>
    </row>
    <row r="33" spans="1:47" x14ac:dyDescent="0.2">
      <c r="A33" s="174"/>
      <c r="B33" s="9" t="s">
        <v>37</v>
      </c>
      <c r="C33" s="14" t="str" cm="1">
        <f t="array" ref="C33:M33">_xlfn.LET(
  _xlpm.program_isNT, RIGHT(Athena_BV!B33,5)="_NT.c",
  _xlpm.program_isT,  RIGHT(Athena_BV!B33,4)="_T.c",
  _xlpm.bv_isCorrect, LOWER(Athena_BV!D33)="correct",
  _xlpm.ma_isCorrect, LOWER(Athena_MA!D33)="correct",
  _xlpm.mi_isCorrect, LOWER(Athena_MI!D33)="correct",
  _xlpm.bv_column, IF(_xlpm.program_isNT, Athena_BV!G33, IF(_xlpm.program_isT, Athena_BV!E33, "")),
  _xlpm.ma_column, IF(_xlpm.program_isNT, Athena_MA!G33, IF(_xlpm.program_isT, Athena_MA!E33, "")),
  _xlpm.mi_column, IF(_xlpm.program_isNT, Athena_MI!G33, IF(_xlpm.program_isT, Athena_MI!E33,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Athena_BV!C33:M33,
    Athena_MA!C33:M33,
    Athena_MI!C33:M33
  )
)</f>
        <v>(FSE_Bitvector_Mode_Incorrect_Update_for_Loop_Iterator_2_NT_Loop0_TestCase0, NO, 1957)</v>
      </c>
      <c r="D33" s="142" t="str">
        <v>correct</v>
      </c>
      <c r="E33" s="80">
        <v>0</v>
      </c>
      <c r="F33" s="1" t="str">
        <v>0/0</v>
      </c>
      <c r="G33" s="80">
        <v>1</v>
      </c>
      <c r="H33" s="1" t="str">
        <v>1/1</v>
      </c>
      <c r="I33" s="143">
        <v>1</v>
      </c>
      <c r="J33" s="1" t="str">
        <v>1/1</v>
      </c>
      <c r="K33" s="142">
        <v>1957</v>
      </c>
      <c r="L33" s="1">
        <v>1957</v>
      </c>
      <c r="M33" s="140">
        <v>1957</v>
      </c>
      <c r="N33" s="14" t="str" cm="1">
        <f t="array" ref="N33:X33">_xlfn.LET(
  _xlpm.program_isNT, RIGHT(Athena_BV!B33,5)="_NT.c",
  _xlpm.program_isT,  RIGHT(Athena_BV!B33,4)="_T.c",
  _xlpm.bv_isCorrect, LOWER(Athena_BV!O33)="correct",
  _xlpm.ma_isCorrect, LOWER(Athena_MA!O33)="correct",
  _xlpm.mi_isCorrect, LOWER(Athena_MI!O33)="correct",
  _xlpm.bv_column, IF(_xlpm.program_isNT, Athena_BV!R33, IF(_xlpm.program_isT, Athena_BV!P33, "")),
  _xlpm.ma_column, IF(_xlpm.program_isNT, Athena_MA!R33, IF(_xlpm.program_isT, Athena_MA!P33, "")),
  _xlpm.mi_column, IF(_xlpm.program_isNT, Athena_MI!R33, IF(_xlpm.program_isT, Athena_MI!P33,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Athena_BV!N33:X33,
    Athena_MA!N33:X33,
    Athena_MI!N33:X33
  )
)</f>
        <v>(FSE_Bitvector_Mode_Incorrect_Update_for_Loop_Iterator_2_NT_Loop15_TestCase0, NO, 1805)</v>
      </c>
      <c r="O33" s="142" t="str">
        <v>correct</v>
      </c>
      <c r="P33" s="80">
        <v>0</v>
      </c>
      <c r="Q33" s="1" t="str">
        <v>0/0</v>
      </c>
      <c r="R33" s="80">
        <v>1</v>
      </c>
      <c r="S33" s="149" t="str">
        <v>1/1</v>
      </c>
      <c r="T33" s="80">
        <v>1</v>
      </c>
      <c r="U33" s="1" t="str">
        <v>1/1</v>
      </c>
      <c r="V33" s="142">
        <v>1805</v>
      </c>
      <c r="W33" s="150">
        <v>1805</v>
      </c>
      <c r="X33" s="142">
        <v>1805</v>
      </c>
      <c r="Y33" s="14" t="str" cm="1">
        <f t="array" ref="Y33:AI33">_xlfn.LET(
  _xlpm.program_isNT, RIGHT(Athena_BV!B33,5)="_NT.c",
  _xlpm.program_isT,  RIGHT(Athena_BV!B33,4)="_T.c",
  _xlpm.bv_isCorrect, LOWER(Athena_BV!Z33)="correct",
  _xlpm.ma_isCorrect, LOWER(Athena_MA!Z33)="correct",
  _xlpm.mi_isCorrect, LOWER(Athena_MI!Z33)="correct",
  _xlpm.bv_column, IF(_xlpm.program_isNT, Athena_BV!AC33, IF(_xlpm.program_isT, Athena_BV!AA33, "")),
  _xlpm.ma_column, IF(_xlpm.program_isNT, Athena_MA!AC33, IF(_xlpm.program_isT, Athena_MA!AA33, "")),
  _xlpm.mi_column, IF(_xlpm.program_isNT, Athena_MI!AC33, IF(_xlpm.program_isT, Athena_MI!AA33,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Athena_BV!Y33:AI33,
    Athena_MA!Y33:AI33,
    Athena_MI!Y33:AI33
  )
)</f>
        <v>(FSE_Bitvector_Mode_Incorrect_Update_for_Loop_Iterator_2_NT_Loop0_TestCase10, NO, 1696)
(FSE_Bitvector_Mode_Incorrect_Update_for_Loop_Iterator_2_NT_Loop0_TestCase8, NO, 1739)
(FSE_Bitvector_Mode_Incorrect_Update_for_Loop_Iterator_2_NT_Loop0_TestCase9, NO, 1742)
(FSE_Bitvector_Mode_Incorrect_Update_for_Loop_Iterator_2_NT_Loop0_TestCase2, YES, 1708)
(FSE_Bitvector_Mode_Incorrect_Update_for_Loop_Iterator_2_NT_Loop0_TestCase3, YES, 1757)
(FSE_Bitvector_Mode_Incorrect_Update_for_Loop_Iterator_2_NT_Loop0_TestCase1, YES, 1700)
(FSE_Bitvector_Mode_Incorrect_Update_for_Loop_Iterator_2_NT_Loop0_TestCase4, YES, 1766)
(FSE_Bitvector_Mode_Incorrect_Update_for_Loop_Iterator_2_NT_Loop0_TestCase5, YES, 2963)
(FSE_Bitvector_Mode_Incorrect_Update_for_Loop_Iterator_2_NT_Loop0_TestCase7, NO, 1686)
(FSE_Bitvector_Mode_Incorrect_Update_for_Loop_Iterator_2_NT_Loop0_TestCase6, NO, 1677)</v>
      </c>
      <c r="Z33" s="142" t="str">
        <v>correct</v>
      </c>
      <c r="AA33" s="80">
        <v>1</v>
      </c>
      <c r="AB33" s="1" t="str">
        <v>5/5</v>
      </c>
      <c r="AC33" s="80">
        <v>1</v>
      </c>
      <c r="AD33" s="1" t="str">
        <v>5/5</v>
      </c>
      <c r="AE33" s="143">
        <v>1</v>
      </c>
      <c r="AF33" s="1" t="str">
        <v>10/10</v>
      </c>
      <c r="AG33" s="142">
        <v>18434</v>
      </c>
      <c r="AH33" s="150">
        <v>1843.4</v>
      </c>
      <c r="AI33" s="142">
        <v>1723.5</v>
      </c>
      <c r="AJ33" s="14" t="str" cm="1">
        <f t="array" ref="AJ33:AT33">_xlfn.LET(
  _xlpm.program_isNT, RIGHT(Athena_BV!B33,5)="_NT.c",
  _xlpm.program_isT,  RIGHT(Athena_BV!B33,4)="_T.c",
  _xlpm.bv_isCorrect, LOWER(Athena_BV!AK33)="correct",
  _xlpm.ma_isCorrect, LOWER(Athena_MA!AK33)="correct",
  _xlpm.mi_isCorrect, LOWER(Athena_MI!AK33)="correct",
  _xlpm.bv_column, IF(_xlpm.program_isNT, Athena_BV!AN33, IF(_xlpm.program_isT, Athena_BV!AL33, "")),
  _xlpm.ma_column, IF(_xlpm.program_isNT, Athena_MA!AN33, IF(_xlpm.program_isT, Athena_MA!AL33, "")),
  _xlpm.mi_column, IF(_xlpm.program_isNT, Athena_MI!AN33, IF(_xlpm.program_isT, Athena_MI!AL33,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Athena_BV!AJ33:AT33,
    Athena_MA!AJ33:AT33,
    Athena_MI!AJ33:AT33
  )
)</f>
        <v>(FSE_Bitvector_Mode_Incorrect_Update_for_Loop_Iterator_2_NT_Loop15_TestCase10, NO, 1810)
(FSE_Bitvector_Mode_Incorrect_Update_for_Loop_Iterator_2_NT_Loop15_TestCase1, YES, 1745)
(FSE_Bitvector_Mode_Incorrect_Update_for_Loop_Iterator_2_NT_Loop15_TestCase2, YES, 1742)
(FSE_Bitvector_Mode_Incorrect_Update_for_Loop_Iterator_2_NT_Loop15_TestCase3, YES, 1785)
(FSE_Bitvector_Mode_Incorrect_Update_for_Loop_Iterator_2_NT_Loop15_TestCase7, NO, 1739)
(FSE_Bitvector_Mode_Incorrect_Update_for_Loop_Iterator_2_NT_Loop15_TestCase6, NO, 1786)
(FSE_Bitvector_Mode_Incorrect_Update_for_Loop_Iterator_2_NT_Loop15_TestCase4, YES, 1779)
(FSE_Bitvector_Mode_Incorrect_Update_for_Loop_Iterator_2_NT_Loop15_TestCase5, YES, 2265)
(FSE_Bitvector_Mode_Incorrect_Update_for_Loop_Iterator_2_NT_Loop15_TestCase8, NO, 1703)
(FSE_Bitvector_Mode_Incorrect_Update_for_Loop_Iterator_2_NT_Loop15_TestCase9, NO, 1775)</v>
      </c>
      <c r="AK33" s="142" t="str">
        <v>correct</v>
      </c>
      <c r="AL33" s="80">
        <v>1</v>
      </c>
      <c r="AM33" s="1" t="str">
        <v>5/5</v>
      </c>
      <c r="AN33" s="80">
        <v>1</v>
      </c>
      <c r="AO33" s="1" t="str">
        <v>5/5</v>
      </c>
      <c r="AP33" s="143">
        <v>1</v>
      </c>
      <c r="AQ33" s="1" t="str">
        <v>10/10</v>
      </c>
      <c r="AR33" s="142">
        <v>18129</v>
      </c>
      <c r="AS33" s="150">
        <v>1812.9</v>
      </c>
      <c r="AT33" s="142">
        <v>1777</v>
      </c>
      <c r="AU33" s="4" t="s">
        <v>102</v>
      </c>
    </row>
    <row r="34" spans="1:47" x14ac:dyDescent="0.2">
      <c r="A34" s="174"/>
      <c r="B34" s="9" t="s">
        <v>38</v>
      </c>
      <c r="C34" s="14" t="str" cm="1">
        <f t="array" ref="C34:M34">_xlfn.LET(
  _xlpm.program_isNT, RIGHT(Athena_BV!B34,5)="_NT.c",
  _xlpm.program_isT,  RIGHT(Athena_BV!B34,4)="_T.c",
  _xlpm.bv_isCorrect, LOWER(Athena_BV!D34)="correct",
  _xlpm.ma_isCorrect, LOWER(Athena_MA!D34)="correct",
  _xlpm.mi_isCorrect, LOWER(Athena_MI!D34)="correct",
  _xlpm.bv_column, IF(_xlpm.program_isNT, Athena_BV!G34, IF(_xlpm.program_isT, Athena_BV!E34, "")),
  _xlpm.ma_column, IF(_xlpm.program_isNT, Athena_MA!G34, IF(_xlpm.program_isT, Athena_MA!E34, "")),
  _xlpm.mi_column, IF(_xlpm.program_isNT, Athena_MI!G34, IF(_xlpm.program_isT, Athena_MI!E34,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Athena_BV!C34:M34,
    Athena_MA!C34:M34,
    Athena_MI!C34:M34
  )
)</f>
        <v>(FSE_Bitvector_Mode_Incorrect_Update_for_Loop_Iterator_2_T_Loop0_TestCase0, YES, 2776)</v>
      </c>
      <c r="D34" s="142" t="str">
        <v>correct</v>
      </c>
      <c r="E34" s="80">
        <v>1</v>
      </c>
      <c r="F34" s="1" t="str">
        <v>1/1</v>
      </c>
      <c r="G34" s="80" t="str">
        <v/>
      </c>
      <c r="H34" s="1" t="str">
        <v/>
      </c>
      <c r="I34" s="143">
        <v>1</v>
      </c>
      <c r="J34" s="1" t="str">
        <v>1/1</v>
      </c>
      <c r="K34" s="142">
        <v>2776</v>
      </c>
      <c r="L34" s="1">
        <v>2776</v>
      </c>
      <c r="M34" s="140">
        <v>2776</v>
      </c>
      <c r="N34" s="14" t="str" cm="1">
        <f t="array" ref="N34:X34">_xlfn.LET(
  _xlpm.program_isNT, RIGHT(Athena_BV!B34,5)="_NT.c",
  _xlpm.program_isT,  RIGHT(Athena_BV!B34,4)="_T.c",
  _xlpm.bv_isCorrect, LOWER(Athena_BV!O34)="correct",
  _xlpm.ma_isCorrect, LOWER(Athena_MA!O34)="correct",
  _xlpm.mi_isCorrect, LOWER(Athena_MI!O34)="correct",
  _xlpm.bv_column, IF(_xlpm.program_isNT, Athena_BV!R34, IF(_xlpm.program_isT, Athena_BV!P34, "")),
  _xlpm.ma_column, IF(_xlpm.program_isNT, Athena_MA!R34, IF(_xlpm.program_isT, Athena_MA!P34, "")),
  _xlpm.mi_column, IF(_xlpm.program_isNT, Athena_MI!R34, IF(_xlpm.program_isT, Athena_MI!P34,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Athena_BV!N34:X34,
    Athena_MA!N34:X34,
    Athena_MI!N34:X34
  )
)</f>
        <v>(FSE_Bitvector_Mode_Incorrect_Update_for_Loop_Iterator_2_T_Loop14_TestCase0, YES, 2461)</v>
      </c>
      <c r="O34" s="142" t="str">
        <v>correct</v>
      </c>
      <c r="P34" s="80">
        <v>1</v>
      </c>
      <c r="Q34" s="1" t="str">
        <v>1/1</v>
      </c>
      <c r="R34" s="80" t="str">
        <v/>
      </c>
      <c r="S34" s="149" t="str">
        <v/>
      </c>
      <c r="T34" s="80">
        <v>1</v>
      </c>
      <c r="U34" s="1" t="str">
        <v>1/1</v>
      </c>
      <c r="V34" s="142">
        <v>2461</v>
      </c>
      <c r="W34" s="150">
        <v>2461</v>
      </c>
      <c r="X34" s="142">
        <v>2461</v>
      </c>
      <c r="Y34" s="14" t="str" cm="1">
        <f t="array" ref="Y34:AI34">_xlfn.LET(
  _xlpm.program_isNT, RIGHT(Athena_BV!B34,5)="_NT.c",
  _xlpm.program_isT,  RIGHT(Athena_BV!B34,4)="_T.c",
  _xlpm.bv_isCorrect, LOWER(Athena_BV!Z34)="correct",
  _xlpm.ma_isCorrect, LOWER(Athena_MA!Z34)="correct",
  _xlpm.mi_isCorrect, LOWER(Athena_MI!Z34)="correct",
  _xlpm.bv_column, IF(_xlpm.program_isNT, Athena_BV!AC34, IF(_xlpm.program_isT, Athena_BV!AA34, "")),
  _xlpm.ma_column, IF(_xlpm.program_isNT, Athena_MA!AC34, IF(_xlpm.program_isT, Athena_MA!AA34, "")),
  _xlpm.mi_column, IF(_xlpm.program_isNT, Athena_MI!AC34, IF(_xlpm.program_isT, Athena_MI!AA34,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Athena_BV!Y34:AI34,
    Athena_MA!Y34:AI34,
    Athena_MI!Y34:AI34
  )
)</f>
        <v>(FSE_Bitvector_Mode_Incorrect_Update_for_Loop_Iterator_2_T_Loop0_TestCase2, YES, 1823)
(FSE_Bitvector_Mode_Incorrect_Update_for_Loop_Iterator_2_T_Loop0_TestCase3, YES, 1723)
(FSE_Bitvector_Mode_Incorrect_Update_for_Loop_Iterator_2_T_Loop0_TestCase1, YES, 1732)
(FSE_Bitvector_Mode_Incorrect_Update_for_Loop_Iterator_2_T_Loop0_TestCase4, YES, 1755)
(FSE_Bitvector_Mode_Incorrect_Update_for_Loop_Iterator_2_T_Loop0_TestCase5, YES, 2385)
(FSE_Bitvector_Mode_Incorrect_Update_for_Loop_Iterator_2_T_Loop0_TestCase7, YES, 1726)
(FSE_Bitvector_Mode_Incorrect_Update_for_Loop_Iterator_2_T_Loop0_TestCase10, YES, 2191)
(FSE_Bitvector_Mode_Incorrect_Update_for_Loop_Iterator_2_T_Loop0_TestCase6, YES, 1683)
(FSE_Bitvector_Mode_Incorrect_Update_for_Loop_Iterator_2_T_Loop0_TestCase8, YES, 2449)
(FSE_Bitvector_Mode_Incorrect_Update_for_Loop_Iterator_2_T_Loop0_TestCase9, YES, 2254)</v>
      </c>
      <c r="Z34" s="142" t="str">
        <v>correct</v>
      </c>
      <c r="AA34" s="80">
        <v>1</v>
      </c>
      <c r="AB34" s="1" t="str">
        <v>10/10</v>
      </c>
      <c r="AC34" s="80" t="str">
        <v/>
      </c>
      <c r="AD34" s="1" t="str">
        <v/>
      </c>
      <c r="AE34" s="143">
        <v>1</v>
      </c>
      <c r="AF34" s="1" t="str">
        <v>10/10</v>
      </c>
      <c r="AG34" s="142">
        <v>19721</v>
      </c>
      <c r="AH34" s="150">
        <v>1972.1</v>
      </c>
      <c r="AI34" s="142">
        <v>1789</v>
      </c>
      <c r="AJ34" s="14" t="str" cm="1">
        <f t="array" ref="AJ34:AT34">_xlfn.LET(
  _xlpm.program_isNT, RIGHT(Athena_BV!B34,5)="_NT.c",
  _xlpm.program_isT,  RIGHT(Athena_BV!B34,4)="_T.c",
  _xlpm.bv_isCorrect, LOWER(Athena_BV!AK34)="correct",
  _xlpm.ma_isCorrect, LOWER(Athena_MA!AK34)="correct",
  _xlpm.mi_isCorrect, LOWER(Athena_MI!AK34)="correct",
  _xlpm.bv_column, IF(_xlpm.program_isNT, Athena_BV!AN34, IF(_xlpm.program_isT, Athena_BV!AL34, "")),
  _xlpm.ma_column, IF(_xlpm.program_isNT, Athena_MA!AN34, IF(_xlpm.program_isT, Athena_MA!AL34, "")),
  _xlpm.mi_column, IF(_xlpm.program_isNT, Athena_MI!AN34, IF(_xlpm.program_isT, Athena_MI!AL34,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Athena_BV!AJ34:AT34,
    Athena_MA!AJ34:AT34,
    Athena_MI!AJ34:AT34
  )
)</f>
        <v>(FSE_Bitvector_Mode_Incorrect_Update_for_Loop_Iterator_2_T_Loop14_TestCase8, YES, 2349)
(FSE_Bitvector_Mode_Incorrect_Update_for_Loop_Iterator_2_T_Loop14_TestCase9, YES, 2365)
(FSE_Bitvector_Mode_Incorrect_Update_for_Loop_Iterator_2_T_Loop14_TestCase2, YES, 1748)
(FSE_Bitvector_Mode_Incorrect_Update_for_Loop_Iterator_2_T_Loop14_TestCase3, YES, 1755)
(FSE_Bitvector_Mode_Incorrect_Update_for_Loop_Iterator_2_T_Loop14_TestCase10, YES, 2258)
(FSE_Bitvector_Mode_Incorrect_Update_for_Loop_Iterator_2_T_Loop14_TestCase1, YES, 1902)
(FSE_Bitvector_Mode_Incorrect_Update_for_Loop_Iterator_2_T_Loop14_TestCase4, YES, 1915)
(FSE_Bitvector_Mode_Incorrect_Update_for_Loop_Iterator_2_T_Loop14_TestCase5, YES, 2255)
(FSE_Bitvector_Mode_Incorrect_Update_for_Loop_Iterator_2_T_Loop14_TestCase7, YES, 1732)
(FSE_Bitvector_Mode_Incorrect_Update_for_Loop_Iterator_2_T_Loop14_TestCase6, YES, 2018)</v>
      </c>
      <c r="AK34" s="142" t="str">
        <v>correct</v>
      </c>
      <c r="AL34" s="80">
        <v>1</v>
      </c>
      <c r="AM34" s="1" t="str">
        <v>10/10</v>
      </c>
      <c r="AN34" s="80" t="str">
        <v/>
      </c>
      <c r="AO34" s="1" t="str">
        <v/>
      </c>
      <c r="AP34" s="143">
        <v>1</v>
      </c>
      <c r="AQ34" s="1" t="str">
        <v>10/10</v>
      </c>
      <c r="AR34" s="142">
        <v>20297</v>
      </c>
      <c r="AS34" s="150">
        <v>2029.7</v>
      </c>
      <c r="AT34" s="142">
        <v>1966.5</v>
      </c>
      <c r="AU34" s="4" t="s">
        <v>102</v>
      </c>
    </row>
    <row r="35" spans="1:47" x14ac:dyDescent="0.2">
      <c r="A35" s="174"/>
      <c r="B35" s="9" t="s">
        <v>39</v>
      </c>
      <c r="C35" s="14" t="str" cm="1">
        <f t="array" ref="C35:M35">_xlfn.LET(
  _xlpm.program_isNT, RIGHT(Athena_BV!B35,5)="_NT.c",
  _xlpm.program_isT,  RIGHT(Athena_BV!B35,4)="_T.c",
  _xlpm.bv_isCorrect, LOWER(Athena_BV!D35)="correct",
  _xlpm.ma_isCorrect, LOWER(Athena_MA!D35)="correct",
  _xlpm.mi_isCorrect, LOWER(Athena_MI!D35)="correct",
  _xlpm.bv_column, IF(_xlpm.program_isNT, Athena_BV!G35, IF(_xlpm.program_isT, Athena_BV!E35, "")),
  _xlpm.ma_column, IF(_xlpm.program_isNT, Athena_MA!G35, IF(_xlpm.program_isT, Athena_MA!E35, "")),
  _xlpm.mi_column, IF(_xlpm.program_isNT, Athena_MI!G35, IF(_xlpm.program_isT, Athena_MI!E35,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Athena_BV!C35:M35,
    Athena_MA!C35:M35,
    Athena_MI!C35:M35
  )
)</f>
        <v>(FSE_Bitvector_Mode_Incorrect_Update_for_Loop_Iterator_3_NT_Loop0_TestCase0, NO, 2108)</v>
      </c>
      <c r="D35" s="142" t="str">
        <v>correct</v>
      </c>
      <c r="E35" s="80">
        <v>0</v>
      </c>
      <c r="F35" s="1" t="str">
        <v>0/0</v>
      </c>
      <c r="G35" s="80">
        <v>1</v>
      </c>
      <c r="H35" s="1" t="str">
        <v>1/1</v>
      </c>
      <c r="I35" s="143">
        <v>1</v>
      </c>
      <c r="J35" s="1" t="str">
        <v>1/1</v>
      </c>
      <c r="K35" s="142">
        <v>2108</v>
      </c>
      <c r="L35" s="1">
        <v>2108</v>
      </c>
      <c r="M35" s="140">
        <v>2108</v>
      </c>
      <c r="N35" s="14" t="str" cm="1">
        <f t="array" ref="N35:X35">_xlfn.LET(
  _xlpm.program_isNT, RIGHT(Athena_BV!B35,5)="_NT.c",
  _xlpm.program_isT,  RIGHT(Athena_BV!B35,4)="_T.c",
  _xlpm.bv_isCorrect, LOWER(Athena_BV!O35)="correct",
  _xlpm.ma_isCorrect, LOWER(Athena_MA!O35)="correct",
  _xlpm.mi_isCorrect, LOWER(Athena_MI!O35)="correct",
  _xlpm.bv_column, IF(_xlpm.program_isNT, Athena_BV!R35, IF(_xlpm.program_isT, Athena_BV!P35, "")),
  _xlpm.ma_column, IF(_xlpm.program_isNT, Athena_MA!R35, IF(_xlpm.program_isT, Athena_MA!P35, "")),
  _xlpm.mi_column, IF(_xlpm.program_isNT, Athena_MI!R35, IF(_xlpm.program_isT, Athena_MI!P35,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Athena_BV!N35:X35,
    Athena_MA!N35:X35,
    Athena_MI!N35:X35
  )
)</f>
        <v>(FSE_Bitvector_Mode_Incorrect_Update_for_Loop_Iterator_3_NT_Loop18_TestCase0, NO, 2006)</v>
      </c>
      <c r="O35" s="142" t="str">
        <v>correct</v>
      </c>
      <c r="P35" s="80">
        <v>0</v>
      </c>
      <c r="Q35" s="1" t="str">
        <v>0/0</v>
      </c>
      <c r="R35" s="80">
        <v>1</v>
      </c>
      <c r="S35" s="149" t="str">
        <v>1/1</v>
      </c>
      <c r="T35" s="80">
        <v>1</v>
      </c>
      <c r="U35" s="1" t="str">
        <v>1/1</v>
      </c>
      <c r="V35" s="142">
        <v>2006</v>
      </c>
      <c r="W35" s="150">
        <v>2006</v>
      </c>
      <c r="X35" s="142">
        <v>2006</v>
      </c>
      <c r="Y35" s="14" t="str" cm="1">
        <f t="array" ref="Y35:AI35">_xlfn.LET(
  _xlpm.program_isNT, RIGHT(Athena_BV!B35,5)="_NT.c",
  _xlpm.program_isT,  RIGHT(Athena_BV!B35,4)="_T.c",
  _xlpm.bv_isCorrect, LOWER(Athena_BV!Z35)="correct",
  _xlpm.ma_isCorrect, LOWER(Athena_MA!Z35)="correct",
  _xlpm.mi_isCorrect, LOWER(Athena_MI!Z35)="correct",
  _xlpm.bv_column, IF(_xlpm.program_isNT, Athena_BV!AC35, IF(_xlpm.program_isT, Athena_BV!AA35, "")),
  _xlpm.ma_column, IF(_xlpm.program_isNT, Athena_MA!AC35, IF(_xlpm.program_isT, Athena_MA!AA35, "")),
  _xlpm.mi_column, IF(_xlpm.program_isNT, Athena_MI!AC35, IF(_xlpm.program_isT, Athena_MI!AA35,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Athena_BV!Y35:AI35,
    Athena_MA!Y35:AI35,
    Athena_MI!Y35:AI35
  )
)</f>
        <v>(FSE_Bitvector_Mode_Incorrect_Update_for_Loop_Iterator_3_NT_Loop0_TestCase9, NO, 1702)
(FSE_Bitvector_Mode_Incorrect_Update_for_Loop_Iterator_3_NT_Loop0_TestCase8, NO, 1707)
(FSE_Bitvector_Mode_Incorrect_Update_for_Loop_Iterator_3_NT_Loop0_TestCase10, NO, 1733)
(FSE_Bitvector_Mode_Incorrect_Update_for_Loop_Iterator_3_NT_Loop0_TestCase6, NO, 1748)
(FSE_Bitvector_Mode_Incorrect_Update_for_Loop_Iterator_3_NT_Loop0_TestCase7, NO, 1739)
(FSE_Bitvector_Mode_Incorrect_Update_for_Loop_Iterator_3_NT_Loop0_TestCase5, YES, 1952)
(FSE_Bitvector_Mode_Incorrect_Update_for_Loop_Iterator_3_NT_Loop0_TestCase4, YES, 1913)
(FSE_Bitvector_Mode_Incorrect_Update_for_Loop_Iterator_3_NT_Loop0_TestCase1, YES, 1791)
(FSE_Bitvector_Mode_Incorrect_Update_for_Loop_Iterator_3_NT_Loop0_TestCase3, YES, 1682)
(FSE_Bitvector_Mode_Incorrect_Update_for_Loop_Iterator_3_NT_Loop0_TestCase2, YES, 1966)</v>
      </c>
      <c r="Z35" s="142" t="str">
        <v>correct</v>
      </c>
      <c r="AA35" s="80">
        <v>1</v>
      </c>
      <c r="AB35" s="1" t="str">
        <v>5/5</v>
      </c>
      <c r="AC35" s="80">
        <v>1</v>
      </c>
      <c r="AD35" s="1" t="str">
        <v>5/5</v>
      </c>
      <c r="AE35" s="143">
        <v>1</v>
      </c>
      <c r="AF35" s="1" t="str">
        <v>10/10</v>
      </c>
      <c r="AG35" s="142">
        <v>17933</v>
      </c>
      <c r="AH35" s="150">
        <v>1793.3</v>
      </c>
      <c r="AI35" s="142">
        <v>1743.5</v>
      </c>
      <c r="AJ35" s="14" t="str" cm="1">
        <f t="array" ref="AJ35:AT35">_xlfn.LET(
  _xlpm.program_isNT, RIGHT(Athena_BV!B35,5)="_NT.c",
  _xlpm.program_isT,  RIGHT(Athena_BV!B35,4)="_T.c",
  _xlpm.bv_isCorrect, LOWER(Athena_BV!AK35)="correct",
  _xlpm.ma_isCorrect, LOWER(Athena_MA!AK35)="correct",
  _xlpm.mi_isCorrect, LOWER(Athena_MI!AK35)="correct",
  _xlpm.bv_column, IF(_xlpm.program_isNT, Athena_BV!AN35, IF(_xlpm.program_isT, Athena_BV!AL35, "")),
  _xlpm.ma_column, IF(_xlpm.program_isNT, Athena_MA!AN35, IF(_xlpm.program_isT, Athena_MA!AL35, "")),
  _xlpm.mi_column, IF(_xlpm.program_isNT, Athena_MI!AN35, IF(_xlpm.program_isT, Athena_MI!AL35,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Athena_BV!AJ35:AT35,
    Athena_MA!AJ35:AT35,
    Athena_MI!AJ35:AT35
  )
)</f>
        <v>(FSE_Bitvector_Mode_Incorrect_Update_for_Loop_Iterator_3_NT_Loop18_TestCase10, NO, 1715)
(FSE_Bitvector_Mode_Incorrect_Update_for_Loop_Iterator_3_NT_Loop18_TestCase9, NO, 1715)
(FSE_Bitvector_Mode_Incorrect_Update_for_Loop_Iterator_3_NT_Loop18_TestCase8, NO, 1668)
(FSE_Bitvector_Mode_Incorrect_Update_for_Loop_Iterator_3_NT_Loop18_TestCase5, YES, 1847)
(FSE_Bitvector_Mode_Incorrect_Update_for_Loop_Iterator_3_NT_Loop18_TestCase4, YES, 2030)
(FSE_Bitvector_Mode_Incorrect_Update_for_Loop_Iterator_3_NT_Loop18_TestCase6, NO, 1731)
(FSE_Bitvector_Mode_Incorrect_Update_for_Loop_Iterator_3_NT_Loop18_TestCase7, NO, 1758)
(FSE_Bitvector_Mode_Incorrect_Update_for_Loop_Iterator_3_NT_Loop18_TestCase3, YES, 1717)
(FSE_Bitvector_Mode_Incorrect_Update_for_Loop_Iterator_3_NT_Loop18_TestCase2, YES, 2134)
(FSE_Bitvector_Mode_Incorrect_Update_for_Loop_Iterator_3_NT_Loop18_TestCase1, YES, 1794)</v>
      </c>
      <c r="AK35" s="142" t="str">
        <v>correct</v>
      </c>
      <c r="AL35" s="80">
        <v>1</v>
      </c>
      <c r="AM35" s="1" t="str">
        <v>5/5</v>
      </c>
      <c r="AN35" s="80">
        <v>1</v>
      </c>
      <c r="AO35" s="1" t="str">
        <v>5/5</v>
      </c>
      <c r="AP35" s="143">
        <v>1</v>
      </c>
      <c r="AQ35" s="1" t="str">
        <v>10/10</v>
      </c>
      <c r="AR35" s="142">
        <v>18109</v>
      </c>
      <c r="AS35" s="150">
        <v>1810.9</v>
      </c>
      <c r="AT35" s="142">
        <v>1744.5</v>
      </c>
      <c r="AU35" s="4" t="s">
        <v>102</v>
      </c>
    </row>
    <row r="36" spans="1:47" x14ac:dyDescent="0.2">
      <c r="A36" s="174"/>
      <c r="B36" s="9" t="s">
        <v>40</v>
      </c>
      <c r="C36" s="14" t="str" cm="1">
        <f t="array" ref="C36:M36">_xlfn.LET(
  _xlpm.program_isNT, RIGHT(Athena_BV!B36,5)="_NT.c",
  _xlpm.program_isT,  RIGHT(Athena_BV!B36,4)="_T.c",
  _xlpm.bv_isCorrect, LOWER(Athena_BV!D36)="correct",
  _xlpm.ma_isCorrect, LOWER(Athena_MA!D36)="correct",
  _xlpm.mi_isCorrect, LOWER(Athena_MI!D36)="correct",
  _xlpm.bv_column, IF(_xlpm.program_isNT, Athena_BV!G36, IF(_xlpm.program_isT, Athena_BV!E36, "")),
  _xlpm.ma_column, IF(_xlpm.program_isNT, Athena_MA!G36, IF(_xlpm.program_isT, Athena_MA!E36, "")),
  _xlpm.mi_column, IF(_xlpm.program_isNT, Athena_MI!G36, IF(_xlpm.program_isT, Athena_MI!E36,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Athena_BV!C36:M36,
    Athena_MA!C36:M36,
    Athena_MI!C36:M36
  )
)</f>
        <v>(FSE_Bitvector_Mode_Missing_Corner-case_Handling_1_NT_Loop0_TestCase0, NO, 1905)</v>
      </c>
      <c r="D36" s="142" t="str">
        <v>correct</v>
      </c>
      <c r="E36" s="80">
        <v>0</v>
      </c>
      <c r="F36" s="1" t="str">
        <v>0/0</v>
      </c>
      <c r="G36" s="80">
        <v>1</v>
      </c>
      <c r="H36" s="1" t="str">
        <v>1/1</v>
      </c>
      <c r="I36" s="143">
        <v>1</v>
      </c>
      <c r="J36" s="1" t="str">
        <v>1/1</v>
      </c>
      <c r="K36" s="142">
        <v>1905</v>
      </c>
      <c r="L36" s="1">
        <v>1905</v>
      </c>
      <c r="M36" s="140">
        <v>1905</v>
      </c>
      <c r="N36" s="14" t="str" cm="1">
        <f t="array" ref="N36:X36">_xlfn.LET(
  _xlpm.program_isNT, RIGHT(Athena_BV!B36,5)="_NT.c",
  _xlpm.program_isT,  RIGHT(Athena_BV!B36,4)="_T.c",
  _xlpm.bv_isCorrect, LOWER(Athena_BV!O36)="correct",
  _xlpm.ma_isCorrect, LOWER(Athena_MA!O36)="correct",
  _xlpm.mi_isCorrect, LOWER(Athena_MI!O36)="correct",
  _xlpm.bv_column, IF(_xlpm.program_isNT, Athena_BV!R36, IF(_xlpm.program_isT, Athena_BV!P36, "")),
  _xlpm.ma_column, IF(_xlpm.program_isNT, Athena_MA!R36, IF(_xlpm.program_isT, Athena_MA!P36, "")),
  _xlpm.mi_column, IF(_xlpm.program_isNT, Athena_MI!R36, IF(_xlpm.program_isT, Athena_MI!P36,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Athena_BV!N36:X36,
    Athena_MA!N36:X36,
    Athena_MI!N36:X36
  )
)</f>
        <v>(FSE_Bitvector_Mode_Missing_Corner-case_Handling_1_NT_Loop40_TestCase0, NO, 1849)</v>
      </c>
      <c r="O36" s="142" t="str">
        <v>correct</v>
      </c>
      <c r="P36" s="80">
        <v>0</v>
      </c>
      <c r="Q36" s="1" t="str">
        <v>0/0</v>
      </c>
      <c r="R36" s="80">
        <v>1</v>
      </c>
      <c r="S36" s="149" t="str">
        <v>1/1</v>
      </c>
      <c r="T36" s="80">
        <v>1</v>
      </c>
      <c r="U36" s="1" t="str">
        <v>1/1</v>
      </c>
      <c r="V36" s="142">
        <v>1849</v>
      </c>
      <c r="W36" s="150">
        <v>1849</v>
      </c>
      <c r="X36" s="142">
        <v>1849</v>
      </c>
      <c r="Y36" s="14" t="str" cm="1">
        <f t="array" ref="Y36:AI36">_xlfn.LET(
  _xlpm.program_isNT, RIGHT(Athena_BV!B36,5)="_NT.c",
  _xlpm.program_isT,  RIGHT(Athena_BV!B36,4)="_T.c",
  _xlpm.bv_isCorrect, LOWER(Athena_BV!Z36)="correct",
  _xlpm.ma_isCorrect, LOWER(Athena_MA!Z36)="correct",
  _xlpm.mi_isCorrect, LOWER(Athena_MI!Z36)="correct",
  _xlpm.bv_column, IF(_xlpm.program_isNT, Athena_BV!AC36, IF(_xlpm.program_isT, Athena_BV!AA36, "")),
  _xlpm.ma_column, IF(_xlpm.program_isNT, Athena_MA!AC36, IF(_xlpm.program_isT, Athena_MA!AA36, "")),
  _xlpm.mi_column, IF(_xlpm.program_isNT, Athena_MI!AC36, IF(_xlpm.program_isT, Athena_MI!AA36,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Athena_BV!Y36:AI36,
    Athena_MA!Y36:AI36,
    Athena_MI!Y36:AI36
  )
)</f>
        <v>(FSE_Bitvector_Mode_Missing_Corner-case_Handling_1_NT_Loop0_TestCase5, YES, 1754)
(FSE_Bitvector_Mode_Missing_Corner-case_Handling_1_NT_Loop0_TestCase4, YES, 1740)
(FSE_Bitvector_Mode_Missing_Corner-case_Handling_1_NT_Loop0_TestCase6, NO, 1750)
(FSE_Bitvector_Mode_Missing_Corner-case_Handling_1_NT_Loop0_TestCase7, NO, 1764)
(FSE_Bitvector_Mode_Missing_Corner-case_Handling_1_NT_Loop0_TestCase3, YES, 1744)
(FSE_Bitvector_Mode_Missing_Corner-case_Handling_1_NT_Loop0_TestCase2, YES, 1736)
(FSE_Bitvector_Mode_Missing_Corner-case_Handling_1_NT_Loop0_TestCase1, YES, 1790)
(FSE_Bitvector_Mode_Missing_Corner-case_Handling_1_NT_Loop0_TestCase10, NO, 1724)
(FSE_Bitvector_Mode_Missing_Corner-case_Handling_1_NT_Loop0_TestCase9, NO, 1762)
(FSE_Bitvector_Mode_Missing_Corner-case_Handling_1_NT_Loop0_TestCase8, NO, 1776)</v>
      </c>
      <c r="Z36" s="142" t="str">
        <v>correct</v>
      </c>
      <c r="AA36" s="80">
        <v>1</v>
      </c>
      <c r="AB36" s="1" t="str">
        <v>5/5</v>
      </c>
      <c r="AC36" s="80">
        <v>1</v>
      </c>
      <c r="AD36" s="1" t="str">
        <v>5/5</v>
      </c>
      <c r="AE36" s="143">
        <v>1</v>
      </c>
      <c r="AF36" s="1" t="str">
        <v>10/10</v>
      </c>
      <c r="AG36" s="142">
        <v>17540</v>
      </c>
      <c r="AH36" s="150">
        <v>1754</v>
      </c>
      <c r="AI36" s="142">
        <v>1752</v>
      </c>
      <c r="AJ36" s="14" t="str" cm="1">
        <f t="array" ref="AJ36:AT36">_xlfn.LET(
  _xlpm.program_isNT, RIGHT(Athena_BV!B36,5)="_NT.c",
  _xlpm.program_isT,  RIGHT(Athena_BV!B36,4)="_T.c",
  _xlpm.bv_isCorrect, LOWER(Athena_BV!AK36)="correct",
  _xlpm.ma_isCorrect, LOWER(Athena_MA!AK36)="correct",
  _xlpm.mi_isCorrect, LOWER(Athena_MI!AK36)="correct",
  _xlpm.bv_column, IF(_xlpm.program_isNT, Athena_BV!AN36, IF(_xlpm.program_isT, Athena_BV!AL36, "")),
  _xlpm.ma_column, IF(_xlpm.program_isNT, Athena_MA!AN36, IF(_xlpm.program_isT, Athena_MA!AL36, "")),
  _xlpm.mi_column, IF(_xlpm.program_isNT, Athena_MI!AN36, IF(_xlpm.program_isT, Athena_MI!AL36,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Athena_BV!AJ36:AT36,
    Athena_MA!AJ36:AT36,
    Athena_MI!AJ36:AT36
  )
)</f>
        <v>(FSE_Bitvector_Mode_Missing_Corner-case_Handling_1_NT_Loop40_TestCase9, NO, 1786)
(FSE_Bitvector_Mode_Missing_Corner-case_Handling_1_NT_Loop40_TestCase8, NO, 1789)
(FSE_Bitvector_Mode_Missing_Corner-case_Handling_1_NT_Loop40_TestCase5, YES, 1741)
(FSE_Bitvector_Mode_Missing_Corner-case_Handling_1_NT_Loop40_TestCase4, YES, 1876)
(FSE_Bitvector_Mode_Missing_Corner-case_Handling_1_NT_Loop40_TestCase6, NO, 1812)
(FSE_Bitvector_Mode_Missing_Corner-case_Handling_1_NT_Loop40_TestCase7, NO, 1752)
(FSE_Bitvector_Mode_Missing_Corner-case_Handling_1_NT_Loop40_TestCase3, YES, 1736)
(FSE_Bitvector_Mode_Missing_Corner-case_Handling_1_NT_Loop40_TestCase2, YES, 1780)
(FSE_Bitvector_Mode_Missing_Corner-case_Handling_1_NT_Loop40_TestCase10, NO, 1761)
(FSE_Bitvector_Mode_Missing_Corner-case_Handling_1_NT_Loop40_TestCase1, YES, 1795)</v>
      </c>
      <c r="AK36" s="142" t="str">
        <v>correct</v>
      </c>
      <c r="AL36" s="80">
        <v>1</v>
      </c>
      <c r="AM36" s="1" t="str">
        <v>5/5</v>
      </c>
      <c r="AN36" s="80">
        <v>1</v>
      </c>
      <c r="AO36" s="1" t="str">
        <v>5/5</v>
      </c>
      <c r="AP36" s="143">
        <v>1</v>
      </c>
      <c r="AQ36" s="1" t="str">
        <v>10/10</v>
      </c>
      <c r="AR36" s="142">
        <v>17828</v>
      </c>
      <c r="AS36" s="150">
        <v>1782.8</v>
      </c>
      <c r="AT36" s="142">
        <v>1783</v>
      </c>
    </row>
    <row r="37" spans="1:47" x14ac:dyDescent="0.2">
      <c r="A37" s="174"/>
      <c r="B37" s="9" t="s">
        <v>41</v>
      </c>
      <c r="C37" s="14" t="str" cm="1">
        <f t="array" ref="C37:M37">_xlfn.LET(
  _xlpm.program_isNT, RIGHT(Athena_BV!B37,5)="_NT.c",
  _xlpm.program_isT,  RIGHT(Athena_BV!B37,4)="_T.c",
  _xlpm.bv_isCorrect, LOWER(Athena_BV!D37)="correct",
  _xlpm.ma_isCorrect, LOWER(Athena_MA!D37)="correct",
  _xlpm.mi_isCorrect, LOWER(Athena_MI!D37)="correct",
  _xlpm.bv_column, IF(_xlpm.program_isNT, Athena_BV!G37, IF(_xlpm.program_isT, Athena_BV!E37, "")),
  _xlpm.ma_column, IF(_xlpm.program_isNT, Athena_MA!G37, IF(_xlpm.program_isT, Athena_MA!E37, "")),
  _xlpm.mi_column, IF(_xlpm.program_isNT, Athena_MI!G37, IF(_xlpm.program_isT, Athena_MI!E37,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Athena_BV!C37:M37,
    Athena_MA!C37:M37,
    Athena_MI!C37:M37
  )
)</f>
        <v>(FSE_Bitvector_Mode_Missing_Corner-case_Handling_1_T_Loop0_TestCase0, YES, 1932)</v>
      </c>
      <c r="D37" s="142" t="str">
        <v>correct</v>
      </c>
      <c r="E37" s="80">
        <v>1</v>
      </c>
      <c r="F37" s="1" t="str">
        <v>1/1</v>
      </c>
      <c r="G37" s="80" t="str">
        <v/>
      </c>
      <c r="H37" s="1" t="str">
        <v/>
      </c>
      <c r="I37" s="143">
        <v>1</v>
      </c>
      <c r="J37" s="1" t="str">
        <v>1/1</v>
      </c>
      <c r="K37" s="142">
        <v>1932</v>
      </c>
      <c r="L37" s="1">
        <v>1932</v>
      </c>
      <c r="M37" s="140">
        <v>1932</v>
      </c>
      <c r="N37" s="14" t="str" cm="1">
        <f t="array" ref="N37:X37">_xlfn.LET(
  _xlpm.program_isNT, RIGHT(Athena_BV!B37,5)="_NT.c",
  _xlpm.program_isT,  RIGHT(Athena_BV!B37,4)="_T.c",
  _xlpm.bv_isCorrect, LOWER(Athena_BV!O37)="correct",
  _xlpm.ma_isCorrect, LOWER(Athena_MA!O37)="correct",
  _xlpm.mi_isCorrect, LOWER(Athena_MI!O37)="correct",
  _xlpm.bv_column, IF(_xlpm.program_isNT, Athena_BV!R37, IF(_xlpm.program_isT, Athena_BV!P37, "")),
  _xlpm.ma_column, IF(_xlpm.program_isNT, Athena_MA!R37, IF(_xlpm.program_isT, Athena_MA!P37, "")),
  _xlpm.mi_column, IF(_xlpm.program_isNT, Athena_MI!R37, IF(_xlpm.program_isT, Athena_MI!P37,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Athena_BV!N37:X37,
    Athena_MA!N37:X37,
    Athena_MI!N37:X37
  )
)</f>
        <v>(FSE_Bitvector_Mode_Missing_Corner-case_Handling_1_T_Loop40_TestCase0, YES, 1845)</v>
      </c>
      <c r="O37" s="142" t="str">
        <v>correct</v>
      </c>
      <c r="P37" s="80">
        <v>1</v>
      </c>
      <c r="Q37" s="1" t="str">
        <v>1/1</v>
      </c>
      <c r="R37" s="80" t="str">
        <v/>
      </c>
      <c r="S37" s="149" t="str">
        <v/>
      </c>
      <c r="T37" s="80">
        <v>1</v>
      </c>
      <c r="U37" s="1" t="str">
        <v>1/1</v>
      </c>
      <c r="V37" s="142">
        <v>1845</v>
      </c>
      <c r="W37" s="150">
        <v>1845</v>
      </c>
      <c r="X37" s="142">
        <v>1845</v>
      </c>
      <c r="Y37" s="14" t="str" cm="1">
        <f t="array" ref="Y37:AI37">_xlfn.LET(
  _xlpm.program_isNT, RIGHT(Athena_BV!B37,5)="_NT.c",
  _xlpm.program_isT,  RIGHT(Athena_BV!B37,4)="_T.c",
  _xlpm.bv_isCorrect, LOWER(Athena_BV!Z37)="correct",
  _xlpm.ma_isCorrect, LOWER(Athena_MA!Z37)="correct",
  _xlpm.mi_isCorrect, LOWER(Athena_MI!Z37)="correct",
  _xlpm.bv_column, IF(_xlpm.program_isNT, Athena_BV!AC37, IF(_xlpm.program_isT, Athena_BV!AA37, "")),
  _xlpm.ma_column, IF(_xlpm.program_isNT, Athena_MA!AC37, IF(_xlpm.program_isT, Athena_MA!AA37, "")),
  _xlpm.mi_column, IF(_xlpm.program_isNT, Athena_MI!AC37, IF(_xlpm.program_isT, Athena_MI!AA37,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Athena_BV!Y37:AI37,
    Athena_MA!Y37:AI37,
    Athena_MI!Y37:AI37
  )
)</f>
        <v>(FSE_Bitvector_Mode_Missing_Corner-case_Handling_1_T_Loop0_TestCase1, YES, 1752)
(FSE_Bitvector_Mode_Missing_Corner-case_Handling_1_T_Loop0_TestCase3, YES, 1751)
(FSE_Bitvector_Mode_Missing_Corner-case_Handling_1_T_Loop0_TestCase2, YES, 1793)
(FSE_Bitvector_Mode_Missing_Corner-case_Handling_1_T_Loop0_TestCase6, YES, 1752)
(FSE_Bitvector_Mode_Missing_Corner-case_Handling_1_T_Loop0_TestCase7, YES, 1844)
(FSE_Bitvector_Mode_Missing_Corner-case_Handling_1_T_Loop0_TestCase5, YES, 1801)
(FSE_Bitvector_Mode_Missing_Corner-case_Handling_1_T_Loop0_TestCase4, YES, 1734)
(FSE_Bitvector_Mode_Missing_Corner-case_Handling_1_T_Loop0_TestCase10, YES, 1733)
(FSE_Bitvector_Mode_Missing_Corner-case_Handling_1_T_Loop0_TestCase9, YES, 1752)
(FSE_Bitvector_Mode_Missing_Corner-case_Handling_1_T_Loop0_TestCase8, YES, 1746)</v>
      </c>
      <c r="Z37" s="142" t="str">
        <v>correct</v>
      </c>
      <c r="AA37" s="80">
        <v>1</v>
      </c>
      <c r="AB37" s="1" t="str">
        <v>10/10</v>
      </c>
      <c r="AC37" s="80" t="str">
        <v/>
      </c>
      <c r="AD37" s="1" t="str">
        <v/>
      </c>
      <c r="AE37" s="143">
        <v>1</v>
      </c>
      <c r="AF37" s="1" t="str">
        <v>10/10</v>
      </c>
      <c r="AG37" s="142">
        <v>17658</v>
      </c>
      <c r="AH37" s="150">
        <v>1765.8</v>
      </c>
      <c r="AI37" s="142">
        <v>1752</v>
      </c>
      <c r="AJ37" s="14" t="str" cm="1">
        <f t="array" ref="AJ37:AT37">_xlfn.LET(
  _xlpm.program_isNT, RIGHT(Athena_BV!B37,5)="_NT.c",
  _xlpm.program_isT,  RIGHT(Athena_BV!B37,4)="_T.c",
  _xlpm.bv_isCorrect, LOWER(Athena_BV!AK37)="correct",
  _xlpm.ma_isCorrect, LOWER(Athena_MA!AK37)="correct",
  _xlpm.mi_isCorrect, LOWER(Athena_MI!AK37)="correct",
  _xlpm.bv_column, IF(_xlpm.program_isNT, Athena_BV!AN37, IF(_xlpm.program_isT, Athena_BV!AL37, "")),
  _xlpm.ma_column, IF(_xlpm.program_isNT, Athena_MA!AN37, IF(_xlpm.program_isT, Athena_MA!AL37, "")),
  _xlpm.mi_column, IF(_xlpm.program_isNT, Athena_MI!AN37, IF(_xlpm.program_isT, Athena_MI!AL37,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Athena_BV!AJ37:AT37,
    Athena_MA!AJ37:AT37,
    Athena_MI!AJ37:AT37
  )
)</f>
        <v>(FSE_Bitvector_Mode_Missing_Corner-case_Handling_1_T_Loop40_TestCase2, YES, 1777)
(FSE_Bitvector_Mode_Missing_Corner-case_Handling_1_T_Loop40_TestCase3, YES, 1829)
(FSE_Bitvector_Mode_Missing_Corner-case_Handling_1_T_Loop40_TestCase1, YES, 1729)
(FSE_Bitvector_Mode_Missing_Corner-case_Handling_1_T_Loop40_TestCase10, YES, 1753)
(FSE_Bitvector_Mode_Missing_Corner-case_Handling_1_T_Loop40_TestCase4, YES, 1784)
(FSE_Bitvector_Mode_Missing_Corner-case_Handling_1_T_Loop40_TestCase5, YES, 1770)
(FSE_Bitvector_Mode_Missing_Corner-case_Handling_1_T_Loop40_TestCase7, YES, 1776)
(FSE_Bitvector_Mode_Missing_Corner-case_Handling_1_T_Loop40_TestCase6, YES, 2165)
(FSE_Bitvector_Mode_Missing_Corner-case_Handling_1_T_Loop40_TestCase8, YES, 1767)
(FSE_Bitvector_Mode_Missing_Corner-case_Handling_1_T_Loop40_TestCase9, YES, 1772)</v>
      </c>
      <c r="AK37" s="142" t="str">
        <v>correct</v>
      </c>
      <c r="AL37" s="80">
        <v>1</v>
      </c>
      <c r="AM37" s="1" t="str">
        <v>10/10</v>
      </c>
      <c r="AN37" s="80" t="str">
        <v/>
      </c>
      <c r="AO37" s="1" t="str">
        <v/>
      </c>
      <c r="AP37" s="143">
        <v>1</v>
      </c>
      <c r="AQ37" s="1" t="str">
        <v>10/10</v>
      </c>
      <c r="AR37" s="142">
        <v>18122</v>
      </c>
      <c r="AS37" s="150">
        <v>1812.2</v>
      </c>
      <c r="AT37" s="142">
        <v>1774</v>
      </c>
    </row>
    <row r="38" spans="1:47" x14ac:dyDescent="0.2">
      <c r="A38" s="174"/>
      <c r="B38" s="9" t="s">
        <v>42</v>
      </c>
      <c r="C38" s="14" t="str" cm="1">
        <f t="array" ref="C38:M38">_xlfn.LET(
  _xlpm.program_isNT, RIGHT(Athena_BV!B38,5)="_NT.c",
  _xlpm.program_isT,  RIGHT(Athena_BV!B38,4)="_T.c",
  _xlpm.bv_isCorrect, LOWER(Athena_BV!D38)="correct",
  _xlpm.ma_isCorrect, LOWER(Athena_MA!D38)="correct",
  _xlpm.mi_isCorrect, LOWER(Athena_MI!D38)="correct",
  _xlpm.bv_column, IF(_xlpm.program_isNT, Athena_BV!G38, IF(_xlpm.program_isT, Athena_BV!E38, "")),
  _xlpm.ma_column, IF(_xlpm.program_isNT, Athena_MA!G38, IF(_xlpm.program_isT, Athena_MA!E38, "")),
  _xlpm.mi_column, IF(_xlpm.program_isNT, Athena_MI!G38, IF(_xlpm.program_isT, Athena_MI!E38,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Athena_BV!C38:M38,
    Athena_MA!C38:M38,
    Athena_MI!C38:M38
  )
)</f>
        <v>(FSE_Bitvector_Mode_Missing_Corner-case_Handling_2_NT_Loop0_TestCase0, NO, 1718)</v>
      </c>
      <c r="D38" s="142" t="str">
        <v>correct</v>
      </c>
      <c r="E38" s="80">
        <v>0</v>
      </c>
      <c r="F38" s="1" t="str">
        <v>0/0</v>
      </c>
      <c r="G38" s="80">
        <v>1</v>
      </c>
      <c r="H38" s="1" t="str">
        <v>1/1</v>
      </c>
      <c r="I38" s="143">
        <v>1</v>
      </c>
      <c r="J38" s="1" t="str">
        <v>1/1</v>
      </c>
      <c r="K38" s="142">
        <v>1718</v>
      </c>
      <c r="L38" s="1">
        <v>1718</v>
      </c>
      <c r="M38" s="140">
        <v>1718</v>
      </c>
      <c r="N38" s="14" t="str" cm="1">
        <f t="array" ref="N38:X38">_xlfn.LET(
  _xlpm.program_isNT, RIGHT(Athena_BV!B38,5)="_NT.c",
  _xlpm.program_isT,  RIGHT(Athena_BV!B38,4)="_T.c",
  _xlpm.bv_isCorrect, LOWER(Athena_BV!O38)="correct",
  _xlpm.ma_isCorrect, LOWER(Athena_MA!O38)="correct",
  _xlpm.mi_isCorrect, LOWER(Athena_MI!O38)="correct",
  _xlpm.bv_column, IF(_xlpm.program_isNT, Athena_BV!R38, IF(_xlpm.program_isT, Athena_BV!P38, "")),
  _xlpm.ma_column, IF(_xlpm.program_isNT, Athena_MA!R38, IF(_xlpm.program_isT, Athena_MA!P38, "")),
  _xlpm.mi_column, IF(_xlpm.program_isNT, Athena_MI!R38, IF(_xlpm.program_isT, Athena_MI!P38,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Athena_BV!N38:X38,
    Athena_MA!N38:X38,
    Athena_MI!N38:X38
  )
)</f>
        <v>(FSE_Bitvector_Mode_Missing_Corner-case_Handling_2_NT_Loop17_TestCase0, NO, 1778)</v>
      </c>
      <c r="O38" s="142" t="str">
        <v>correct</v>
      </c>
      <c r="P38" s="80">
        <v>0</v>
      </c>
      <c r="Q38" s="1" t="str">
        <v>0/0</v>
      </c>
      <c r="R38" s="80">
        <v>1</v>
      </c>
      <c r="S38" s="149" t="str">
        <v>1/1</v>
      </c>
      <c r="T38" s="80">
        <v>1</v>
      </c>
      <c r="U38" s="1" t="str">
        <v>1/1</v>
      </c>
      <c r="V38" s="142">
        <v>1778</v>
      </c>
      <c r="W38" s="150">
        <v>1778</v>
      </c>
      <c r="X38" s="142">
        <v>1778</v>
      </c>
      <c r="Y38" s="14" t="str" cm="1">
        <f t="array" ref="Y38:AI38">_xlfn.LET(
  _xlpm.program_isNT, RIGHT(Athena_BV!B38,5)="_NT.c",
  _xlpm.program_isT,  RIGHT(Athena_BV!B38,4)="_T.c",
  _xlpm.bv_isCorrect, LOWER(Athena_BV!Z38)="correct",
  _xlpm.ma_isCorrect, LOWER(Athena_MA!Z38)="correct",
  _xlpm.mi_isCorrect, LOWER(Athena_MI!Z38)="correct",
  _xlpm.bv_column, IF(_xlpm.program_isNT, Athena_BV!AC38, IF(_xlpm.program_isT, Athena_BV!AA38, "")),
  _xlpm.ma_column, IF(_xlpm.program_isNT, Athena_MA!AC38, IF(_xlpm.program_isT, Athena_MA!AA38, "")),
  _xlpm.mi_column, IF(_xlpm.program_isNT, Athena_MI!AC38, IF(_xlpm.program_isT, Athena_MI!AA38,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Athena_BV!Y38:AI38,
    Athena_MA!Y38:AI38,
    Athena_MI!Y38:AI38
  )
)</f>
        <v>(FSE_Bitvector_Mode_Missing_Corner-case_Handling_2_NT_Loop0_TestCase10, NO, 1704)
(FSE_Bitvector_Mode_Missing_Corner-case_Handling_2_NT_Loop0_TestCase1, YES, 1725)
(FSE_Bitvector_Mode_Missing_Corner-case_Handling_2_NT_Loop0_TestCase3, YES, 1708)
(FSE_Bitvector_Mode_Missing_Corner-case_Handling_2_NT_Loop0_TestCase2, YES, 1675)
(FSE_Bitvector_Mode_Missing_Corner-case_Handling_2_NT_Loop0_TestCase6, NO, 1716)
(FSE_Bitvector_Mode_Missing_Corner-case_Handling_2_NT_Loop0_TestCase7, NO, 1716)
(FSE_Bitvector_Mode_Missing_Corner-case_Handling_2_NT_Loop0_TestCase5, YES, 1813)
(FSE_Bitvector_Mode_Missing_Corner-case_Handling_2_NT_Loop0_TestCase4, YES, 1723)
(FSE_Bitvector_Mode_Missing_Corner-case_Handling_2_NT_Loop0_TestCase9, NO, 1702)
(FSE_Bitvector_Mode_Missing_Corner-case_Handling_2_NT_Loop0_TestCase8, NO, 1716)</v>
      </c>
      <c r="Z38" s="142" t="str">
        <v>correct</v>
      </c>
      <c r="AA38" s="80">
        <v>1</v>
      </c>
      <c r="AB38" s="1" t="str">
        <v>5/5</v>
      </c>
      <c r="AC38" s="80">
        <v>1</v>
      </c>
      <c r="AD38" s="1" t="str">
        <v>5/5</v>
      </c>
      <c r="AE38" s="143">
        <v>1</v>
      </c>
      <c r="AF38" s="1" t="str">
        <v>10/10</v>
      </c>
      <c r="AG38" s="142">
        <v>17198</v>
      </c>
      <c r="AH38" s="150">
        <v>1719.8</v>
      </c>
      <c r="AI38" s="142">
        <v>1716</v>
      </c>
      <c r="AJ38" s="14" t="str" cm="1">
        <f t="array" ref="AJ38:AT38">_xlfn.LET(
  _xlpm.program_isNT, RIGHT(Athena_BV!B38,5)="_NT.c",
  _xlpm.program_isT,  RIGHT(Athena_BV!B38,4)="_T.c",
  _xlpm.bv_isCorrect, LOWER(Athena_BV!AK38)="correct",
  _xlpm.ma_isCorrect, LOWER(Athena_MA!AK38)="correct",
  _xlpm.mi_isCorrect, LOWER(Athena_MI!AK38)="correct",
  _xlpm.bv_column, IF(_xlpm.program_isNT, Athena_BV!AN38, IF(_xlpm.program_isT, Athena_BV!AL38, "")),
  _xlpm.ma_column, IF(_xlpm.program_isNT, Athena_MA!AN38, IF(_xlpm.program_isT, Athena_MA!AL38, "")),
  _xlpm.mi_column, IF(_xlpm.program_isNT, Athena_MI!AN38, IF(_xlpm.program_isT, Athena_MI!AL38,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Athena_BV!AJ38:AT38,
    Athena_MA!AJ38:AT38,
    Athena_MI!AJ38:AT38
  )
)</f>
        <v>(FSE_Bitvector_Mode_Missing_Corner-case_Handling_2_NT_Loop17_TestCase8, NO, 1760)
(FSE_Bitvector_Mode_Missing_Corner-case_Handling_2_NT_Loop17_TestCase9, NO, 1782)
(FSE_Bitvector_Mode_Missing_Corner-case_Handling_2_NT_Loop17_TestCase2, YES, 1729)
(FSE_Bitvector_Mode_Missing_Corner-case_Handling_2_NT_Loop17_TestCase3, YES, 1735)
(FSE_Bitvector_Mode_Missing_Corner-case_Handling_2_NT_Loop17_TestCase1, YES, 1701)
(FSE_Bitvector_Mode_Missing_Corner-case_Handling_2_NT_Loop17_TestCase4, YES, 1735)
(FSE_Bitvector_Mode_Missing_Corner-case_Handling_2_NT_Loop17_TestCase5, YES, 1749)
(FSE_Bitvector_Mode_Missing_Corner-case_Handling_2_NT_Loop17_TestCase7, NO, 2006)
(FSE_Bitvector_Mode_Missing_Corner-case_Handling_2_NT_Loop17_TestCase6, NO, 1809)
(FSE_Bitvector_Mode_Missing_Corner-case_Handling_2_NT_Loop17_TestCase10, NO, 1712)</v>
      </c>
      <c r="AK38" s="142" t="str">
        <v>correct</v>
      </c>
      <c r="AL38" s="80">
        <v>1</v>
      </c>
      <c r="AM38" s="1" t="str">
        <v>5/5</v>
      </c>
      <c r="AN38" s="80">
        <v>1</v>
      </c>
      <c r="AO38" s="1" t="str">
        <v>5/5</v>
      </c>
      <c r="AP38" s="143">
        <v>1</v>
      </c>
      <c r="AQ38" s="1" t="str">
        <v>10/10</v>
      </c>
      <c r="AR38" s="142">
        <v>17718</v>
      </c>
      <c r="AS38" s="150">
        <v>1771.8</v>
      </c>
      <c r="AT38" s="142">
        <v>1742</v>
      </c>
      <c r="AU38" s="4" t="s">
        <v>97</v>
      </c>
    </row>
    <row r="39" spans="1:47" x14ac:dyDescent="0.2">
      <c r="A39" s="174"/>
      <c r="B39" s="9" t="s">
        <v>43</v>
      </c>
      <c r="C39" s="14" t="str" cm="1">
        <f t="array" ref="C39:M39">_xlfn.LET(
  _xlpm.program_isNT, RIGHT(Athena_BV!B39,5)="_NT.c",
  _xlpm.program_isT,  RIGHT(Athena_BV!B39,4)="_T.c",
  _xlpm.bv_isCorrect, LOWER(Athena_BV!D39)="correct",
  _xlpm.ma_isCorrect, LOWER(Athena_MA!D39)="correct",
  _xlpm.mi_isCorrect, LOWER(Athena_MI!D39)="correct",
  _xlpm.bv_column, IF(_xlpm.program_isNT, Athena_BV!G39, IF(_xlpm.program_isT, Athena_BV!E39, "")),
  _xlpm.ma_column, IF(_xlpm.program_isNT, Athena_MA!G39, IF(_xlpm.program_isT, Athena_MA!E39, "")),
  _xlpm.mi_column, IF(_xlpm.program_isNT, Athena_MI!G39, IF(_xlpm.program_isT, Athena_MI!E39,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Athena_BV!C39:M39,
    Athena_MA!C39:M39,
    Athena_MI!C39:M39
  )
)</f>
        <v>(FSE_Bitvector_Mode_Missing_Corner-case_Handling_2_T_Loop0_TestCase0, YES, 2110)</v>
      </c>
      <c r="D39" s="142" t="str">
        <v>correct</v>
      </c>
      <c r="E39" s="80">
        <v>1</v>
      </c>
      <c r="F39" s="1" t="str">
        <v>1/1</v>
      </c>
      <c r="G39" s="80" t="str">
        <v/>
      </c>
      <c r="H39" s="1" t="str">
        <v/>
      </c>
      <c r="I39" s="143">
        <v>1</v>
      </c>
      <c r="J39" s="1" t="str">
        <v>1/1</v>
      </c>
      <c r="K39" s="142">
        <v>2110</v>
      </c>
      <c r="L39" s="1">
        <v>2110</v>
      </c>
      <c r="M39" s="140">
        <v>2110</v>
      </c>
      <c r="N39" s="14" t="str" cm="1">
        <f t="array" ref="N39:X39">_xlfn.LET(
  _xlpm.program_isNT, RIGHT(Athena_BV!B39,5)="_NT.c",
  _xlpm.program_isT,  RIGHT(Athena_BV!B39,4)="_T.c",
  _xlpm.bv_isCorrect, LOWER(Athena_BV!O39)="correct",
  _xlpm.ma_isCorrect, LOWER(Athena_MA!O39)="correct",
  _xlpm.mi_isCorrect, LOWER(Athena_MI!O39)="correct",
  _xlpm.bv_column, IF(_xlpm.program_isNT, Athena_BV!R39, IF(_xlpm.program_isT, Athena_BV!P39, "")),
  _xlpm.ma_column, IF(_xlpm.program_isNT, Athena_MA!R39, IF(_xlpm.program_isT, Athena_MA!P39, "")),
  _xlpm.mi_column, IF(_xlpm.program_isNT, Athena_MI!R39, IF(_xlpm.program_isT, Athena_MI!P39,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Athena_BV!N39:X39,
    Athena_MA!N39:X39,
    Athena_MI!N39:X39
  )
)</f>
        <v>(FSE_Bitvector_Mode_Missing_Corner-case_Handling_2_T_Loop16_TestCase0, YES, 1783)</v>
      </c>
      <c r="O39" s="142" t="str">
        <v>correct</v>
      </c>
      <c r="P39" s="80">
        <v>1</v>
      </c>
      <c r="Q39" s="1" t="str">
        <v>1/1</v>
      </c>
      <c r="R39" s="80" t="str">
        <v/>
      </c>
      <c r="S39" s="149" t="str">
        <v/>
      </c>
      <c r="T39" s="80">
        <v>1</v>
      </c>
      <c r="U39" s="1" t="str">
        <v>1/1</v>
      </c>
      <c r="V39" s="142">
        <v>1783</v>
      </c>
      <c r="W39" s="150">
        <v>1783</v>
      </c>
      <c r="X39" s="142">
        <v>1783</v>
      </c>
      <c r="Y39" s="14" t="str" cm="1">
        <f t="array" ref="Y39:AI39">_xlfn.LET(
  _xlpm.program_isNT, RIGHT(Athena_BV!B39,5)="_NT.c",
  _xlpm.program_isT,  RIGHT(Athena_BV!B39,4)="_T.c",
  _xlpm.bv_isCorrect, LOWER(Athena_BV!Z39)="correct",
  _xlpm.ma_isCorrect, LOWER(Athena_MA!Z39)="correct",
  _xlpm.mi_isCorrect, LOWER(Athena_MI!Z39)="correct",
  _xlpm.bv_column, IF(_xlpm.program_isNT, Athena_BV!AC39, IF(_xlpm.program_isT, Athena_BV!AA39, "")),
  _xlpm.ma_column, IF(_xlpm.program_isNT, Athena_MA!AC39, IF(_xlpm.program_isT, Athena_MA!AA39, "")),
  _xlpm.mi_column, IF(_xlpm.program_isNT, Athena_MI!AC39, IF(_xlpm.program_isT, Athena_MI!AA39,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Athena_BV!Y39:AI39,
    Athena_MA!Y39:AI39,
    Athena_MI!Y39:AI39
  )
)</f>
        <v>(FSE_Bitvector_Mode_Missing_Corner-case_Handling_2_T_Loop0_TestCase8, YES, 1717)
(FSE_Bitvector_Mode_Missing_Corner-case_Handling_2_T_Loop0_TestCase9, YES, 1723)
(FSE_Bitvector_Mode_Missing_Corner-case_Handling_2_T_Loop0_TestCase4, YES, 1692)
(FSE_Bitvector_Mode_Missing_Corner-case_Handling_2_T_Loop0_TestCase5, YES, 1812)
(FSE_Bitvector_Mode_Missing_Corner-case_Handling_2_T_Loop0_TestCase7, YES, 1714)
(FSE_Bitvector_Mode_Missing_Corner-case_Handling_2_T_Loop0_TestCase6, YES, 1733)
(FSE_Bitvector_Mode_Missing_Corner-case_Handling_2_T_Loop0_TestCase2, YES, 1710)
(FSE_Bitvector_Mode_Missing_Corner-case_Handling_2_T_Loop0_TestCase10, YES, 1728)
(FSE_Bitvector_Mode_Missing_Corner-case_Handling_2_T_Loop0_TestCase3, YES, 1719)
(FSE_Bitvector_Mode_Missing_Corner-case_Handling_2_T_Loop0_TestCase1, YES, 1684)</v>
      </c>
      <c r="Z39" s="142" t="str">
        <v>correct</v>
      </c>
      <c r="AA39" s="80">
        <v>1</v>
      </c>
      <c r="AB39" s="1" t="str">
        <v>10/10</v>
      </c>
      <c r="AC39" s="80" t="str">
        <v/>
      </c>
      <c r="AD39" s="1" t="str">
        <v/>
      </c>
      <c r="AE39" s="143">
        <v>1</v>
      </c>
      <c r="AF39" s="1" t="str">
        <v>10/10</v>
      </c>
      <c r="AG39" s="142">
        <v>17232</v>
      </c>
      <c r="AH39" s="150">
        <v>1723.2</v>
      </c>
      <c r="AI39" s="142">
        <v>1718</v>
      </c>
      <c r="AJ39" s="14" t="str" cm="1">
        <f t="array" ref="AJ39:AT39">_xlfn.LET(
  _xlpm.program_isNT, RIGHT(Athena_BV!B39,5)="_NT.c",
  _xlpm.program_isT,  RIGHT(Athena_BV!B39,4)="_T.c",
  _xlpm.bv_isCorrect, LOWER(Athena_BV!AK39)="correct",
  _xlpm.ma_isCorrect, LOWER(Athena_MA!AK39)="correct",
  _xlpm.mi_isCorrect, LOWER(Athena_MI!AK39)="correct",
  _xlpm.bv_column, IF(_xlpm.program_isNT, Athena_BV!AN39, IF(_xlpm.program_isT, Athena_BV!AL39, "")),
  _xlpm.ma_column, IF(_xlpm.program_isNT, Athena_MA!AN39, IF(_xlpm.program_isT, Athena_MA!AL39, "")),
  _xlpm.mi_column, IF(_xlpm.program_isNT, Athena_MI!AN39, IF(_xlpm.program_isT, Athena_MI!AL39,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Athena_BV!AJ39:AT39,
    Athena_MA!AJ39:AT39,
    Athena_MI!AJ39:AT39
  )
)</f>
        <v>(FSE_Bitvector_Mode_Missing_Corner-case_Handling_2_T_Loop16_TestCase8, YES, 1696)
(FSE_Bitvector_Mode_Missing_Corner-case_Handling_2_T_Loop16_TestCase9, YES, 1739)
(FSE_Bitvector_Mode_Missing_Corner-case_Handling_2_T_Loop16_TestCase2, YES, 1730)
(FSE_Bitvector_Mode_Missing_Corner-case_Handling_2_T_Loop16_TestCase3, YES, 1731)
(FSE_Bitvector_Mode_Missing_Corner-case_Handling_2_T_Loop16_TestCase1, YES, 1715)
(FSE_Bitvector_Mode_Missing_Corner-case_Handling_2_T_Loop16_TestCase4, YES, 1736)
(FSE_Bitvector_Mode_Missing_Corner-case_Handling_2_T_Loop16_TestCase5, YES, 1710)
(FSE_Bitvector_Mode_Missing_Corner-case_Handling_2_T_Loop16_TestCase7, YES, 2022)
(FSE_Bitvector_Mode_Missing_Corner-case_Handling_2_T_Loop16_TestCase10, YES, 1720)
(FSE_Bitvector_Mode_Missing_Corner-case_Handling_2_T_Loop16_TestCase6, YES, 1770)</v>
      </c>
      <c r="AK39" s="142" t="str">
        <v>correct</v>
      </c>
      <c r="AL39" s="80">
        <v>1</v>
      </c>
      <c r="AM39" s="1" t="str">
        <v>10/10</v>
      </c>
      <c r="AN39" s="80" t="str">
        <v/>
      </c>
      <c r="AO39" s="1" t="str">
        <v/>
      </c>
      <c r="AP39" s="143">
        <v>1</v>
      </c>
      <c r="AQ39" s="1" t="str">
        <v>10/10</v>
      </c>
      <c r="AR39" s="142">
        <v>17569</v>
      </c>
      <c r="AS39" s="150">
        <v>1756.9</v>
      </c>
      <c r="AT39" s="142">
        <v>1730.5</v>
      </c>
      <c r="AU39" s="4" t="s">
        <v>97</v>
      </c>
    </row>
    <row r="40" spans="1:47" x14ac:dyDescent="0.2">
      <c r="A40" s="174"/>
      <c r="B40" s="9" t="s">
        <v>44</v>
      </c>
      <c r="C40" s="14" t="str" cm="1">
        <f t="array" ref="C40:M40">_xlfn.LET(
  _xlpm.program_isNT, RIGHT(Athena_BV!B40,5)="_NT.c",
  _xlpm.program_isT,  RIGHT(Athena_BV!B40,4)="_T.c",
  _xlpm.bv_isCorrect, LOWER(Athena_BV!D40)="correct",
  _xlpm.ma_isCorrect, LOWER(Athena_MA!D40)="correct",
  _xlpm.mi_isCorrect, LOWER(Athena_MI!D40)="correct",
  _xlpm.bv_column, IF(_xlpm.program_isNT, Athena_BV!G40, IF(_xlpm.program_isT, Athena_BV!E40, "")),
  _xlpm.ma_column, IF(_xlpm.program_isNT, Athena_MA!G40, IF(_xlpm.program_isT, Athena_MA!E40, "")),
  _xlpm.mi_column, IF(_xlpm.program_isNT, Athena_MI!G40, IF(_xlpm.program_isT, Athena_MI!E40,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Athena_BV!C40:M40,
    Athena_MA!C40:M40,
    Athena_MI!C40:M40
  )
)</f>
        <v>(FSE_Bitvector_Mode_Missing_Corner-case_Handling_3_NT_Loop0_TestCase0, TIMEOUT, 302032)</v>
      </c>
      <c r="D40" s="142" t="str">
        <v>correct</v>
      </c>
      <c r="E40" s="80">
        <v>0</v>
      </c>
      <c r="F40" s="1" t="str">
        <v>0/0</v>
      </c>
      <c r="G40" s="80">
        <v>0</v>
      </c>
      <c r="H40" s="1" t="str">
        <v>0/1</v>
      </c>
      <c r="I40" s="143">
        <v>0</v>
      </c>
      <c r="J40" s="1" t="str">
        <v>0/1</v>
      </c>
      <c r="K40" s="142">
        <v>0</v>
      </c>
      <c r="L40" s="1">
        <v>0</v>
      </c>
      <c r="M40" s="140">
        <v>0</v>
      </c>
      <c r="N40" s="14" t="str" cm="1">
        <f t="array" ref="N40:X40">_xlfn.LET(
  _xlpm.program_isNT, RIGHT(Athena_BV!B40,5)="_NT.c",
  _xlpm.program_isT,  RIGHT(Athena_BV!B40,4)="_T.c",
  _xlpm.bv_isCorrect, LOWER(Athena_BV!O40)="correct",
  _xlpm.ma_isCorrect, LOWER(Athena_MA!O40)="correct",
  _xlpm.mi_isCorrect, LOWER(Athena_MI!O40)="correct",
  _xlpm.bv_column, IF(_xlpm.program_isNT, Athena_BV!R40, IF(_xlpm.program_isT, Athena_BV!P40, "")),
  _xlpm.ma_column, IF(_xlpm.program_isNT, Athena_MA!R40, IF(_xlpm.program_isT, Athena_MA!P40, "")),
  _xlpm.mi_column, IF(_xlpm.program_isNT, Athena_MI!R40, IF(_xlpm.program_isT, Athena_MI!P40,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Athena_BV!N40:X40,
    Athena_MA!N40:X40,
    Athena_MI!N40:X40
  )
)</f>
        <v>(FSE_Bitvector_Mode_Missing_Corner-case_Handling_3_NT_Loop19_TestCase0, TIMEOUT, 302022)
(FSE_Bitvector_Mode_Missing_Corner-case_Handling_3_NT_Loop33_TestCase0, TIMEOUT, 301721)
(FSE_Bitvector_Mode_Missing_Corner-case_Handling_3_NT_Loop31_TestCase0, TIMEOUT, 301976)
(FSE_Bitvector_Mode_Missing_Corner-case_Handling_3_NT_Loop21_TestCase0, TIMEOUT, 302034)</v>
      </c>
      <c r="O40" s="142" t="str">
        <v>correct</v>
      </c>
      <c r="P40" s="80">
        <v>0</v>
      </c>
      <c r="Q40" s="1" t="str">
        <v>0/0</v>
      </c>
      <c r="R40" s="80">
        <v>0</v>
      </c>
      <c r="S40" s="149" t="str">
        <v>0/4</v>
      </c>
      <c r="T40" s="80">
        <v>0</v>
      </c>
      <c r="U40" s="1" t="str">
        <v>0/4</v>
      </c>
      <c r="V40" s="142">
        <v>0</v>
      </c>
      <c r="W40" s="150">
        <v>0</v>
      </c>
      <c r="X40" s="142">
        <v>0</v>
      </c>
      <c r="Y40" s="14" t="str" cm="1">
        <f t="array" ref="Y40:AI40">_xlfn.LET(
  _xlpm.program_isNT, RIGHT(Athena_BV!B40,5)="_NT.c",
  _xlpm.program_isT,  RIGHT(Athena_BV!B40,4)="_T.c",
  _xlpm.bv_isCorrect, LOWER(Athena_BV!Z40)="correct",
  _xlpm.ma_isCorrect, LOWER(Athena_MA!Z40)="correct",
  _xlpm.mi_isCorrect, LOWER(Athena_MI!Z40)="correct",
  _xlpm.bv_column, IF(_xlpm.program_isNT, Athena_BV!AC40, IF(_xlpm.program_isT, Athena_BV!AA40, "")),
  _xlpm.ma_column, IF(_xlpm.program_isNT, Athena_MA!AC40, IF(_xlpm.program_isT, Athena_MA!AA40, "")),
  _xlpm.mi_column, IF(_xlpm.program_isNT, Athena_MI!AC40, IF(_xlpm.program_isT, Athena_MI!AA40,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Athena_BV!Y40:AI40,
    Athena_MA!Y40:AI40,
    Athena_MI!Y40:AI40
  )
)</f>
        <v>(FSE_Bitvector_Mode_Missing_Corner-case_Handling_3_NT_Loop0_TestCase4, TIMEOUT, 301766)
(FSE_Bitvector_Mode_Missing_Corner-case_Handling_3_NT_Loop0_TestCase5, TIMEOUT, 301889)
(FSE_Bitvector_Mode_Missing_Corner-case_Handling_3_NT_Loop0_TestCase7, TIMEOUT, 301941)
(FSE_Bitvector_Mode_Missing_Corner-case_Handling_3_NT_Loop0_TestCase6, TIMEOUT, 301986)
(FSE_Bitvector_Mode_Missing_Corner-case_Handling_3_NT_Loop0_TestCase2, TIMEOUT, 301855)
(FSE_Bitvector_Mode_Missing_Corner-case_Handling_3_NT_Loop0_TestCase3, TIMEOUT, 301827)
(FSE_Bitvector_Mode_Missing_Corner-case_Handling_3_NT_Loop0_TestCase1, TIMEOUT, 301724)
(FSE_Bitvector_Mode_Missing_Corner-case_Handling_3_NT_Loop0_TestCase8, TIMEOUT, 302023)
(FSE_Bitvector_Mode_Missing_Corner-case_Handling_3_NT_Loop0_TestCase9, TIMEOUT, 301717)
(FSE_Bitvector_Mode_Missing_Corner-case_Handling_3_NT_Loop0_TestCase10, TIMEOUT, 301838)</v>
      </c>
      <c r="Z40" s="142" t="str">
        <v>correct</v>
      </c>
      <c r="AA40" s="80">
        <v>0</v>
      </c>
      <c r="AB40" s="1" t="str">
        <v>0/5</v>
      </c>
      <c r="AC40" s="80">
        <v>0</v>
      </c>
      <c r="AD40" s="1" t="str">
        <v>0/5</v>
      </c>
      <c r="AE40" s="143">
        <v>0</v>
      </c>
      <c r="AF40" s="1" t="str">
        <v>0/10</v>
      </c>
      <c r="AG40" s="142">
        <v>0</v>
      </c>
      <c r="AH40" s="150">
        <v>0</v>
      </c>
      <c r="AI40" s="142">
        <v>0</v>
      </c>
      <c r="AJ40" s="14" t="str" cm="1">
        <f t="array" ref="AJ40:AT40">_xlfn.LET(
  _xlpm.program_isNT, RIGHT(Athena_BV!B40,5)="_NT.c",
  _xlpm.program_isT,  RIGHT(Athena_BV!B40,4)="_T.c",
  _xlpm.bv_isCorrect, LOWER(Athena_BV!AK40)="correct",
  _xlpm.ma_isCorrect, LOWER(Athena_MA!AK40)="correct",
  _xlpm.mi_isCorrect, LOWER(Athena_MI!AK40)="correct",
  _xlpm.bv_column, IF(_xlpm.program_isNT, Athena_BV!AN40, IF(_xlpm.program_isT, Athena_BV!AL40, "")),
  _xlpm.ma_column, IF(_xlpm.program_isNT, Athena_MA!AN40, IF(_xlpm.program_isT, Athena_MA!AL40, "")),
  _xlpm.mi_column, IF(_xlpm.program_isNT, Athena_MI!AN40, IF(_xlpm.program_isT, Athena_MI!AL40,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Athena_BV!AJ40:AT40,
    Athena_MA!AJ40:AT40,
    Athena_MI!AJ40:AT40
  )
)</f>
        <v>(FSE_Bitvector_Mode_Missing_Corner-case_Handling_3_NT_Loop33_TestCase10, TIMEOUT, 301995)
(FSE_Bitvector_Mode_Missing_Corner-case_Handling_3_NT_Loop21_TestCase10, TIMEOUT, 301981)
(FSE_Bitvector_Mode_Missing_Corner-case_Handling_3_NT_Loop19_TestCase3, TIMEOUT, 302027)
(FSE_Bitvector_Mode_Missing_Corner-case_Handling_3_NT_Loop31_TestCase9, TIMEOUT, 302051)
(FSE_Bitvector_Mode_Missing_Corner-case_Handling_3_NT_Loop33_TestCase2, TIMEOUT, 302215)
(FSE_Bitvector_Mode_Missing_Corner-case_Handling_3_NT_Loop33_TestCase3, TIMEOUT, 302200)
(FSE_Bitvector_Mode_Missing_Corner-case_Handling_3_NT_Loop31_TestCase8, TIMEOUT, 301971)
(FSE_Bitvector_Mode_Missing_Corner-case_Handling_3_NT_Loop19_TestCase2, TIMEOUT, 302003)
(FSE_Bitvector_Mode_Missing_Corner-case_Handling_3_NT_Loop33_TestCase1, TIMEOUT, 302130)
(FSE_Bitvector_Mode_Missing_Corner-case_Handling_3_NT_Loop19_TestCase1, TIMEOUT, 302009)
(FSE_Bitvector_Mode_Missing_Corner-case_Handling_3_NT_Loop19_TestCase5, TIMEOUT, 301973)
(FSE_Bitvector_Mode_Missing_Corner-case_Handling_3_NT_Loop33_TestCase4, TIMEOUT, 302053)
(FSE_Bitvector_Mode_Missing_Corner-case_Handling_3_NT_Loop33_TestCase5, TIMEOUT, 302000)
(FSE_Bitvector_Mode_Missing_Corner-case_Handling_3_NT_Loop19_TestCase4, TIMEOUT, 302067)
(FSE_Bitvector_Mode_Missing_Corner-case_Handling_3_NT_Loop19_TestCase6, TIMEOUT, 302064)
(FSE_Bitvector_Mode_Missing_Corner-case_Handling_3_NT_Loop33_TestCase7, TIMEOUT, 302088)
(FSE_Bitvector_Mode_Missing_Corner-case_Handling_3_NT_Loop21_TestCase8, TIMEOUT, 301900)
(FSE_Bitvector_Mode_Missing_Corner-case_Handling_3_NT_Loop31_TestCase10, TIMEOUT, 302067)
(FSE_Bitvector_Mode_Missing_Corner-case_Handling_3_NT_Loop21_TestCase9, TIMEOUT, 302107)
(FSE_Bitvector_Mode_Missing_Corner-case_Handling_3_NT_Loop33_TestCase6, TIMEOUT, 302058)
(FSE_Bitvector_Mode_Missing_Corner-case_Handling_3_NT_Loop19_TestCase7, TIMEOUT, 302098)
(FSE_Bitvector_Mode_Missing_Corner-case_Handling_3_NT_Loop21_TestCase4, TIMEOUT, 302070)
(FSE_Bitvector_Mode_Missing_Corner-case_Handling_3_NT_Loop21_TestCase5, TIMEOUT, 301925)
(FSE_Bitvector_Mode_Missing_Corner-case_Handling_3_NT_Loop31_TestCase1, TIMEOUT, 302098)
(FSE_Bitvector_Mode_Missing_Corner-case_Handling_3_NT_Loop19_TestCase9, TIMEOUT, 301996)
(FSE_Bitvector_Mode_Missing_Corner-case_Handling_3_NT_Loop31_TestCase3, TIMEOUT, 302102)
(FSE_Bitvector_Mode_Missing_Corner-case_Handling_3_NT_Loop33_TestCase8, TIMEOUT, 302077)
(FSE_Bitvector_Mode_Missing_Corner-case_Handling_3_NT_Loop21_TestCase7, TIMEOUT, 302023)
(FSE_Bitvector_Mode_Missing_Corner-case_Handling_3_NT_Loop21_TestCase6, TIMEOUT, 302273)
(FSE_Bitvector_Mode_Missing_Corner-case_Handling_3_NT_Loop33_TestCase9, TIMEOUT, 301991)
(FSE_Bitvector_Mode_Missing_Corner-case_Handling_3_NT_Loop31_TestCase2, TIMEOUT, 302081)
(FSE_Bitvector_Mode_Missing_Corner-case_Handling_3_NT_Loop19_TestCase8, TIMEOUT, 302013)
(FSE_Bitvector_Mode_Missing_Corner-case_Handling_3_NT_Loop31_TestCase6, TIMEOUT, 302058)
(FSE_Bitvector_Mode_Missing_Corner-case_Handling_3_NT_Loop21_TestCase2, TIMEOUT, 302008)
(FSE_Bitvector_Mode_Missing_Corner-case_Handling_3_NT_Loop21_TestCase3, TIMEOUT, 302319)
(FSE_Bitvector_Mode_Missing_Corner-case_Handling_3_NT_Loop31_TestCase7, TIMEOUT, 302242)
(FSE_Bitvector_Mode_Missing_Corner-case_Handling_3_NT_Loop19_TestCase10, TIMEOUT, 302148)
(FSE_Bitvector_Mode_Missing_Corner-case_Handling_3_NT_Loop31_TestCase5, TIMEOUT, 301894)
(FSE_Bitvector_Mode_Missing_Corner-case_Handling_3_NT_Loop21_TestCase1, TIMEOUT, 301949)
(FSE_Bitvector_Mode_Missing_Corner-case_Handling_3_NT_Loop31_TestCase4, TIMEOUT, 302015)</v>
      </c>
      <c r="AK40" s="142" t="str">
        <v>correct</v>
      </c>
      <c r="AL40" s="80">
        <v>0</v>
      </c>
      <c r="AM40" s="1" t="str">
        <v>0/20</v>
      </c>
      <c r="AN40" s="80">
        <v>0</v>
      </c>
      <c r="AO40" s="1" t="str">
        <v>0/20</v>
      </c>
      <c r="AP40" s="143">
        <v>0</v>
      </c>
      <c r="AQ40" s="1" t="str">
        <v>0/40</v>
      </c>
      <c r="AR40" s="142">
        <v>0</v>
      </c>
      <c r="AS40" s="150">
        <v>0</v>
      </c>
      <c r="AT40" s="142">
        <v>0</v>
      </c>
      <c r="AU40" s="4" t="s">
        <v>94</v>
      </c>
    </row>
    <row r="41" spans="1:47" x14ac:dyDescent="0.2">
      <c r="A41" s="174"/>
      <c r="B41" s="9" t="s">
        <v>45</v>
      </c>
      <c r="C41" s="14" t="str" cm="1">
        <f t="array" ref="C41:M41">_xlfn.LET(
  _xlpm.program_isNT, RIGHT(Athena_BV!B41,5)="_NT.c",
  _xlpm.program_isT,  RIGHT(Athena_BV!B41,4)="_T.c",
  _xlpm.bv_isCorrect, LOWER(Athena_BV!D41)="correct",
  _xlpm.ma_isCorrect, LOWER(Athena_MA!D41)="correct",
  _xlpm.mi_isCorrect, LOWER(Athena_MI!D41)="correct",
  _xlpm.bv_column, IF(_xlpm.program_isNT, Athena_BV!G41, IF(_xlpm.program_isT, Athena_BV!E41, "")),
  _xlpm.ma_column, IF(_xlpm.program_isNT, Athena_MA!G41, IF(_xlpm.program_isT, Athena_MA!E41, "")),
  _xlpm.mi_column, IF(_xlpm.program_isNT, Athena_MI!G41, IF(_xlpm.program_isT, Athena_MI!E41,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Athena_BV!C41:M41,
    Athena_MA!C41:M41,
    Athena_MI!C41:M41
  )
)</f>
        <v>(FSE_Mathematical_Integer_Mode_Missing_Corner-case_Handling_3_T_Loop0_TestCase0, YES, 92210)</v>
      </c>
      <c r="D41" s="142" t="str">
        <v>correct</v>
      </c>
      <c r="E41" s="80">
        <v>1</v>
      </c>
      <c r="F41" s="1" t="str">
        <v>1/1</v>
      </c>
      <c r="G41" s="80" t="str">
        <v/>
      </c>
      <c r="H41" s="1" t="str">
        <v/>
      </c>
      <c r="I41" s="143">
        <v>1</v>
      </c>
      <c r="J41" s="1" t="str">
        <v>1/1</v>
      </c>
      <c r="K41" s="142">
        <v>92210</v>
      </c>
      <c r="L41" s="1">
        <v>92210</v>
      </c>
      <c r="M41" s="140">
        <v>92210</v>
      </c>
      <c r="N41" s="14" t="str" cm="1">
        <f t="array" ref="N41:X41">_xlfn.LET(
  _xlpm.program_isNT, RIGHT(Athena_BV!B41,5)="_NT.c",
  _xlpm.program_isT,  RIGHT(Athena_BV!B41,4)="_T.c",
  _xlpm.bv_isCorrect, LOWER(Athena_BV!O41)="correct",
  _xlpm.ma_isCorrect, LOWER(Athena_MA!O41)="correct",
  _xlpm.mi_isCorrect, LOWER(Athena_MI!O41)="correct",
  _xlpm.bv_column, IF(_xlpm.program_isNT, Athena_BV!R41, IF(_xlpm.program_isT, Athena_BV!P41, "")),
  _xlpm.ma_column, IF(_xlpm.program_isNT, Athena_MA!R41, IF(_xlpm.program_isT, Athena_MA!P41, "")),
  _xlpm.mi_column, IF(_xlpm.program_isNT, Athena_MI!R41, IF(_xlpm.program_isT, Athena_MI!P41,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Athena_BV!N41:X41,
    Athena_MA!N41:X41,
    Athena_MI!N41:X41
  )
)</f>
        <v>(FSE_Mathematical_Integer_Mode_Missing_Corner-case_Handling_3_T_Loop31_TestCase0, YES, 33390)
(FSE_Mathematical_Integer_Mode_Missing_Corner-case_Handling_3_T_Loop21_TestCase0, YES, 26468)
(FSE_Mathematical_Integer_Mode_Missing_Corner-case_Handling_3_T_Loop19_TestCase0, YES, 20766)
(FSE_Mathematical_Integer_Mode_Missing_Corner-case_Handling_3_T_Loop33_TestCase0, YES, 50346)</v>
      </c>
      <c r="O41" s="142" t="str">
        <v>correct</v>
      </c>
      <c r="P41" s="80">
        <v>1</v>
      </c>
      <c r="Q41" s="1" t="str">
        <v>4/4</v>
      </c>
      <c r="R41" s="80" t="str">
        <v/>
      </c>
      <c r="S41" s="149" t="str">
        <v/>
      </c>
      <c r="T41" s="80">
        <v>1</v>
      </c>
      <c r="U41" s="1" t="str">
        <v>4/4</v>
      </c>
      <c r="V41" s="142">
        <v>130970</v>
      </c>
      <c r="W41" s="150">
        <v>32742.5</v>
      </c>
      <c r="X41" s="142">
        <v>29929</v>
      </c>
      <c r="Y41" s="14" t="str" cm="1">
        <f t="array" ref="Y41:AI41">_xlfn.LET(
  _xlpm.program_isNT, RIGHT(Athena_BV!B41,5)="_NT.c",
  _xlpm.program_isT,  RIGHT(Athena_BV!B41,4)="_T.c",
  _xlpm.bv_isCorrect, LOWER(Athena_BV!Z41)="correct",
  _xlpm.ma_isCorrect, LOWER(Athena_MA!Z41)="correct",
  _xlpm.mi_isCorrect, LOWER(Athena_MI!Z41)="correct",
  _xlpm.bv_column, IF(_xlpm.program_isNT, Athena_BV!AC41, IF(_xlpm.program_isT, Athena_BV!AA41, "")),
  _xlpm.ma_column, IF(_xlpm.program_isNT, Athena_MA!AC41, IF(_xlpm.program_isT, Athena_MA!AA41, "")),
  _xlpm.mi_column, IF(_xlpm.program_isNT, Athena_MI!AC41, IF(_xlpm.program_isT, Athena_MI!AA41,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Athena_BV!Y41:AI41,
    Athena_MA!Y41:AI41,
    Athena_MI!Y41:AI41
  )
)</f>
        <v>(FSE_Modulo_Arithmetic_Mode_Missing_Corner-case_Handling_3_T_Loop0_TestCase8, YES, 17633)
(FSE_Modulo_Arithmetic_Mode_Missing_Corner-case_Handling_3_T_Loop0_TestCase9, YES, 21474)
(FSE_Modulo_Arithmetic_Mode_Missing_Corner-case_Handling_3_T_Loop0_TestCase4, YES, 18246)
(FSE_Modulo_Arithmetic_Mode_Missing_Corner-case_Handling_3_T_Loop0_TestCase5, YES, 39053)
(FSE_Modulo_Arithmetic_Mode_Missing_Corner-case_Handling_3_T_Loop0_TestCase7, YES, 16305)
(FSE_Modulo_Arithmetic_Mode_Missing_Corner-case_Handling_3_T_Loop0_TestCase6, YES, 23722)
(FSE_Modulo_Arithmetic_Mode_Missing_Corner-case_Handling_3_T_Loop0_TestCase2, YES, 20214)
(FSE_Modulo_Arithmetic_Mode_Missing_Corner-case_Handling_3_T_Loop0_TestCase3, YES, 18258)
(FSE_Modulo_Arithmetic_Mode_Missing_Corner-case_Handling_3_T_Loop0_TestCase10, YES, 18247)
(FSE_Modulo_Arithmetic_Mode_Missing_Corner-case_Handling_3_T_Loop0_TestCase1, YES, 11831)</v>
      </c>
      <c r="Z41" s="142" t="str">
        <v>correct</v>
      </c>
      <c r="AA41" s="80">
        <v>1</v>
      </c>
      <c r="AB41" s="1" t="str">
        <v>10/10</v>
      </c>
      <c r="AC41" s="80" t="str">
        <v/>
      </c>
      <c r="AD41" s="1" t="str">
        <v/>
      </c>
      <c r="AE41" s="143">
        <v>1</v>
      </c>
      <c r="AF41" s="1" t="str">
        <v>10/10</v>
      </c>
      <c r="AG41" s="142">
        <v>204983</v>
      </c>
      <c r="AH41" s="150">
        <v>20498.3</v>
      </c>
      <c r="AI41" s="142">
        <v>18252.5</v>
      </c>
      <c r="AJ41" s="14" t="str" cm="1">
        <f t="array" ref="AJ41:AT41">_xlfn.LET(
  _xlpm.program_isNT, RIGHT(Athena_BV!B41,5)="_NT.c",
  _xlpm.program_isT,  RIGHT(Athena_BV!B41,4)="_T.c",
  _xlpm.bv_isCorrect, LOWER(Athena_BV!AK41)="correct",
  _xlpm.ma_isCorrect, LOWER(Athena_MA!AK41)="correct",
  _xlpm.mi_isCorrect, LOWER(Athena_MI!AK41)="correct",
  _xlpm.bv_column, IF(_xlpm.program_isNT, Athena_BV!AN41, IF(_xlpm.program_isT, Athena_BV!AL41, "")),
  _xlpm.ma_column, IF(_xlpm.program_isNT, Athena_MA!AN41, IF(_xlpm.program_isT, Athena_MA!AL41, "")),
  _xlpm.mi_column, IF(_xlpm.program_isNT, Athena_MI!AN41, IF(_xlpm.program_isT, Athena_MI!AL41,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Athena_BV!AJ41:AT41,
    Athena_MA!AJ41:AT41,
    Athena_MI!AJ41:AT41
  )
)</f>
        <v>(FSE_Modulo_Arithmetic_Mode_Missing_Corner-case_Handling_3_T_Loop33_TestCase1, YES, 12272)
(FSE_Modulo_Arithmetic_Mode_Missing_Corner-case_Handling_3_T_Loop19_TestCase1, YES, 11033)
(FSE_Modulo_Arithmetic_Mode_Missing_Corner-case_Handling_3_T_Loop33_TestCase2, YES, 23316)
(FSE_Modulo_Arithmetic_Mode_Missing_Corner-case_Handling_3_T_Loop31_TestCase9, YES, 21382)
(FSE_Modulo_Arithmetic_Mode_Missing_Corner-case_Handling_3_T_Loop19_TestCase3, YES, 15462)
(FSE_Modulo_Arithmetic_Mode_Missing_Corner-case_Handling_3_T_Loop19_TestCase2, YES, 18110)
(FSE_Modulo_Arithmetic_Mode_Missing_Corner-case_Handling_3_T_Loop31_TestCase8, YES, 24647)
(FSE_Modulo_Arithmetic_Mode_Missing_Corner-case_Handling_3_T_Loop33_TestCase3, YES, 15223)
(FSE_Modulo_Arithmetic_Mode_Missing_Corner-case_Handling_3_T_Loop33_TestCase7, YES, 18433)
(FSE_Modulo_Arithmetic_Mode_Missing_Corner-case_Handling_3_T_Loop19_TestCase6, YES, 32926)
(FSE_Modulo_Arithmetic_Mode_Missing_Corner-case_Handling_3_T_Loop21_TestCase8, YES, 18950)
(FSE_Modulo_Arithmetic_Mode_Missing_Corner-case_Handling_3_T_Loop21_TestCase9, YES, 37409)
(FSE_Modulo_Arithmetic_Mode_Missing_Corner-case_Handling_3_T_Loop19_TestCase7, YES, 19737)
(FSE_Modulo_Arithmetic_Mode_Missing_Corner-case_Handling_3_T_Loop33_TestCase6, YES, 19193)
(FSE_Modulo_Arithmetic_Mode_Missing_Corner-case_Handling_3_T_Loop33_TestCase4, YES, 20957)
(FSE_Modulo_Arithmetic_Mode_Missing_Corner-case_Handling_3_T_Loop19_TestCase5, YES, 16600)
(FSE_Modulo_Arithmetic_Mode_Missing_Corner-case_Handling_3_T_Loop19_TestCase4, YES, 27496)
(FSE_Modulo_Arithmetic_Mode_Missing_Corner-case_Handling_3_T_Loop33_TestCase5, YES, 20451)
(FSE_Modulo_Arithmetic_Mode_Missing_Corner-case_Handling_3_T_Loop19_TestCase10, YES, 21272)
(FSE_Modulo_Arithmetic_Mode_Missing_Corner-case_Handling_3_T_Loop31_TestCase10, YES, 17277)
(FSE_Modulo_Arithmetic_Mode_Missing_Corner-case_Handling_3_T_Loop33_TestCase8, YES, 18852)
(FSE_Modulo_Arithmetic_Mode_Missing_Corner-case_Handling_3_T_Loop31_TestCase3, YES, 18495)
(FSE_Modulo_Arithmetic_Mode_Missing_Corner-case_Handling_3_T_Loop19_TestCase9, YES, 22670)
(FSE_Modulo_Arithmetic_Mode_Missing_Corner-case_Handling_3_T_Loop21_TestCase7, YES, 15774)
(FSE_Modulo_Arithmetic_Mode_Missing_Corner-case_Handling_3_T_Loop21_TestCase6, YES, 18630)
(FSE_Modulo_Arithmetic_Mode_Missing_Corner-case_Handling_3_T_Loop19_TestCase8, YES, 15174)
(FSE_Modulo_Arithmetic_Mode_Missing_Corner-case_Handling_3_T_Loop31_TestCase2, YES, 20113)
(FSE_Modulo_Arithmetic_Mode_Missing_Corner-case_Handling_3_T_Loop33_TestCase9, YES, 18203)
(FSE_Modulo_Arithmetic_Mode_Missing_Corner-case_Handling_3_T_Loop21_TestCase4, YES, 17930)
(FSE_Modulo_Arithmetic_Mode_Missing_Corner-case_Handling_3_T_Loop21_TestCase5, YES, 18339)
(FSE_Modulo_Arithmetic_Mode_Missing_Corner-case_Handling_3_T_Loop31_TestCase1, YES, 11503)
(FSE_Modulo_Arithmetic_Mode_Missing_Corner-case_Handling_3_T_Loop31_TestCase5, YES, 16513)
(FSE_Modulo_Arithmetic_Mode_Missing_Corner-case_Handling_3_T_Loop21_TestCase1, YES, 11992)
(FSE_Modulo_Arithmetic_Mode_Missing_Corner-case_Handling_3_T_Loop31_TestCase4, YES, 18410)
(FSE_Modulo_Arithmetic_Mode_Missing_Corner-case_Handling_3_T_Loop33_TestCase10, YES, 29608)
(FSE_Modulo_Arithmetic_Mode_Missing_Corner-case_Handling_3_T_Loop31_TestCase6, YES, 24656)
(FSE_Modulo_Arithmetic_Mode_Missing_Corner-case_Handling_3_T_Loop21_TestCase2, YES, 17783)
(FSE_Modulo_Arithmetic_Mode_Missing_Corner-case_Handling_3_T_Loop21_TestCase3, YES, 21863)
(FSE_Modulo_Arithmetic_Mode_Missing_Corner-case_Handling_3_T_Loop31_TestCase7, YES, 18655)
(FSE_Modulo_Arithmetic_Mode_Missing_Corner-case_Handling_3_T_Loop21_TestCase10, YES, 24199)</v>
      </c>
      <c r="AK41" s="142" t="str">
        <v>correct</v>
      </c>
      <c r="AL41" s="80">
        <v>1</v>
      </c>
      <c r="AM41" s="1" t="str">
        <v>40/40</v>
      </c>
      <c r="AN41" s="80" t="str">
        <v/>
      </c>
      <c r="AO41" s="1" t="str">
        <v/>
      </c>
      <c r="AP41" s="143">
        <v>1</v>
      </c>
      <c r="AQ41" s="1" t="str">
        <v>40/40</v>
      </c>
      <c r="AR41" s="142">
        <v>791508</v>
      </c>
      <c r="AS41" s="150">
        <v>19787.7</v>
      </c>
      <c r="AT41" s="142">
        <v>18642.5</v>
      </c>
      <c r="AU41" s="4" t="s">
        <v>94</v>
      </c>
    </row>
    <row r="42" spans="1:47" x14ac:dyDescent="0.2">
      <c r="A42" s="174"/>
      <c r="B42" s="9" t="s">
        <v>46</v>
      </c>
      <c r="C42" s="14" t="str" cm="1">
        <f t="array" ref="C42:M42">_xlfn.LET(
  _xlpm.program_isNT, RIGHT(Athena_BV!B42,5)="_NT.c",
  _xlpm.program_isT,  RIGHT(Athena_BV!B42,4)="_T.c",
  _xlpm.bv_isCorrect, LOWER(Athena_BV!D42)="correct",
  _xlpm.ma_isCorrect, LOWER(Athena_MA!D42)="correct",
  _xlpm.mi_isCorrect, LOWER(Athena_MI!D42)="correct",
  _xlpm.bv_column, IF(_xlpm.program_isNT, Athena_BV!G42, IF(_xlpm.program_isT, Athena_BV!E42, "")),
  _xlpm.ma_column, IF(_xlpm.program_isNT, Athena_MA!G42, IF(_xlpm.program_isT, Athena_MA!E42, "")),
  _xlpm.mi_column, IF(_xlpm.program_isNT, Athena_MI!G42, IF(_xlpm.program_isT, Athena_MI!E42,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Athena_BV!C42:M42,
    Athena_MA!C42:M42,
    Athena_MI!C42:M42
  )
)</f>
        <v>(FSE_Bitvector_Mode_Missing_Corner-case_Handling_4_NT_Loop0_TestCase0, TIMEOUT, 302406)</v>
      </c>
      <c r="D42" s="142" t="str">
        <v>correct</v>
      </c>
      <c r="E42" s="80">
        <v>0</v>
      </c>
      <c r="F42" s="1" t="str">
        <v>0/0</v>
      </c>
      <c r="G42" s="80">
        <v>0</v>
      </c>
      <c r="H42" s="1" t="str">
        <v>0/1</v>
      </c>
      <c r="I42" s="143">
        <v>0</v>
      </c>
      <c r="J42" s="1" t="str">
        <v>0/1</v>
      </c>
      <c r="K42" s="142">
        <v>0</v>
      </c>
      <c r="L42" s="1">
        <v>0</v>
      </c>
      <c r="M42" s="140">
        <v>0</v>
      </c>
      <c r="N42" s="14" t="str" cm="1">
        <f t="array" ref="N42:X42">_xlfn.LET(
  _xlpm.program_isNT, RIGHT(Athena_BV!B42,5)="_NT.c",
  _xlpm.program_isT,  RIGHT(Athena_BV!B42,4)="_T.c",
  _xlpm.bv_isCorrect, LOWER(Athena_BV!O42)="correct",
  _xlpm.ma_isCorrect, LOWER(Athena_MA!O42)="correct",
  _xlpm.mi_isCorrect, LOWER(Athena_MI!O42)="correct",
  _xlpm.bv_column, IF(_xlpm.program_isNT, Athena_BV!R42, IF(_xlpm.program_isT, Athena_BV!P42, "")),
  _xlpm.ma_column, IF(_xlpm.program_isNT, Athena_MA!R42, IF(_xlpm.program_isT, Athena_MA!P42, "")),
  _xlpm.mi_column, IF(_xlpm.program_isNT, Athena_MI!R42, IF(_xlpm.program_isT, Athena_MI!P42,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Athena_BV!N42:X42,
    Athena_MA!N42:X42,
    Athena_MI!N42:X42
  )
)</f>
        <v>(FSE_Bitvector_Mode_Missing_Corner-case_Handling_4_NT_Loop24_TestCase0, MAYBE, 1397)
(FSE_Bitvector_Mode_Missing_Corner-case_Handling_4_NT_Loop37_TestCase0, MAYBE, 1755)
(FSE_Bitvector_Mode_Missing_Corner-case_Handling_4_NT_Loop51_TestCase0, MAYBE, 1564)</v>
      </c>
      <c r="O42" s="142" t="str">
        <v>correct</v>
      </c>
      <c r="P42" s="80">
        <v>0</v>
      </c>
      <c r="Q42" s="1" t="str">
        <v>0/2</v>
      </c>
      <c r="R42" s="80">
        <v>0</v>
      </c>
      <c r="S42" s="149" t="str">
        <v>0/1</v>
      </c>
      <c r="T42" s="80">
        <v>0</v>
      </c>
      <c r="U42" s="1" t="str">
        <v>0/3</v>
      </c>
      <c r="V42" s="142">
        <v>0</v>
      </c>
      <c r="W42" s="150">
        <v>0</v>
      </c>
      <c r="X42" s="142">
        <v>0</v>
      </c>
      <c r="Y42" s="14" t="str" cm="1">
        <f t="array" ref="Y42:AI42">_xlfn.LET(
  _xlpm.program_isNT, RIGHT(Athena_BV!B42,5)="_NT.c",
  _xlpm.program_isT,  RIGHT(Athena_BV!B42,4)="_T.c",
  _xlpm.bv_isCorrect, LOWER(Athena_BV!Z42)="correct",
  _xlpm.ma_isCorrect, LOWER(Athena_MA!Z42)="correct",
  _xlpm.mi_isCorrect, LOWER(Athena_MI!Z42)="correct",
  _xlpm.bv_column, IF(_xlpm.program_isNT, Athena_BV!AC42, IF(_xlpm.program_isT, Athena_BV!AA42, "")),
  _xlpm.ma_column, IF(_xlpm.program_isNT, Athena_MA!AC42, IF(_xlpm.program_isT, Athena_MA!AA42, "")),
  _xlpm.mi_column, IF(_xlpm.program_isNT, Athena_MI!AC42, IF(_xlpm.program_isT, Athena_MI!AA42,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Athena_BV!Y42:AI42,
    Athena_MA!Y42:AI42,
    Athena_MI!Y42:AI42
  )
)</f>
        <v>(FSE_Bitvector_Mode_Missing_Corner-case_Handling_4_NT_Loop0_TestCase7, TIMEOUT, 302064)
(FSE_Bitvector_Mode_Missing_Corner-case_Handling_4_NT_Loop0_TestCase6, TIMEOUT, 302395)
(FSE_Bitvector_Mode_Missing_Corner-case_Handling_4_NT_Loop0_TestCase4, YES, 2152)
(FSE_Bitvector_Mode_Missing_Corner-case_Handling_4_NT_Loop0_TestCase5, YES, 2159)
(FSE_Bitvector_Mode_Missing_Corner-case_Handling_4_NT_Loop0_TestCase1, YES, 2165)
(FSE_Bitvector_Mode_Missing_Corner-case_Handling_4_NT_Loop0_TestCase2, YES, 2148)
(FSE_Bitvector_Mode_Missing_Corner-case_Handling_4_NT_Loop0_TestCase3, YES, 2151)
(FSE_Bitvector_Mode_Missing_Corner-case_Handling_4_NT_Loop0_TestCase8, TIMEOUT, 302038)
(FSE_Bitvector_Mode_Missing_Corner-case_Handling_4_NT_Loop0_TestCase9, TIMEOUT, 302143)
(FSE_Bitvector_Mode_Missing_Corner-case_Handling_4_NT_Loop0_TestCase10, TIMEOUT, 302463)</v>
      </c>
      <c r="Z42" s="142" t="str">
        <v>correct</v>
      </c>
      <c r="AA42" s="80">
        <v>1</v>
      </c>
      <c r="AB42" s="1" t="str">
        <v>5/5</v>
      </c>
      <c r="AC42" s="80">
        <v>0</v>
      </c>
      <c r="AD42" s="1" t="str">
        <v>0/5</v>
      </c>
      <c r="AE42" s="143">
        <v>0.5</v>
      </c>
      <c r="AF42" s="1" t="str">
        <v>5/10</v>
      </c>
      <c r="AG42" s="142">
        <v>10775</v>
      </c>
      <c r="AH42" s="150">
        <v>2155</v>
      </c>
      <c r="AI42" s="142">
        <v>2152</v>
      </c>
      <c r="AJ42" s="14" t="str" cm="1">
        <f t="array" ref="AJ42:AT42">_xlfn.LET(
  _xlpm.program_isNT, RIGHT(Athena_BV!B42,5)="_NT.c",
  _xlpm.program_isT,  RIGHT(Athena_BV!B42,4)="_T.c",
  _xlpm.bv_isCorrect, LOWER(Athena_BV!AK42)="correct",
  _xlpm.ma_isCorrect, LOWER(Athena_MA!AK42)="correct",
  _xlpm.mi_isCorrect, LOWER(Athena_MI!AK42)="correct",
  _xlpm.bv_column, IF(_xlpm.program_isNT, Athena_BV!AN42, IF(_xlpm.program_isT, Athena_BV!AL42, "")),
  _xlpm.ma_column, IF(_xlpm.program_isNT, Athena_MA!AN42, IF(_xlpm.program_isT, Athena_MA!AL42, "")),
  _xlpm.mi_column, IF(_xlpm.program_isNT, Athena_MI!AN42, IF(_xlpm.program_isT, Athena_MI!AL42,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Athena_BV!AJ42:AT42,
    Athena_MA!AJ42:AT42,
    Athena_MI!AJ42:AT42
  )
)</f>
        <v>(FSE_Bitvector_Mode_Missing_Corner-case_Handling_4_NT_Loop37_TestCase1, MAYBE, 1567)
(FSE_Bitvector_Mode_Missing_Corner-case_Handling_4_NT_Loop24_TestCase1, MAYBE, 1360)
(FSE_Bitvector_Mode_Missing_Corner-case_Handling_4_NT_Loop37_TestCase2, MAYBE, 1523)
(FSE_Bitvector_Mode_Missing_Corner-case_Handling_4_NT_Loop24_TestCase3, MAYBE, 1373)
(FSE_Bitvector_Mode_Missing_Corner-case_Handling_4_NT_Loop24_TestCase2, MAYBE, 1370)
(FSE_Bitvector_Mode_Missing_Corner-case_Handling_4_NT_Loop37_TestCase3, MAYBE, 1567)
(FSE_Bitvector_Mode_Missing_Corner-case_Handling_4_NT_Loop37_TestCase7, MAYBE, 1514)
(FSE_Bitvector_Mode_Missing_Corner-case_Handling_4_NT_Loop24_TestCase6, MAYBE, 1369)
(FSE_Bitvector_Mode_Missing_Corner-case_Handling_4_NT_Loop24_TestCase7, MAYBE, 1565)
(FSE_Bitvector_Mode_Missing_Corner-case_Handling_4_NT_Loop37_TestCase6, MAYBE, 1962)
(FSE_Bitvector_Mode_Missing_Corner-case_Handling_4_NT_Loop37_TestCase4, MAYBE, 1564)
(FSE_Bitvector_Mode_Missing_Corner-case_Handling_4_NT_Loop51_TestCase9, MAYBE, 1545)
(FSE_Bitvector_Mode_Missing_Corner-case_Handling_4_NT_Loop24_TestCase5, MAYBE, 1371)
(FSE_Bitvector_Mode_Missing_Corner-case_Handling_4_NT_Loop24_TestCase4, MAYBE, 1378)
(FSE_Bitvector_Mode_Missing_Corner-case_Handling_4_NT_Loop51_TestCase8, MAYBE, 1536)
(FSE_Bitvector_Mode_Missing_Corner-case_Handling_4_NT_Loop37_TestCase5, MAYBE, 1554)
(FSE_Bitvector_Mode_Missing_Corner-case_Handling_4_NT_Loop51_TestCase10, MAYBE, 1544)
(FSE_Bitvector_Mode_Missing_Corner-case_Handling_4_NT_Loop37_TestCase8, MAYBE, 1566)
(FSE_Bitvector_Mode_Missing_Corner-case_Handling_4_NT_Loop51_TestCase5, MAYBE, 1521)
(FSE_Bitvector_Mode_Missing_Corner-case_Handling_4_NT_Loop24_TestCase9, MAYBE, 1381)
(FSE_Bitvector_Mode_Missing_Corner-case_Handling_4_NT_Loop24_TestCase8, MAYBE, 1393)
(FSE_Bitvector_Mode_Missing_Corner-case_Handling_4_NT_Loop24_TestCase10, MAYBE, 1376)
(FSE_Bitvector_Mode_Missing_Corner-case_Handling_4_NT_Loop51_TestCase4, MAYBE, 1528)
(FSE_Bitvector_Mode_Missing_Corner-case_Handling_4_NT_Loop37_TestCase9, MAYBE, 1574)
(FSE_Bitvector_Mode_Missing_Corner-case_Handling_4_NT_Loop51_TestCase6, MAYBE, 1533)
(FSE_Bitvector_Mode_Missing_Corner-case_Handling_4_NT_Loop51_TestCase7, MAYBE, 1546)
(FSE_Bitvector_Mode_Missing_Corner-case_Handling_4_NT_Loop51_TestCase3, MAYBE, 2811)
(FSE_Bitvector_Mode_Missing_Corner-case_Handling_4_NT_Loop37_TestCase10, MAYBE, 1547)
(FSE_Bitvector_Mode_Missing_Corner-case_Handling_4_NT_Loop51_TestCase2, MAYBE, 1516)
(FSE_Bitvector_Mode_Missing_Corner-case_Handling_4_NT_Loop51_TestCase1, MAYBE, 1520)</v>
      </c>
      <c r="AK42" s="142" t="str">
        <v>correct</v>
      </c>
      <c r="AL42" s="80">
        <v>0</v>
      </c>
      <c r="AM42" s="1" t="str">
        <v>0/25</v>
      </c>
      <c r="AN42" s="80">
        <v>0</v>
      </c>
      <c r="AO42" s="1" t="str">
        <v>0/5</v>
      </c>
      <c r="AP42" s="143">
        <v>0</v>
      </c>
      <c r="AQ42" s="1" t="str">
        <v>0/30</v>
      </c>
      <c r="AR42" s="142">
        <v>0</v>
      </c>
      <c r="AS42" s="150">
        <v>0</v>
      </c>
      <c r="AT42" s="142">
        <v>0</v>
      </c>
      <c r="AU42" s="4" t="s">
        <v>98</v>
      </c>
    </row>
    <row r="43" spans="1:47" x14ac:dyDescent="0.2">
      <c r="A43" s="174"/>
      <c r="B43" s="9" t="s">
        <v>47</v>
      </c>
      <c r="C43" s="14" t="str" cm="1">
        <f t="array" ref="C43:M43">_xlfn.LET(
  _xlpm.program_isNT, RIGHT(Athena_BV!B43,5)="_NT.c",
  _xlpm.program_isT,  RIGHT(Athena_BV!B43,4)="_T.c",
  _xlpm.bv_isCorrect, LOWER(Athena_BV!D43)="correct",
  _xlpm.ma_isCorrect, LOWER(Athena_MA!D43)="correct",
  _xlpm.mi_isCorrect, LOWER(Athena_MI!D43)="correct",
  _xlpm.bv_column, IF(_xlpm.program_isNT, Athena_BV!G43, IF(_xlpm.program_isT, Athena_BV!E43, "")),
  _xlpm.ma_column, IF(_xlpm.program_isNT, Athena_MA!G43, IF(_xlpm.program_isT, Athena_MA!E43, "")),
  _xlpm.mi_column, IF(_xlpm.program_isNT, Athena_MI!G43, IF(_xlpm.program_isT, Athena_MI!E43,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Athena_BV!C43:M43,
    Athena_MA!C43:M43,
    Athena_MI!C43:M43
  )
)</f>
        <v>(FSE_Bitvector_Mode_Missing_Corner-case_Handling_4_T_Loop0_TestCase0, TIMEOUT, 302571)</v>
      </c>
      <c r="D43" s="142" t="str">
        <v>correct</v>
      </c>
      <c r="E43" s="80">
        <v>0</v>
      </c>
      <c r="F43" s="1" t="str">
        <v>0/1</v>
      </c>
      <c r="G43" s="80" t="str">
        <v/>
      </c>
      <c r="H43" s="1" t="str">
        <v/>
      </c>
      <c r="I43" s="143">
        <v>0</v>
      </c>
      <c r="J43" s="1" t="str">
        <v>0/1</v>
      </c>
      <c r="K43" s="142">
        <v>0</v>
      </c>
      <c r="L43" s="1">
        <v>0</v>
      </c>
      <c r="M43" s="140">
        <v>0</v>
      </c>
      <c r="N43" s="14" t="str" cm="1">
        <f t="array" ref="N43:X43">_xlfn.LET(
  _xlpm.program_isNT, RIGHT(Athena_BV!B43,5)="_NT.c",
  _xlpm.program_isT,  RIGHT(Athena_BV!B43,4)="_T.c",
  _xlpm.bv_isCorrect, LOWER(Athena_BV!O43)="correct",
  _xlpm.ma_isCorrect, LOWER(Athena_MA!O43)="correct",
  _xlpm.mi_isCorrect, LOWER(Athena_MI!O43)="correct",
  _xlpm.bv_column, IF(_xlpm.program_isNT, Athena_BV!R43, IF(_xlpm.program_isT, Athena_BV!P43, "")),
  _xlpm.ma_column, IF(_xlpm.program_isNT, Athena_MA!R43, IF(_xlpm.program_isT, Athena_MA!P43, "")),
  _xlpm.mi_column, IF(_xlpm.program_isNT, Athena_MI!R43, IF(_xlpm.program_isT, Athena_MI!P43,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Athena_BV!N43:X43,
    Athena_MA!N43:X43,
    Athena_MI!N43:X43
  )
)</f>
        <v>(FSE_Bitvector_Mode_Missing_Corner-case_Handling_4_T_Loop23_TestCase0, MAYBE, 1383)
(FSE_Bitvector_Mode_Missing_Corner-case_Handling_4_T_Loop50_TestCase0, MAYBE, 1720)
(FSE_Bitvector_Mode_Missing_Corner-case_Handling_4_T_Loop36_TestCase0, MAYBE, 1564)</v>
      </c>
      <c r="O43" s="142" t="str">
        <v>correct</v>
      </c>
      <c r="P43" s="80">
        <v>0</v>
      </c>
      <c r="Q43" s="1" t="str">
        <v>0/3</v>
      </c>
      <c r="R43" s="80" t="str">
        <v/>
      </c>
      <c r="S43" s="149" t="str">
        <v/>
      </c>
      <c r="T43" s="80">
        <v>0</v>
      </c>
      <c r="U43" s="1" t="str">
        <v>0/3</v>
      </c>
      <c r="V43" s="142">
        <v>0</v>
      </c>
      <c r="W43" s="150">
        <v>0</v>
      </c>
      <c r="X43" s="142">
        <v>0</v>
      </c>
      <c r="Y43" s="14" t="str" cm="1">
        <f t="array" ref="Y43:AI43">_xlfn.LET(
  _xlpm.program_isNT, RIGHT(Athena_BV!B43,5)="_NT.c",
  _xlpm.program_isT,  RIGHT(Athena_BV!B43,4)="_T.c",
  _xlpm.bv_isCorrect, LOWER(Athena_BV!Z43)="correct",
  _xlpm.ma_isCorrect, LOWER(Athena_MA!Z43)="correct",
  _xlpm.mi_isCorrect, LOWER(Athena_MI!Z43)="correct",
  _xlpm.bv_column, IF(_xlpm.program_isNT, Athena_BV!AC43, IF(_xlpm.program_isT, Athena_BV!AA43, "")),
  _xlpm.ma_column, IF(_xlpm.program_isNT, Athena_MA!AC43, IF(_xlpm.program_isT, Athena_MA!AA43, "")),
  _xlpm.mi_column, IF(_xlpm.program_isNT, Athena_MI!AC43, IF(_xlpm.program_isT, Athena_MI!AA43,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Athena_BV!Y43:AI43,
    Athena_MA!Y43:AI43,
    Athena_MI!Y43:AI43
  )
)</f>
        <v>(FSE_Bitvector_Mode_Missing_Corner-case_Handling_4_T_Loop0_TestCase9, TIMEOUT, 302407)
(FSE_Bitvector_Mode_Missing_Corner-case_Handling_4_T_Loop0_TestCase8, TIMEOUT, 302050)
(FSE_Bitvector_Mode_Missing_Corner-case_Handling_4_T_Loop0_TestCase10, TIMEOUT, 302467)
(FSE_Bitvector_Mode_Missing_Corner-case_Handling_4_T_Loop0_TestCase1, YES, 2158)
(FSE_Bitvector_Mode_Missing_Corner-case_Handling_4_T_Loop0_TestCase3, YES, 2388)
(FSE_Bitvector_Mode_Missing_Corner-case_Handling_4_T_Loop0_TestCase2, YES, 2129)
(FSE_Bitvector_Mode_Missing_Corner-case_Handling_4_T_Loop0_TestCase6, YES, 2579)
(FSE_Bitvector_Mode_Missing_Corner-case_Handling_4_T_Loop0_TestCase7, TIMEOUT, 302058)
(FSE_Bitvector_Mode_Missing_Corner-case_Handling_4_T_Loop0_TestCase5, YES, 2545)
(FSE_Bitvector_Mode_Missing_Corner-case_Handling_4_T_Loop0_TestCase4, YES, 2144)</v>
      </c>
      <c r="Z43" s="142" t="str">
        <v>correct</v>
      </c>
      <c r="AA43" s="80">
        <v>0.6</v>
      </c>
      <c r="AB43" s="1" t="str">
        <v>6/10</v>
      </c>
      <c r="AC43" s="80" t="str">
        <v/>
      </c>
      <c r="AD43" s="1" t="str">
        <v/>
      </c>
      <c r="AE43" s="143">
        <v>0.6</v>
      </c>
      <c r="AF43" s="1" t="str">
        <v>6/10</v>
      </c>
      <c r="AG43" s="142">
        <v>13943</v>
      </c>
      <c r="AH43" s="150">
        <v>2323.83</v>
      </c>
      <c r="AI43" s="142">
        <v>2273</v>
      </c>
      <c r="AJ43" s="14" t="str" cm="1">
        <f t="array" ref="AJ43:AT43">_xlfn.LET(
  _xlpm.program_isNT, RIGHT(Athena_BV!B43,5)="_NT.c",
  _xlpm.program_isT,  RIGHT(Athena_BV!B43,4)="_T.c",
  _xlpm.bv_isCorrect, LOWER(Athena_BV!AK43)="correct",
  _xlpm.ma_isCorrect, LOWER(Athena_MA!AK43)="correct",
  _xlpm.mi_isCorrect, LOWER(Athena_MI!AK43)="correct",
  _xlpm.bv_column, IF(_xlpm.program_isNT, Athena_BV!AN43, IF(_xlpm.program_isT, Athena_BV!AL43, "")),
  _xlpm.ma_column, IF(_xlpm.program_isNT, Athena_MA!AN43, IF(_xlpm.program_isT, Athena_MA!AL43, "")),
  _xlpm.mi_column, IF(_xlpm.program_isNT, Athena_MI!AN43, IF(_xlpm.program_isT, Athena_MI!AL43,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Athena_BV!AJ43:AT43,
    Athena_MA!AJ43:AT43,
    Athena_MI!AJ43:AT43
  )
)</f>
        <v>(FSE_Bitvector_Mode_Missing_Corner-case_Handling_4_T_Loop36_TestCase9, MAYBE, 1553)
(FSE_Bitvector_Mode_Missing_Corner-case_Handling_4_T_Loop23_TestCase2, MAYBE, 1344)
(FSE_Bitvector_Mode_Missing_Corner-case_Handling_4_T_Loop50_TestCase4, MAYBE, 1677)
(FSE_Bitvector_Mode_Missing_Corner-case_Handling_4_T_Loop50_TestCase5, MAYBE, 1668)
(FSE_Bitvector_Mode_Missing_Corner-case_Handling_4_T_Loop23_TestCase3, MAYBE, 1356)
(FSE_Bitvector_Mode_Missing_Corner-case_Handling_4_T_Loop36_TestCase8, MAYBE, 1733)
(FSE_Bitvector_Mode_Missing_Corner-case_Handling_4_T_Loop23_TestCase1, MAYBE, 1366)
(FSE_Bitvector_Mode_Missing_Corner-case_Handling_4_T_Loop50_TestCase7, MAYBE, 1749)
(FSE_Bitvector_Mode_Missing_Corner-case_Handling_4_T_Loop50_TestCase6, MAYBE, 1663)
(FSE_Bitvector_Mode_Missing_Corner-case_Handling_4_T_Loop50_TestCase2, MAYBE, 1698)
(FSE_Bitvector_Mode_Missing_Corner-case_Handling_4_T_Loop23_TestCase4, MAYBE, 1337)
(FSE_Bitvector_Mode_Missing_Corner-case_Handling_4_T_Loop23_TestCase5, MAYBE, 1393)
(FSE_Bitvector_Mode_Missing_Corner-case_Handling_4_T_Loop50_TestCase3, MAYBE, 1755)
(FSE_Bitvector_Mode_Missing_Corner-case_Handling_4_T_Loop50_TestCase1, MAYBE, 1693)
(FSE_Bitvector_Mode_Missing_Corner-case_Handling_4_T_Loop23_TestCase7, MAYBE, 1741)
(FSE_Bitvector_Mode_Missing_Corner-case_Handling_4_T_Loop23_TestCase6, MAYBE, 1373)
(FSE_Bitvector_Mode_Missing_Corner-case_Handling_4_T_Loop50_TestCase10, MAYBE, 1681)
(FSE_Bitvector_Mode_Missing_Corner-case_Handling_4_T_Loop36_TestCase1, MAYBE, 1556)
(FSE_Bitvector_Mode_Missing_Corner-case_Handling_4_T_Loop36_TestCase3, MAYBE, 1636)
(FSE_Bitvector_Mode_Missing_Corner-case_Handling_4_T_Loop23_TestCase8, MAYBE, 1388)
(FSE_Bitvector_Mode_Missing_Corner-case_Handling_4_T_Loop23_TestCase10, MAYBE, 1354)
(FSE_Bitvector_Mode_Missing_Corner-case_Handling_4_T_Loop36_TestCase10, MAYBE, 1576)
(FSE_Bitvector_Mode_Missing_Corner-case_Handling_4_T_Loop23_TestCase9, MAYBE, 1386)
(FSE_Bitvector_Mode_Missing_Corner-case_Handling_4_T_Loop36_TestCase2, MAYBE, 1549)
(FSE_Bitvector_Mode_Missing_Corner-case_Handling_4_T_Loop36_TestCase6, MAYBE, 1536)
(FSE_Bitvector_Mode_Missing_Corner-case_Handling_4_T_Loop36_TestCase7, MAYBE, 1574)
(FSE_Bitvector_Mode_Missing_Corner-case_Handling_4_T_Loop36_TestCase5, MAYBE, 1543)
(FSE_Bitvector_Mode_Missing_Corner-case_Handling_4_T_Loop50_TestCase8, MAYBE, 2024)
(FSE_Bitvector_Mode_Missing_Corner-case_Handling_4_T_Loop50_TestCase9, MAYBE, 1780)
(FSE_Bitvector_Mode_Missing_Corner-case_Handling_4_T_Loop36_TestCase4, MAYBE, 1573)</v>
      </c>
      <c r="AK43" s="142" t="str">
        <v>correct</v>
      </c>
      <c r="AL43" s="80">
        <v>0</v>
      </c>
      <c r="AM43" s="1" t="str">
        <v>0/30</v>
      </c>
      <c r="AN43" s="80" t="str">
        <v/>
      </c>
      <c r="AO43" s="1" t="str">
        <v/>
      </c>
      <c r="AP43" s="143">
        <v>0</v>
      </c>
      <c r="AQ43" s="1" t="str">
        <v>0/30</v>
      </c>
      <c r="AR43" s="142">
        <v>0</v>
      </c>
      <c r="AS43" s="150">
        <v>0</v>
      </c>
      <c r="AT43" s="142">
        <v>0</v>
      </c>
      <c r="AU43" s="4" t="s">
        <v>98</v>
      </c>
    </row>
    <row r="44" spans="1:47" x14ac:dyDescent="0.2">
      <c r="A44" s="174"/>
      <c r="B44" s="9" t="s">
        <v>48</v>
      </c>
      <c r="C44" s="14" t="str" cm="1">
        <f t="array" ref="C44:M44">_xlfn.LET(
  _xlpm.program_isNT, RIGHT(Athena_BV!B44,5)="_NT.c",
  _xlpm.program_isT,  RIGHT(Athena_BV!B44,4)="_T.c",
  _xlpm.bv_isCorrect, LOWER(Athena_BV!D44)="correct",
  _xlpm.ma_isCorrect, LOWER(Athena_MA!D44)="correct",
  _xlpm.mi_isCorrect, LOWER(Athena_MI!D44)="correct",
  _xlpm.bv_column, IF(_xlpm.program_isNT, Athena_BV!G44, IF(_xlpm.program_isT, Athena_BV!E44, "")),
  _xlpm.ma_column, IF(_xlpm.program_isNT, Athena_MA!G44, IF(_xlpm.program_isT, Athena_MA!E44, "")),
  _xlpm.mi_column, IF(_xlpm.program_isNT, Athena_MI!G44, IF(_xlpm.program_isT, Athena_MI!E44,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Athena_BV!C44:M44,
    Athena_MA!C44:M44,
    Athena_MI!C44:M44
  )
)</f>
        <v>(FSE_Bitvector_Mode_Missing_Initialization_1_NT_Loop0_TestCase0, NO, 2232)</v>
      </c>
      <c r="D44" s="142" t="str">
        <v>correct</v>
      </c>
      <c r="E44" s="80">
        <v>0</v>
      </c>
      <c r="F44" s="1" t="str">
        <v>0/0</v>
      </c>
      <c r="G44" s="80">
        <v>1</v>
      </c>
      <c r="H44" s="1" t="str">
        <v>1/1</v>
      </c>
      <c r="I44" s="143">
        <v>1</v>
      </c>
      <c r="J44" s="1" t="str">
        <v>1/1</v>
      </c>
      <c r="K44" s="142">
        <v>2232</v>
      </c>
      <c r="L44" s="1">
        <v>2232</v>
      </c>
      <c r="M44" s="140">
        <v>2232</v>
      </c>
      <c r="N44" s="14" t="str" cm="1">
        <f t="array" ref="N44:X44">_xlfn.LET(
  _xlpm.program_isNT, RIGHT(Athena_BV!B44,5)="_NT.c",
  _xlpm.program_isT,  RIGHT(Athena_BV!B44,4)="_T.c",
  _xlpm.bv_isCorrect, LOWER(Athena_BV!O44)="correct",
  _xlpm.ma_isCorrect, LOWER(Athena_MA!O44)="correct",
  _xlpm.mi_isCorrect, LOWER(Athena_MI!O44)="correct",
  _xlpm.bv_column, IF(_xlpm.program_isNT, Athena_BV!R44, IF(_xlpm.program_isT, Athena_BV!P44, "")),
  _xlpm.ma_column, IF(_xlpm.program_isNT, Athena_MA!R44, IF(_xlpm.program_isT, Athena_MA!P44, "")),
  _xlpm.mi_column, IF(_xlpm.program_isNT, Athena_MI!R44, IF(_xlpm.program_isT, Athena_MI!P44,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Athena_BV!N44:X44,
    Athena_MA!N44:X44,
    Athena_MI!N44:X44
  )
)</f>
        <v>(FSE_Bitvector_Mode_Missing_Initialization_1_NT_Loop14_TestCase0, NO, 2067)
(FSE_Bitvector_Mode_Missing_Initialization_1_NT_Loop16_TestCase0, NO, 1756)</v>
      </c>
      <c r="O44" s="142" t="str">
        <v>correct</v>
      </c>
      <c r="P44" s="80">
        <v>0</v>
      </c>
      <c r="Q44" s="1" t="str">
        <v>0/0</v>
      </c>
      <c r="R44" s="80">
        <v>1</v>
      </c>
      <c r="S44" s="149" t="str">
        <v>2/2</v>
      </c>
      <c r="T44" s="80">
        <v>1</v>
      </c>
      <c r="U44" s="1" t="str">
        <v>2/2</v>
      </c>
      <c r="V44" s="142">
        <v>3823</v>
      </c>
      <c r="W44" s="150">
        <v>1911.5</v>
      </c>
      <c r="X44" s="142">
        <v>1911.5</v>
      </c>
      <c r="Y44" s="14" t="str" cm="1">
        <f t="array" ref="Y44:AI44">_xlfn.LET(
  _xlpm.program_isNT, RIGHT(Athena_BV!B44,5)="_NT.c",
  _xlpm.program_isT,  RIGHT(Athena_BV!B44,4)="_T.c",
  _xlpm.bv_isCorrect, LOWER(Athena_BV!Z44)="correct",
  _xlpm.ma_isCorrect, LOWER(Athena_MA!Z44)="correct",
  _xlpm.mi_isCorrect, LOWER(Athena_MI!Z44)="correct",
  _xlpm.bv_column, IF(_xlpm.program_isNT, Athena_BV!AC44, IF(_xlpm.program_isT, Athena_BV!AA44, "")),
  _xlpm.ma_column, IF(_xlpm.program_isNT, Athena_MA!AC44, IF(_xlpm.program_isT, Athena_MA!AA44, "")),
  _xlpm.mi_column, IF(_xlpm.program_isNT, Athena_MI!AC44, IF(_xlpm.program_isT, Athena_MI!AA44,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Athena_BV!Y44:AI44,
    Athena_MA!Y44:AI44,
    Athena_MI!Y44:AI44
  )
)</f>
        <v>(FSE_Bitvector_Mode_Missing_Initialization_1_NT_Loop0_TestCase8, NO, 1718)
(FSE_Bitvector_Mode_Missing_Initialization_1_NT_Loop0_TestCase9, NO, 1732)
(FSE_Bitvector_Mode_Missing_Initialization_1_NT_Loop0_TestCase7, NO, 1706)
(FSE_Bitvector_Mode_Missing_Initialization_1_NT_Loop0_TestCase6, NO, 1679)
(FSE_Bitvector_Mode_Missing_Initialization_1_NT_Loop0_TestCase4, YES, 1694)
(FSE_Bitvector_Mode_Missing_Initialization_1_NT_Loop0_TestCase5, YES, 1694)
(FSE_Bitvector_Mode_Missing_Initialization_1_NT_Loop0_TestCase10, NO, 1734)
(FSE_Bitvector_Mode_Missing_Initialization_1_NT_Loop0_TestCase1, YES, 1714)
(FSE_Bitvector_Mode_Missing_Initialization_1_NT_Loop0_TestCase2, YES, 1721)
(FSE_Bitvector_Mode_Missing_Initialization_1_NT_Loop0_TestCase3, YES, 1675)</v>
      </c>
      <c r="Z44" s="142" t="str">
        <v>correct</v>
      </c>
      <c r="AA44" s="80">
        <v>1</v>
      </c>
      <c r="AB44" s="1" t="str">
        <v>5/5</v>
      </c>
      <c r="AC44" s="80">
        <v>1</v>
      </c>
      <c r="AD44" s="1" t="str">
        <v>5/5</v>
      </c>
      <c r="AE44" s="143">
        <v>1</v>
      </c>
      <c r="AF44" s="1" t="str">
        <v>10/10</v>
      </c>
      <c r="AG44" s="142">
        <v>17067</v>
      </c>
      <c r="AH44" s="150">
        <v>1706.7</v>
      </c>
      <c r="AI44" s="142">
        <v>1710</v>
      </c>
      <c r="AJ44" s="14" t="str" cm="1">
        <f t="array" ref="AJ44:AT44">_xlfn.LET(
  _xlpm.program_isNT, RIGHT(Athena_BV!B44,5)="_NT.c",
  _xlpm.program_isT,  RIGHT(Athena_BV!B44,4)="_T.c",
  _xlpm.bv_isCorrect, LOWER(Athena_BV!AK44)="correct",
  _xlpm.ma_isCorrect, LOWER(Athena_MA!AK44)="correct",
  _xlpm.mi_isCorrect, LOWER(Athena_MI!AK44)="correct",
  _xlpm.bv_column, IF(_xlpm.program_isNT, Athena_BV!AN44, IF(_xlpm.program_isT, Athena_BV!AL44, "")),
  _xlpm.ma_column, IF(_xlpm.program_isNT, Athena_MA!AN44, IF(_xlpm.program_isT, Athena_MA!AL44, "")),
  _xlpm.mi_column, IF(_xlpm.program_isNT, Athena_MI!AN44, IF(_xlpm.program_isT, Athena_MI!AL44,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Athena_BV!AJ44:AT44,
    Athena_MA!AJ44:AT44,
    Athena_MI!AJ44:AT44
  )
)</f>
        <v>(FSE_Bitvector_Mode_Missing_Initialization_1_NT_Loop14_TestCase10, NO, 1711)
(FSE_Bitvector_Mode_Missing_Initialization_1_NT_Loop14_TestCase5, YES, 1711)
(FSE_Bitvector_Mode_Missing_Initialization_1_NT_Loop14_TestCase4, YES, 1852)
(FSE_Bitvector_Mode_Missing_Initialization_1_NT_Loop14_TestCase6, NO, 1718)
(FSE_Bitvector_Mode_Missing_Initialization_1_NT_Loop14_TestCase7, NO, 1748)
(FSE_Bitvector_Mode_Missing_Initialization_1_NT_Loop14_TestCase3, YES, 1790)
(FSE_Bitvector_Mode_Missing_Initialization_1_NT_Loop16_TestCase8, NO, 1943)
(FSE_Bitvector_Mode_Missing_Initialization_1_NT_Loop16_TestCase10, NO, 1746)
(FSE_Bitvector_Mode_Missing_Initialization_1_NT_Loop16_TestCase9, NO, 1705)
(FSE_Bitvector_Mode_Missing_Initialization_1_NT_Loop14_TestCase2, YES, 1740)
(FSE_Bitvector_Mode_Missing_Initialization_1_NT_Loop14_TestCase1, YES, 1746)
(FSE_Bitvector_Mode_Missing_Initialization_1_NT_Loop16_TestCase7, NO, 1739)
(FSE_Bitvector_Mode_Missing_Initialization_1_NT_Loop16_TestCase6, NO, 1740)
(FSE_Bitvector_Mode_Missing_Initialization_1_NT_Loop16_TestCase4, YES, 1764)
(FSE_Bitvector_Mode_Missing_Initialization_1_NT_Loop16_TestCase5, YES, 1753)
(FSE_Bitvector_Mode_Missing_Initialization_1_NT_Loop16_TestCase1, YES, 1738)
(FSE_Bitvector_Mode_Missing_Initialization_1_NT_Loop14_TestCase9, NO, 1766)
(FSE_Bitvector_Mode_Missing_Initialization_1_NT_Loop16_TestCase2, YES, 1740)
(FSE_Bitvector_Mode_Missing_Initialization_1_NT_Loop16_TestCase3, YES, 1705)
(FSE_Bitvector_Mode_Missing_Initialization_1_NT_Loop14_TestCase8, NO, 3169)</v>
      </c>
      <c r="AK44" s="142" t="str">
        <v>correct</v>
      </c>
      <c r="AL44" s="80">
        <v>1</v>
      </c>
      <c r="AM44" s="1" t="str">
        <v>10/10</v>
      </c>
      <c r="AN44" s="80">
        <v>1</v>
      </c>
      <c r="AO44" s="1" t="str">
        <v>10/10</v>
      </c>
      <c r="AP44" s="143">
        <v>1</v>
      </c>
      <c r="AQ44" s="1" t="str">
        <v>20/20</v>
      </c>
      <c r="AR44" s="142">
        <v>36524</v>
      </c>
      <c r="AS44" s="150">
        <v>1826.2</v>
      </c>
      <c r="AT44" s="142">
        <v>1743</v>
      </c>
    </row>
    <row r="45" spans="1:47" x14ac:dyDescent="0.2">
      <c r="A45" s="174"/>
      <c r="B45" s="9" t="s">
        <v>49</v>
      </c>
      <c r="C45" s="14" t="str" cm="1">
        <f t="array" ref="C45:M45">_xlfn.LET(
  _xlpm.program_isNT, RIGHT(Athena_BV!B45,5)="_NT.c",
  _xlpm.program_isT,  RIGHT(Athena_BV!B45,4)="_T.c",
  _xlpm.bv_isCorrect, LOWER(Athena_BV!D45)="correct",
  _xlpm.ma_isCorrect, LOWER(Athena_MA!D45)="correct",
  _xlpm.mi_isCorrect, LOWER(Athena_MI!D45)="correct",
  _xlpm.bv_column, IF(_xlpm.program_isNT, Athena_BV!G45, IF(_xlpm.program_isT, Athena_BV!E45, "")),
  _xlpm.ma_column, IF(_xlpm.program_isNT, Athena_MA!G45, IF(_xlpm.program_isT, Athena_MA!E45, "")),
  _xlpm.mi_column, IF(_xlpm.program_isNT, Athena_MI!G45, IF(_xlpm.program_isT, Athena_MI!E45,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Athena_BV!C45:M45,
    Athena_MA!C45:M45,
    Athena_MI!C45:M45
  )
)</f>
        <v>(FSE_Modulo_Arithmetic_Mode_Missing_Initialization_1_T_Loop0_TestCase0, YES, 5248)</v>
      </c>
      <c r="D45" s="142" t="str">
        <v>correct</v>
      </c>
      <c r="E45" s="80">
        <v>1</v>
      </c>
      <c r="F45" s="1" t="str">
        <v>1/1</v>
      </c>
      <c r="G45" s="80" t="str">
        <v/>
      </c>
      <c r="H45" s="1" t="str">
        <v/>
      </c>
      <c r="I45" s="143">
        <v>1</v>
      </c>
      <c r="J45" s="1" t="str">
        <v>1/1</v>
      </c>
      <c r="K45" s="142">
        <v>5248</v>
      </c>
      <c r="L45" s="1">
        <v>5248</v>
      </c>
      <c r="M45" s="140">
        <v>5248</v>
      </c>
      <c r="N45" s="14" t="str" cm="1">
        <f t="array" ref="N45:X45">_xlfn.LET(
  _xlpm.program_isNT, RIGHT(Athena_BV!B45,5)="_NT.c",
  _xlpm.program_isT,  RIGHT(Athena_BV!B45,4)="_T.c",
  _xlpm.bv_isCorrect, LOWER(Athena_BV!O45)="correct",
  _xlpm.ma_isCorrect, LOWER(Athena_MA!O45)="correct",
  _xlpm.mi_isCorrect, LOWER(Athena_MI!O45)="correct",
  _xlpm.bv_column, IF(_xlpm.program_isNT, Athena_BV!R45, IF(_xlpm.program_isT, Athena_BV!P45, "")),
  _xlpm.ma_column, IF(_xlpm.program_isNT, Athena_MA!R45, IF(_xlpm.program_isT, Athena_MA!P45, "")),
  _xlpm.mi_column, IF(_xlpm.program_isNT, Athena_MI!R45, IF(_xlpm.program_isT, Athena_MI!P45,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Athena_BV!N45:X45,
    Athena_MA!N45:X45,
    Athena_MI!N45:X45
  )
)</f>
        <v>(FSE_Modulo_Arithmetic_Mode_Missing_Initialization_1_T_Loop14_TestCase0, YES, 5185)
(FSE_Modulo_Arithmetic_Mode_Missing_Initialization_1_T_Loop17_TestCase0, YES, 4917)</v>
      </c>
      <c r="O45" s="142" t="str">
        <v>correct</v>
      </c>
      <c r="P45" s="80">
        <v>1</v>
      </c>
      <c r="Q45" s="1" t="str">
        <v>2/2</v>
      </c>
      <c r="R45" s="80" t="str">
        <v/>
      </c>
      <c r="S45" s="149" t="str">
        <v/>
      </c>
      <c r="T45" s="80">
        <v>1</v>
      </c>
      <c r="U45" s="1" t="str">
        <v>2/2</v>
      </c>
      <c r="V45" s="142">
        <v>10102</v>
      </c>
      <c r="W45" s="150">
        <v>5051</v>
      </c>
      <c r="X45" s="142">
        <v>5051</v>
      </c>
      <c r="Y45" s="14" t="str" cm="1">
        <f t="array" ref="Y45:AI45">_xlfn.LET(
  _xlpm.program_isNT, RIGHT(Athena_BV!B45,5)="_NT.c",
  _xlpm.program_isT,  RIGHT(Athena_BV!B45,4)="_T.c",
  _xlpm.bv_isCorrect, LOWER(Athena_BV!Z45)="correct",
  _xlpm.ma_isCorrect, LOWER(Athena_MA!Z45)="correct",
  _xlpm.mi_isCorrect, LOWER(Athena_MI!Z45)="correct",
  _xlpm.bv_column, IF(_xlpm.program_isNT, Athena_BV!AC45, IF(_xlpm.program_isT, Athena_BV!AA45, "")),
  _xlpm.ma_column, IF(_xlpm.program_isNT, Athena_MA!AC45, IF(_xlpm.program_isT, Athena_MA!AA45, "")),
  _xlpm.mi_column, IF(_xlpm.program_isNT, Athena_MI!AC45, IF(_xlpm.program_isT, Athena_MI!AA45,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Athena_BV!Y45:AI45,
    Athena_MA!Y45:AI45,
    Athena_MI!Y45:AI45
  )
)</f>
        <v>(FSE_Bitvector_Mode_Missing_Initialization_1_T_Loop0_TestCase5, YES, 1698)
(FSE_Bitvector_Mode_Missing_Initialization_1_T_Loop0_TestCase4, YES, 1694)
(FSE_Bitvector_Mode_Missing_Initialization_1_T_Loop0_TestCase6, YES, 4659)
(FSE_Bitvector_Mode_Missing_Initialization_1_T_Loop0_TestCase7, YES, 3151)
(FSE_Bitvector_Mode_Missing_Initialization_1_T_Loop0_TestCase3, YES, 1714)
(FSE_Bitvector_Mode_Missing_Initialization_1_T_Loop0_TestCase2, YES, 1707)
(FSE_Bitvector_Mode_Missing_Initialization_1_T_Loop0_TestCase1, YES, 1714)
(FSE_Bitvector_Mode_Missing_Initialization_1_T_Loop0_TestCase10, YES, 4172)
(FSE_Bitvector_Mode_Missing_Initialization_1_T_Loop0_TestCase9, YES, 1686)
(FSE_Bitvector_Mode_Missing_Initialization_1_T_Loop0_TestCase8, YES, 1701)</v>
      </c>
      <c r="Z45" s="142" t="str">
        <v>correct</v>
      </c>
      <c r="AA45" s="80">
        <v>1</v>
      </c>
      <c r="AB45" s="1" t="str">
        <v>10/10</v>
      </c>
      <c r="AC45" s="80" t="str">
        <v/>
      </c>
      <c r="AD45" s="1" t="str">
        <v/>
      </c>
      <c r="AE45" s="143">
        <v>1</v>
      </c>
      <c r="AF45" s="1" t="str">
        <v>10/10</v>
      </c>
      <c r="AG45" s="142">
        <v>23896</v>
      </c>
      <c r="AH45" s="150">
        <v>2389.6</v>
      </c>
      <c r="AI45" s="142">
        <v>1710.5</v>
      </c>
      <c r="AJ45" s="14" t="str" cm="1">
        <f t="array" ref="AJ45:AT45">_xlfn.LET(
  _xlpm.program_isNT, RIGHT(Athena_BV!B45,5)="_NT.c",
  _xlpm.program_isT,  RIGHT(Athena_BV!B45,4)="_T.c",
  _xlpm.bv_isCorrect, LOWER(Athena_BV!AK45)="correct",
  _xlpm.ma_isCorrect, LOWER(Athena_MA!AK45)="correct",
  _xlpm.mi_isCorrect, LOWER(Athena_MI!AK45)="correct",
  _xlpm.bv_column, IF(_xlpm.program_isNT, Athena_BV!AN45, IF(_xlpm.program_isT, Athena_BV!AL45, "")),
  _xlpm.ma_column, IF(_xlpm.program_isNT, Athena_MA!AN45, IF(_xlpm.program_isT, Athena_MA!AL45, "")),
  _xlpm.mi_column, IF(_xlpm.program_isNT, Athena_MI!AN45, IF(_xlpm.program_isT, Athena_MI!AL45,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Athena_BV!AJ45:AT45,
    Athena_MA!AJ45:AT45,
    Athena_MI!AJ45:AT45
  )
)</f>
        <v>(FSE_Bitvector_Mode_Missing_Initialization_1_T_Loop17_TestCase10, YES, 4672)
(FSE_Bitvector_Mode_Missing_Initialization_1_T_Loop17_TestCase8, YES, 1720)
(FSE_Bitvector_Mode_Missing_Initialization_1_T_Loop17_TestCase9, YES, 1764)
(FSE_Bitvector_Mode_Missing_Initialization_1_T_Loop14_TestCase8, YES, 1930)
(FSE_Bitvector_Mode_Missing_Initialization_1_T_Loop14_TestCase9, YES, 1867)
(FSE_Bitvector_Mode_Missing_Initialization_1_T_Loop14_TestCase10, YES, 3371)
(FSE_Bitvector_Mode_Missing_Initialization_1_T_Loop14_TestCase7, YES, 3908)
(FSE_Bitvector_Mode_Missing_Initialization_1_T_Loop17_TestCase2, YES, 1749)
(FSE_Bitvector_Mode_Missing_Initialization_1_T_Loop17_TestCase3, YES, 1723)
(FSE_Bitvector_Mode_Missing_Initialization_1_T_Loop14_TestCase6, YES, 4684)
(FSE_Bitvector_Mode_Missing_Initialization_1_T_Loop14_TestCase4, YES, 1722)
(FSE_Bitvector_Mode_Missing_Initialization_1_T_Loop17_TestCase1, YES, 1772)
(FSE_Bitvector_Mode_Missing_Initialization_1_T_Loop14_TestCase5, YES, 1747)
(FSE_Bitvector_Mode_Missing_Initialization_1_T_Loop14_TestCase1, YES, 1757)
(FSE_Bitvector_Mode_Missing_Initialization_1_T_Loop17_TestCase4, YES, 1720)
(FSE_Bitvector_Mode_Missing_Initialization_1_T_Loop17_TestCase5, YES, 1764)
(FSE_Bitvector_Mode_Missing_Initialization_1_T_Loop14_TestCase2, YES, 1746)
(FSE_Bitvector_Mode_Missing_Initialization_1_T_Loop17_TestCase7, YES, 3311)
(FSE_Bitvector_Mode_Missing_Initialization_1_T_Loop17_TestCase6, YES, 4816)
(FSE_Bitvector_Mode_Missing_Initialization_1_T_Loop14_TestCase3, YES, 2051)</v>
      </c>
      <c r="AK45" s="142" t="str">
        <v>correct</v>
      </c>
      <c r="AL45" s="80">
        <v>1</v>
      </c>
      <c r="AM45" s="1" t="str">
        <v>20/20</v>
      </c>
      <c r="AN45" s="80" t="str">
        <v/>
      </c>
      <c r="AO45" s="1" t="str">
        <v/>
      </c>
      <c r="AP45" s="143">
        <v>1</v>
      </c>
      <c r="AQ45" s="1" t="str">
        <v>20/20</v>
      </c>
      <c r="AR45" s="142">
        <v>49794</v>
      </c>
      <c r="AS45" s="150">
        <v>2489.6999999999998</v>
      </c>
      <c r="AT45" s="142">
        <v>1768</v>
      </c>
    </row>
    <row r="46" spans="1:47" x14ac:dyDescent="0.2">
      <c r="A46" s="174"/>
      <c r="B46" s="9" t="s">
        <v>50</v>
      </c>
      <c r="C46" s="14" t="str" cm="1">
        <f t="array" ref="C46:M46">_xlfn.LET(
  _xlpm.program_isNT, RIGHT(Athena_BV!B46,5)="_NT.c",
  _xlpm.program_isT,  RIGHT(Athena_BV!B46,4)="_T.c",
  _xlpm.bv_isCorrect, LOWER(Athena_BV!D46)="correct",
  _xlpm.ma_isCorrect, LOWER(Athena_MA!D46)="correct",
  _xlpm.mi_isCorrect, LOWER(Athena_MI!D46)="correct",
  _xlpm.bv_column, IF(_xlpm.program_isNT, Athena_BV!G46, IF(_xlpm.program_isT, Athena_BV!E46, "")),
  _xlpm.ma_column, IF(_xlpm.program_isNT, Athena_MA!G46, IF(_xlpm.program_isT, Athena_MA!E46, "")),
  _xlpm.mi_column, IF(_xlpm.program_isNT, Athena_MI!G46, IF(_xlpm.program_isT, Athena_MI!E46,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Athena_BV!C46:M46,
    Athena_MA!C46:M46,
    Athena_MI!C46:M46
  )
)</f>
        <v>(FSE_Bitvector_Mode_Missing_Iterator_Update_1_NT_Loop0_TestCase0, NO, 1886)</v>
      </c>
      <c r="D46" s="142" t="str">
        <v>correct</v>
      </c>
      <c r="E46" s="80">
        <v>0</v>
      </c>
      <c r="F46" s="1" t="str">
        <v>0/0</v>
      </c>
      <c r="G46" s="80">
        <v>1</v>
      </c>
      <c r="H46" s="1" t="str">
        <v>1/1</v>
      </c>
      <c r="I46" s="143">
        <v>1</v>
      </c>
      <c r="J46" s="1" t="str">
        <v>1/1</v>
      </c>
      <c r="K46" s="142">
        <v>1886</v>
      </c>
      <c r="L46" s="1">
        <v>1886</v>
      </c>
      <c r="M46" s="140">
        <v>1886</v>
      </c>
      <c r="N46" s="14" t="str" cm="1">
        <f t="array" ref="N46:X46">_xlfn.LET(
  _xlpm.program_isNT, RIGHT(Athena_BV!B46,5)="_NT.c",
  _xlpm.program_isT,  RIGHT(Athena_BV!B46,4)="_T.c",
  _xlpm.bv_isCorrect, LOWER(Athena_BV!O46)="correct",
  _xlpm.ma_isCorrect, LOWER(Athena_MA!O46)="correct",
  _xlpm.mi_isCorrect, LOWER(Athena_MI!O46)="correct",
  _xlpm.bv_column, IF(_xlpm.program_isNT, Athena_BV!R46, IF(_xlpm.program_isT, Athena_BV!P46, "")),
  _xlpm.ma_column, IF(_xlpm.program_isNT, Athena_MA!R46, IF(_xlpm.program_isT, Athena_MA!P46, "")),
  _xlpm.mi_column, IF(_xlpm.program_isNT, Athena_MI!R46, IF(_xlpm.program_isT, Athena_MI!P46,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Athena_BV!N46:X46,
    Athena_MA!N46:X46,
    Athena_MI!N46:X46
  )
)</f>
        <v>(FSE_Bitvector_Mode_Missing_Iterator_Update_1_NT_Loop18_TestCase0, YES, 1903)</v>
      </c>
      <c r="O46" s="142" t="str">
        <v>correct</v>
      </c>
      <c r="P46" s="80">
        <v>0</v>
      </c>
      <c r="Q46" s="1" t="str">
        <v>0/0</v>
      </c>
      <c r="R46" s="80">
        <v>0</v>
      </c>
      <c r="S46" s="149" t="str">
        <v>0/1</v>
      </c>
      <c r="T46" s="80">
        <v>0</v>
      </c>
      <c r="U46" s="1" t="str">
        <v>0/1</v>
      </c>
      <c r="V46" s="142">
        <v>0</v>
      </c>
      <c r="W46" s="150">
        <v>0</v>
      </c>
      <c r="X46" s="142">
        <v>0</v>
      </c>
      <c r="Y46" s="14" t="str" cm="1">
        <f t="array" ref="Y46:AI46">_xlfn.LET(
  _xlpm.program_isNT, RIGHT(Athena_BV!B46,5)="_NT.c",
  _xlpm.program_isT,  RIGHT(Athena_BV!B46,4)="_T.c",
  _xlpm.bv_isCorrect, LOWER(Athena_BV!Z46)="correct",
  _xlpm.ma_isCorrect, LOWER(Athena_MA!Z46)="correct",
  _xlpm.mi_isCorrect, LOWER(Athena_MI!Z46)="correct",
  _xlpm.bv_column, IF(_xlpm.program_isNT, Athena_BV!AC46, IF(_xlpm.program_isT, Athena_BV!AA46, "")),
  _xlpm.ma_column, IF(_xlpm.program_isNT, Athena_MA!AC46, IF(_xlpm.program_isT, Athena_MA!AA46, "")),
  _xlpm.mi_column, IF(_xlpm.program_isNT, Athena_MI!AC46, IF(_xlpm.program_isT, Athena_MI!AA46,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Athena_BV!Y46:AI46,
    Athena_MA!Y46:AI46,
    Athena_MI!Y46:AI46
  )
)</f>
        <v>(FSE_Bitvector_Mode_Missing_Iterator_Update_1_NT_Loop0_TestCase9, NO, 1766)
(FSE_Bitvector_Mode_Missing_Iterator_Update_1_NT_Loop0_TestCase8, NO, 1774)
(FSE_Bitvector_Mode_Missing_Iterator_Update_1_NT_Loop0_TestCase10, NO, 1743)
(FSE_Bitvector_Mode_Missing_Iterator_Update_1_NT_Loop0_TestCase5, YES, 1700)
(FSE_Bitvector_Mode_Missing_Iterator_Update_1_NT_Loop0_TestCase4, YES, 1753)
(FSE_Bitvector_Mode_Missing_Iterator_Update_1_NT_Loop0_TestCase6, NO, 1716)
(FSE_Bitvector_Mode_Missing_Iterator_Update_1_NT_Loop0_TestCase7, NO, 1731)
(FSE_Bitvector_Mode_Missing_Iterator_Update_1_NT_Loop0_TestCase3, YES, 1751)
(FSE_Bitvector_Mode_Missing_Iterator_Update_1_NT_Loop0_TestCase2, YES, 1738)
(FSE_Bitvector_Mode_Missing_Iterator_Update_1_NT_Loop0_TestCase1, YES, 1725)</v>
      </c>
      <c r="Z46" s="142" t="str">
        <v>correct</v>
      </c>
      <c r="AA46" s="80">
        <v>1</v>
      </c>
      <c r="AB46" s="1" t="str">
        <v>5/5</v>
      </c>
      <c r="AC46" s="80">
        <v>1</v>
      </c>
      <c r="AD46" s="1" t="str">
        <v>5/5</v>
      </c>
      <c r="AE46" s="143">
        <v>1</v>
      </c>
      <c r="AF46" s="1" t="str">
        <v>10/10</v>
      </c>
      <c r="AG46" s="142">
        <v>17397</v>
      </c>
      <c r="AH46" s="150">
        <v>1739.7</v>
      </c>
      <c r="AI46" s="142">
        <v>1740.5</v>
      </c>
      <c r="AJ46" s="14" t="str" cm="1">
        <f t="array" ref="AJ46:AT46">_xlfn.LET(
  _xlpm.program_isNT, RIGHT(Athena_BV!B46,5)="_NT.c",
  _xlpm.program_isT,  RIGHT(Athena_BV!B46,4)="_T.c",
  _xlpm.bv_isCorrect, LOWER(Athena_BV!AK46)="correct",
  _xlpm.ma_isCorrect, LOWER(Athena_MA!AK46)="correct",
  _xlpm.mi_isCorrect, LOWER(Athena_MI!AK46)="correct",
  _xlpm.bv_column, IF(_xlpm.program_isNT, Athena_BV!AN46, IF(_xlpm.program_isT, Athena_BV!AL46, "")),
  _xlpm.ma_column, IF(_xlpm.program_isNT, Athena_MA!AN46, IF(_xlpm.program_isT, Athena_MA!AL46, "")),
  _xlpm.mi_column, IF(_xlpm.program_isNT, Athena_MI!AN46, IF(_xlpm.program_isT, Athena_MI!AL46,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Athena_BV!AJ46:AT46,
    Athena_MA!AJ46:AT46,
    Athena_MI!AJ46:AT46
  )
)</f>
        <v>(FSE_Bitvector_Mode_Missing_Iterator_Update_1_NT_Loop18_TestCase1, YES, 1821)
(FSE_Bitvector_Mode_Missing_Iterator_Update_1_NT_Loop18_TestCase3, YES, 1796)
(FSE_Bitvector_Mode_Missing_Iterator_Update_1_NT_Loop18_TestCase2, YES, 1757)
(FSE_Bitvector_Mode_Missing_Iterator_Update_1_NT_Loop18_TestCase6, YES, 1753)
(FSE_Bitvector_Mode_Missing_Iterator_Update_1_NT_Loop18_TestCase7, YES, 1792)
(FSE_Bitvector_Mode_Missing_Iterator_Update_1_NT_Loop18_TestCase5, YES, 1801)
(FSE_Bitvector_Mode_Missing_Iterator_Update_1_NT_Loop18_TestCase4, YES, 1781)
(FSE_Bitvector_Mode_Missing_Iterator_Update_1_NT_Loop18_TestCase9, YES, 1757)
(FSE_Bitvector_Mode_Missing_Iterator_Update_1_NT_Loop18_TestCase8, YES, 3003)
(FSE_Bitvector_Mode_Missing_Iterator_Update_1_NT_Loop18_TestCase10, YES, 1937)</v>
      </c>
      <c r="AK46" s="142" t="str">
        <v>correct</v>
      </c>
      <c r="AL46" s="80">
        <v>1</v>
      </c>
      <c r="AM46" s="1" t="str">
        <v>5/5</v>
      </c>
      <c r="AN46" s="80">
        <v>0</v>
      </c>
      <c r="AO46" s="1" t="str">
        <v>0/5</v>
      </c>
      <c r="AP46" s="143">
        <v>0.5</v>
      </c>
      <c r="AQ46" s="1" t="str">
        <v>5/10</v>
      </c>
      <c r="AR46" s="142">
        <v>8956</v>
      </c>
      <c r="AS46" s="150">
        <v>1791.2</v>
      </c>
      <c r="AT46" s="142">
        <v>1796</v>
      </c>
    </row>
    <row r="47" spans="1:47" x14ac:dyDescent="0.2">
      <c r="A47" s="174"/>
      <c r="B47" s="9" t="s">
        <v>51</v>
      </c>
      <c r="C47" s="14" t="str" cm="1">
        <f t="array" ref="C47:M47">_xlfn.LET(
  _xlpm.program_isNT, RIGHT(Athena_BV!B47,5)="_NT.c",
  _xlpm.program_isT,  RIGHT(Athena_BV!B47,4)="_T.c",
  _xlpm.bv_isCorrect, LOWER(Athena_BV!D47)="correct",
  _xlpm.ma_isCorrect, LOWER(Athena_MA!D47)="correct",
  _xlpm.mi_isCorrect, LOWER(Athena_MI!D47)="correct",
  _xlpm.bv_column, IF(_xlpm.program_isNT, Athena_BV!G47, IF(_xlpm.program_isT, Athena_BV!E47, "")),
  _xlpm.ma_column, IF(_xlpm.program_isNT, Athena_MA!G47, IF(_xlpm.program_isT, Athena_MA!E47, "")),
  _xlpm.mi_column, IF(_xlpm.program_isNT, Athena_MI!G47, IF(_xlpm.program_isT, Athena_MI!E47,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Athena_BV!C47:M47,
    Athena_MA!C47:M47,
    Athena_MI!C47:M47
  )
)</f>
        <v>(FSE_Bitvector_Mode_Missing_Iterator_Update_1_T_Loop0_TestCase0, YES, 4862)</v>
      </c>
      <c r="D47" s="142" t="str">
        <v>correct</v>
      </c>
      <c r="E47" s="80">
        <v>1</v>
      </c>
      <c r="F47" s="1" t="str">
        <v>1/1</v>
      </c>
      <c r="G47" s="80" t="str">
        <v/>
      </c>
      <c r="H47" s="1" t="str">
        <v/>
      </c>
      <c r="I47" s="143">
        <v>1</v>
      </c>
      <c r="J47" s="1" t="str">
        <v>1/1</v>
      </c>
      <c r="K47" s="142">
        <v>4862</v>
      </c>
      <c r="L47" s="1">
        <v>4862</v>
      </c>
      <c r="M47" s="140">
        <v>4862</v>
      </c>
      <c r="N47" s="14" t="str" cm="1">
        <f t="array" ref="N47:X47">_xlfn.LET(
  _xlpm.program_isNT, RIGHT(Athena_BV!B47,5)="_NT.c",
  _xlpm.program_isT,  RIGHT(Athena_BV!B47,4)="_T.c",
  _xlpm.bv_isCorrect, LOWER(Athena_BV!O47)="correct",
  _xlpm.ma_isCorrect, LOWER(Athena_MA!O47)="correct",
  _xlpm.mi_isCorrect, LOWER(Athena_MI!O47)="correct",
  _xlpm.bv_column, IF(_xlpm.program_isNT, Athena_BV!R47, IF(_xlpm.program_isT, Athena_BV!P47, "")),
  _xlpm.ma_column, IF(_xlpm.program_isNT, Athena_MA!R47, IF(_xlpm.program_isT, Athena_MA!P47, "")),
  _xlpm.mi_column, IF(_xlpm.program_isNT, Athena_MI!R47, IF(_xlpm.program_isT, Athena_MI!P47,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Athena_BV!N47:X47,
    Athena_MA!N47:X47,
    Athena_MI!N47:X47
  )
)</f>
        <v>(FSE_Bitvector_Mode_Missing_Iterator_Update_1_T_Loop35_TestCase0, YES, 4069)
(FSE_Bitvector_Mode_Missing_Iterator_Update_1_T_Loop17_TestCase0, YES, 1861)</v>
      </c>
      <c r="O47" s="142" t="str">
        <v>correct</v>
      </c>
      <c r="P47" s="80">
        <v>1</v>
      </c>
      <c r="Q47" s="1" t="str">
        <v>2/2</v>
      </c>
      <c r="R47" s="80" t="str">
        <v/>
      </c>
      <c r="S47" s="149" t="str">
        <v/>
      </c>
      <c r="T47" s="80">
        <v>1</v>
      </c>
      <c r="U47" s="1" t="str">
        <v>2/2</v>
      </c>
      <c r="V47" s="142">
        <v>5930</v>
      </c>
      <c r="W47" s="150">
        <v>2965</v>
      </c>
      <c r="X47" s="142">
        <v>2965</v>
      </c>
      <c r="Y47" s="14" t="str" cm="1">
        <f t="array" ref="Y47:AI47">_xlfn.LET(
  _xlpm.program_isNT, RIGHT(Athena_BV!B47,5)="_NT.c",
  _xlpm.program_isT,  RIGHT(Athena_BV!B47,4)="_T.c",
  _xlpm.bv_isCorrect, LOWER(Athena_BV!Z47)="correct",
  _xlpm.ma_isCorrect, LOWER(Athena_MA!Z47)="correct",
  _xlpm.mi_isCorrect, LOWER(Athena_MI!Z47)="correct",
  _xlpm.bv_column, IF(_xlpm.program_isNT, Athena_BV!AC47, IF(_xlpm.program_isT, Athena_BV!AA47, "")),
  _xlpm.ma_column, IF(_xlpm.program_isNT, Athena_MA!AC47, IF(_xlpm.program_isT, Athena_MA!AA47, "")),
  _xlpm.mi_column, IF(_xlpm.program_isNT, Athena_MI!AC47, IF(_xlpm.program_isT, Athena_MI!AA47,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Athena_BV!Y47:AI47,
    Athena_MA!Y47:AI47,
    Athena_MI!Y47:AI47
  )
)</f>
        <v>(FSE_Bitvector_Mode_Missing_Iterator_Update_1_T_Loop0_TestCase5, YES, 1711)
(FSE_Bitvector_Mode_Missing_Iterator_Update_1_T_Loop0_TestCase4, YES, 1744)
(FSE_Bitvector_Mode_Missing_Iterator_Update_1_T_Loop0_TestCase6, YES, 1735)
(FSE_Bitvector_Mode_Missing_Iterator_Update_1_T_Loop0_TestCase7, YES, 1737)
(FSE_Bitvector_Mode_Missing_Iterator_Update_1_T_Loop0_TestCase10, YES, 1722)
(FSE_Bitvector_Mode_Missing_Iterator_Update_1_T_Loop0_TestCase3, YES, 1754)
(FSE_Bitvector_Mode_Missing_Iterator_Update_1_T_Loop0_TestCase2, YES, 1753)
(FSE_Bitvector_Mode_Missing_Iterator_Update_1_T_Loop0_TestCase1, YES, 1719)
(FSE_Bitvector_Mode_Missing_Iterator_Update_1_T_Loop0_TestCase9, YES, 1753)
(FSE_Bitvector_Mode_Missing_Iterator_Update_1_T_Loop0_TestCase8, YES, 1746)</v>
      </c>
      <c r="Z47" s="142" t="str">
        <v>correct</v>
      </c>
      <c r="AA47" s="80">
        <v>1</v>
      </c>
      <c r="AB47" s="1" t="str">
        <v>10/10</v>
      </c>
      <c r="AC47" s="80" t="str">
        <v/>
      </c>
      <c r="AD47" s="1" t="str">
        <v/>
      </c>
      <c r="AE47" s="143">
        <v>1</v>
      </c>
      <c r="AF47" s="1" t="str">
        <v>10/10</v>
      </c>
      <c r="AG47" s="142">
        <v>17374</v>
      </c>
      <c r="AH47" s="150">
        <v>1737.4</v>
      </c>
      <c r="AI47" s="142">
        <v>1740.5</v>
      </c>
      <c r="AJ47" s="14" t="str" cm="1">
        <f t="array" ref="AJ47:AT47">_xlfn.LET(
  _xlpm.program_isNT, RIGHT(Athena_BV!B47,5)="_NT.c",
  _xlpm.program_isT,  RIGHT(Athena_BV!B47,4)="_T.c",
  _xlpm.bv_isCorrect, LOWER(Athena_BV!AK47)="correct",
  _xlpm.ma_isCorrect, LOWER(Athena_MA!AK47)="correct",
  _xlpm.mi_isCorrect, LOWER(Athena_MI!AK47)="correct",
  _xlpm.bv_column, IF(_xlpm.program_isNT, Athena_BV!AN47, IF(_xlpm.program_isT, Athena_BV!AL47, "")),
  _xlpm.ma_column, IF(_xlpm.program_isNT, Athena_MA!AN47, IF(_xlpm.program_isT, Athena_MA!AL47, "")),
  _xlpm.mi_column, IF(_xlpm.program_isNT, Athena_MI!AN47, IF(_xlpm.program_isT, Athena_MI!AL47,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Athena_BV!AJ47:AT47,
    Athena_MA!AJ47:AT47,
    Athena_MI!AJ47:AT47
  )
)</f>
        <v>(FSE_Bitvector_Mode_Missing_Iterator_Update_1_T_Loop17_TestCase9, YES, 1764)
(FSE_Bitvector_Mode_Missing_Iterator_Update_1_T_Loop17_TestCase8, YES, 1747)
(FSE_Bitvector_Mode_Missing_Iterator_Update_1_T_Loop35_TestCase10, YES, 1740)
(FSE_Bitvector_Mode_Missing_Iterator_Update_1_T_Loop35_TestCase7, YES, 2081)
(FSE_Bitvector_Mode_Missing_Iterator_Update_1_T_Loop35_TestCase6, YES, 1774)
(FSE_Bitvector_Mode_Missing_Iterator_Update_1_T_Loop35_TestCase4, YES, 1746)
(FSE_Bitvector_Mode_Missing_Iterator_Update_1_T_Loop35_TestCase5, YES, 2193)
(FSE_Bitvector_Mode_Missing_Iterator_Update_1_T_Loop35_TestCase1, YES, 1775)
(FSE_Bitvector_Mode_Missing_Iterator_Update_1_T_Loop35_TestCase2, YES, 1729)
(FSE_Bitvector_Mode_Missing_Iterator_Update_1_T_Loop35_TestCase3, YES, 1801)
(FSE_Bitvector_Mode_Missing_Iterator_Update_1_T_Loop17_TestCase10, YES, 1795)
(FSE_Bitvector_Mode_Missing_Iterator_Update_1_T_Loop35_TestCase8, YES, 1789)
(FSE_Bitvector_Mode_Missing_Iterator_Update_1_T_Loop35_TestCase9, YES, 1797)
(FSE_Bitvector_Mode_Missing_Iterator_Update_1_T_Loop17_TestCase1, YES, 1870)
(FSE_Bitvector_Mode_Missing_Iterator_Update_1_T_Loop17_TestCase3, YES, 1799)
(FSE_Bitvector_Mode_Missing_Iterator_Update_1_T_Loop17_TestCase2, YES, 1861)
(FSE_Bitvector_Mode_Missing_Iterator_Update_1_T_Loop17_TestCase6, YES, 1755)
(FSE_Bitvector_Mode_Missing_Iterator_Update_1_T_Loop17_TestCase7, YES, 1763)
(FSE_Bitvector_Mode_Missing_Iterator_Update_1_T_Loop17_TestCase5, YES, 1774)
(FSE_Bitvector_Mode_Missing_Iterator_Update_1_T_Loop17_TestCase4, YES, 1788)</v>
      </c>
      <c r="AK47" s="142" t="str">
        <v>correct</v>
      </c>
      <c r="AL47" s="80">
        <v>1</v>
      </c>
      <c r="AM47" s="1" t="str">
        <v>20/20</v>
      </c>
      <c r="AN47" s="80" t="str">
        <v/>
      </c>
      <c r="AO47" s="1" t="str">
        <v/>
      </c>
      <c r="AP47" s="143">
        <v>1</v>
      </c>
      <c r="AQ47" s="1" t="str">
        <v>20/20</v>
      </c>
      <c r="AR47" s="142">
        <v>36341</v>
      </c>
      <c r="AS47" s="150">
        <v>1817.05</v>
      </c>
      <c r="AT47" s="142">
        <v>1781.5</v>
      </c>
    </row>
    <row r="48" spans="1:47" x14ac:dyDescent="0.2">
      <c r="A48" s="174"/>
      <c r="B48" s="9" t="s">
        <v>52</v>
      </c>
      <c r="C48" s="14" t="str" cm="1">
        <f t="array" ref="C48:M48">_xlfn.LET(
  _xlpm.program_isNT, RIGHT(Athena_BV!B48,5)="_NT.c",
  _xlpm.program_isT,  RIGHT(Athena_BV!B48,4)="_T.c",
  _xlpm.bv_isCorrect, LOWER(Athena_BV!D48)="correct",
  _xlpm.ma_isCorrect, LOWER(Athena_MA!D48)="correct",
  _xlpm.mi_isCorrect, LOWER(Athena_MI!D48)="correct",
  _xlpm.bv_column, IF(_xlpm.program_isNT, Athena_BV!G48, IF(_xlpm.program_isT, Athena_BV!E48, "")),
  _xlpm.ma_column, IF(_xlpm.program_isNT, Athena_MA!G48, IF(_xlpm.program_isT, Athena_MA!E48, "")),
  _xlpm.mi_column, IF(_xlpm.program_isNT, Athena_MI!G48, IF(_xlpm.program_isT, Athena_MI!E48,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Athena_BV!C48:M48,
    Athena_MA!C48:M48,
    Athena_MI!C48:M48
  )
)</f>
        <v>(FSE_Bitvector_Mode_Missing_Iterator_Update_2_NT_Loop0_TestCase0, NO, 1982)</v>
      </c>
      <c r="D48" s="142" t="str">
        <v>correct</v>
      </c>
      <c r="E48" s="80">
        <v>0</v>
      </c>
      <c r="F48" s="1" t="str">
        <v>0/0</v>
      </c>
      <c r="G48" s="80">
        <v>1</v>
      </c>
      <c r="H48" s="1" t="str">
        <v>1/1</v>
      </c>
      <c r="I48" s="143">
        <v>1</v>
      </c>
      <c r="J48" s="1" t="str">
        <v>1/1</v>
      </c>
      <c r="K48" s="142">
        <v>1982</v>
      </c>
      <c r="L48" s="1">
        <v>1982</v>
      </c>
      <c r="M48" s="140">
        <v>1982</v>
      </c>
      <c r="N48" s="14" t="str" cm="1">
        <f t="array" ref="N48:X48">_xlfn.LET(
  _xlpm.program_isNT, RIGHT(Athena_BV!B48,5)="_NT.c",
  _xlpm.program_isT,  RIGHT(Athena_BV!B48,4)="_T.c",
  _xlpm.bv_isCorrect, LOWER(Athena_BV!O48)="correct",
  _xlpm.ma_isCorrect, LOWER(Athena_MA!O48)="correct",
  _xlpm.mi_isCorrect, LOWER(Athena_MI!O48)="correct",
  _xlpm.bv_column, IF(_xlpm.program_isNT, Athena_BV!R48, IF(_xlpm.program_isT, Athena_BV!P48, "")),
  _xlpm.ma_column, IF(_xlpm.program_isNT, Athena_MA!R48, IF(_xlpm.program_isT, Athena_MA!P48, "")),
  _xlpm.mi_column, IF(_xlpm.program_isNT, Athena_MI!R48, IF(_xlpm.program_isT, Athena_MI!P48,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Athena_BV!N48:X48,
    Athena_MA!N48:X48,
    Athena_MI!N48:X48
  )
)</f>
        <v>(FSE_Bitvector_Mode_Missing_Iterator_Update_2_NT_Loop28_TestCase0, NO, 1989)</v>
      </c>
      <c r="O48" s="142" t="str">
        <v>correct</v>
      </c>
      <c r="P48" s="80">
        <v>0</v>
      </c>
      <c r="Q48" s="1" t="str">
        <v>0/0</v>
      </c>
      <c r="R48" s="80">
        <v>1</v>
      </c>
      <c r="S48" s="149" t="str">
        <v>1/1</v>
      </c>
      <c r="T48" s="80">
        <v>1</v>
      </c>
      <c r="U48" s="1" t="str">
        <v>1/1</v>
      </c>
      <c r="V48" s="142">
        <v>1989</v>
      </c>
      <c r="W48" s="150">
        <v>1989</v>
      </c>
      <c r="X48" s="142">
        <v>1989</v>
      </c>
      <c r="Y48" s="14" t="str" cm="1">
        <f t="array" ref="Y48:AI48">_xlfn.LET(
  _xlpm.program_isNT, RIGHT(Athena_BV!B48,5)="_NT.c",
  _xlpm.program_isT,  RIGHT(Athena_BV!B48,4)="_T.c",
  _xlpm.bv_isCorrect, LOWER(Athena_BV!Z48)="correct",
  _xlpm.ma_isCorrect, LOWER(Athena_MA!Z48)="correct",
  _xlpm.mi_isCorrect, LOWER(Athena_MI!Z48)="correct",
  _xlpm.bv_column, IF(_xlpm.program_isNT, Athena_BV!AC48, IF(_xlpm.program_isT, Athena_BV!AA48, "")),
  _xlpm.ma_column, IF(_xlpm.program_isNT, Athena_MA!AC48, IF(_xlpm.program_isT, Athena_MA!AA48, "")),
  _xlpm.mi_column, IF(_xlpm.program_isNT, Athena_MI!AC48, IF(_xlpm.program_isT, Athena_MI!AA48,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Athena_BV!Y48:AI48,
    Athena_MA!Y48:AI48,
    Athena_MI!Y48:AI48
  )
)</f>
        <v>(FSE_Bitvector_Mode_Missing_Iterator_Update_2_NT_Loop0_TestCase9, NO, 1759)
(FSE_Bitvector_Mode_Missing_Iterator_Update_2_NT_Loop0_TestCase8, NO, 1761)
(FSE_Bitvector_Mode_Missing_Iterator_Update_2_NT_Loop0_TestCase10, NO, 1754)
(FSE_Bitvector_Mode_Missing_Iterator_Update_2_NT_Loop0_TestCase1, YES, 1751)
(FSE_Bitvector_Mode_Missing_Iterator_Update_2_NT_Loop0_TestCase3, YES, 6744)
(FSE_Bitvector_Mode_Missing_Iterator_Update_2_NT_Loop0_TestCase2, YES, 5919)
(FSE_Bitvector_Mode_Missing_Iterator_Update_2_NT_Loop0_TestCase6, NO, 1738)
(FSE_Bitvector_Mode_Missing_Iterator_Update_2_NT_Loop0_TestCase7, NO, 1765)
(FSE_Bitvector_Mode_Missing_Iterator_Update_2_NT_Loop0_TestCase5, YES, 4452)
(FSE_Bitvector_Mode_Missing_Iterator_Update_2_NT_Loop0_TestCase4, YES, 1742)</v>
      </c>
      <c r="Z48" s="142" t="str">
        <v>correct</v>
      </c>
      <c r="AA48" s="80">
        <v>1</v>
      </c>
      <c r="AB48" s="1" t="str">
        <v>5/5</v>
      </c>
      <c r="AC48" s="80">
        <v>1</v>
      </c>
      <c r="AD48" s="1" t="str">
        <v>5/5</v>
      </c>
      <c r="AE48" s="143">
        <v>1</v>
      </c>
      <c r="AF48" s="1" t="str">
        <v>10/10</v>
      </c>
      <c r="AG48" s="142">
        <v>29385</v>
      </c>
      <c r="AH48" s="150">
        <v>2938.5</v>
      </c>
      <c r="AI48" s="142">
        <v>1760</v>
      </c>
      <c r="AJ48" s="14" t="str" cm="1">
        <f t="array" ref="AJ48:AT48">_xlfn.LET(
  _xlpm.program_isNT, RIGHT(Athena_BV!B48,5)="_NT.c",
  _xlpm.program_isT,  RIGHT(Athena_BV!B48,4)="_T.c",
  _xlpm.bv_isCorrect, LOWER(Athena_BV!AK48)="correct",
  _xlpm.ma_isCorrect, LOWER(Athena_MA!AK48)="correct",
  _xlpm.mi_isCorrect, LOWER(Athena_MI!AK48)="correct",
  _xlpm.bv_column, IF(_xlpm.program_isNT, Athena_BV!AN48, IF(_xlpm.program_isT, Athena_BV!AL48, "")),
  _xlpm.ma_column, IF(_xlpm.program_isNT, Athena_MA!AN48, IF(_xlpm.program_isT, Athena_MA!AL48, "")),
  _xlpm.mi_column, IF(_xlpm.program_isNT, Athena_MI!AN48, IF(_xlpm.program_isT, Athena_MI!AL48,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Athena_BV!AJ48:AT48,
    Athena_MA!AJ48:AT48,
    Athena_MI!AJ48:AT48
  )
)</f>
        <v>(FSE_Bitvector_Mode_Missing_Iterator_Update_2_NT_Loop28_TestCase4, YES, 1760)
(FSE_Bitvector_Mode_Missing_Iterator_Update_2_NT_Loop28_TestCase5, YES, 4788)
(FSE_Bitvector_Mode_Missing_Iterator_Update_2_NT_Loop28_TestCase7, NO, 1869)
(FSE_Bitvector_Mode_Missing_Iterator_Update_2_NT_Loop28_TestCase6, NO, 1860)
(FSE_Bitvector_Mode_Missing_Iterator_Update_2_NT_Loop28_TestCase2, YES, 3576)
(FSE_Bitvector_Mode_Missing_Iterator_Update_2_NT_Loop28_TestCase3, YES, 5355)
(FSE_Bitvector_Mode_Missing_Iterator_Update_2_NT_Loop28_TestCase1, YES, 1760)
(FSE_Bitvector_Mode_Missing_Iterator_Update_2_NT_Loop28_TestCase8, NO, 1809)
(FSE_Bitvector_Mode_Missing_Iterator_Update_2_NT_Loop28_TestCase9, NO, 1777)
(FSE_Bitvector_Mode_Missing_Iterator_Update_2_NT_Loop28_TestCase10, NO, 1824)</v>
      </c>
      <c r="AK48" s="142" t="str">
        <v>correct</v>
      </c>
      <c r="AL48" s="80">
        <v>1</v>
      </c>
      <c r="AM48" s="1" t="str">
        <v>5/5</v>
      </c>
      <c r="AN48" s="80">
        <v>1</v>
      </c>
      <c r="AO48" s="1" t="str">
        <v>5/5</v>
      </c>
      <c r="AP48" s="143">
        <v>1</v>
      </c>
      <c r="AQ48" s="1" t="str">
        <v>10/10</v>
      </c>
      <c r="AR48" s="142">
        <v>26378</v>
      </c>
      <c r="AS48" s="150">
        <v>2637.8</v>
      </c>
      <c r="AT48" s="142">
        <v>1842</v>
      </c>
    </row>
    <row r="49" spans="1:47" x14ac:dyDescent="0.2">
      <c r="A49" s="174"/>
      <c r="B49" s="9" t="s">
        <v>53</v>
      </c>
      <c r="C49" s="14" t="str" cm="1">
        <f t="array" ref="C49:M49">_xlfn.LET(
  _xlpm.program_isNT, RIGHT(Athena_BV!B49,5)="_NT.c",
  _xlpm.program_isT,  RIGHT(Athena_BV!B49,4)="_T.c",
  _xlpm.bv_isCorrect, LOWER(Athena_BV!D49)="correct",
  _xlpm.ma_isCorrect, LOWER(Athena_MA!D49)="correct",
  _xlpm.mi_isCorrect, LOWER(Athena_MI!D49)="correct",
  _xlpm.bv_column, IF(_xlpm.program_isNT, Athena_BV!G49, IF(_xlpm.program_isT, Athena_BV!E49, "")),
  _xlpm.ma_column, IF(_xlpm.program_isNT, Athena_MA!G49, IF(_xlpm.program_isT, Athena_MA!E49, "")),
  _xlpm.mi_column, IF(_xlpm.program_isNT, Athena_MI!G49, IF(_xlpm.program_isT, Athena_MI!E49,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Athena_BV!C49:M49,
    Athena_MA!C49:M49,
    Athena_MI!C49:M49
  )
)</f>
        <v>(FSE_Bitvector_Mode_Missing_Iterator_Update_2_T_Loop0_TestCase0, YES, 8406)</v>
      </c>
      <c r="D49" s="142" t="str">
        <v>correct</v>
      </c>
      <c r="E49" s="80">
        <v>1</v>
      </c>
      <c r="F49" s="1" t="str">
        <v>1/1</v>
      </c>
      <c r="G49" s="80" t="str">
        <v/>
      </c>
      <c r="H49" s="1" t="str">
        <v/>
      </c>
      <c r="I49" s="143">
        <v>1</v>
      </c>
      <c r="J49" s="1" t="str">
        <v>1/1</v>
      </c>
      <c r="K49" s="142">
        <v>8406</v>
      </c>
      <c r="L49" s="1">
        <v>8406</v>
      </c>
      <c r="M49" s="140">
        <v>8406</v>
      </c>
      <c r="N49" s="14" t="str" cm="1">
        <f t="array" ref="N49:X49">_xlfn.LET(
  _xlpm.program_isNT, RIGHT(Athena_BV!B49,5)="_NT.c",
  _xlpm.program_isT,  RIGHT(Athena_BV!B49,4)="_T.c",
  _xlpm.bv_isCorrect, LOWER(Athena_BV!O49)="correct",
  _xlpm.ma_isCorrect, LOWER(Athena_MA!O49)="correct",
  _xlpm.mi_isCorrect, LOWER(Athena_MI!O49)="correct",
  _xlpm.bv_column, IF(_xlpm.program_isNT, Athena_BV!R49, IF(_xlpm.program_isT, Athena_BV!P49, "")),
  _xlpm.ma_column, IF(_xlpm.program_isNT, Athena_MA!R49, IF(_xlpm.program_isT, Athena_MA!P49, "")),
  _xlpm.mi_column, IF(_xlpm.program_isNT, Athena_MI!R49, IF(_xlpm.program_isT, Athena_MI!P49,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Athena_BV!N49:X49,
    Athena_MA!N49:X49,
    Athena_MI!N49:X49
  )
)</f>
        <v>(FSE_Bitvector_Mode_Missing_Iterator_Update_2_T_Loop28_TestCase0, YES, 10620)</v>
      </c>
      <c r="O49" s="142" t="str">
        <v>correct</v>
      </c>
      <c r="P49" s="80">
        <v>1</v>
      </c>
      <c r="Q49" s="1" t="str">
        <v>1/1</v>
      </c>
      <c r="R49" s="80" t="str">
        <v/>
      </c>
      <c r="S49" s="149" t="str">
        <v/>
      </c>
      <c r="T49" s="80">
        <v>1</v>
      </c>
      <c r="U49" s="1" t="str">
        <v>1/1</v>
      </c>
      <c r="V49" s="142">
        <v>10620</v>
      </c>
      <c r="W49" s="150">
        <v>10620</v>
      </c>
      <c r="X49" s="142">
        <v>10620</v>
      </c>
      <c r="Y49" s="14" t="str" cm="1">
        <f t="array" ref="Y49:AI49">_xlfn.LET(
  _xlpm.program_isNT, RIGHT(Athena_BV!B49,5)="_NT.c",
  _xlpm.program_isT,  RIGHT(Athena_BV!B49,4)="_T.c",
  _xlpm.bv_isCorrect, LOWER(Athena_BV!Z49)="correct",
  _xlpm.ma_isCorrect, LOWER(Athena_MA!Z49)="correct",
  _xlpm.mi_isCorrect, LOWER(Athena_MI!Z49)="correct",
  _xlpm.bv_column, IF(_xlpm.program_isNT, Athena_BV!AC49, IF(_xlpm.program_isT, Athena_BV!AA49, "")),
  _xlpm.ma_column, IF(_xlpm.program_isNT, Athena_MA!AC49, IF(_xlpm.program_isT, Athena_MA!AA49, "")),
  _xlpm.mi_column, IF(_xlpm.program_isNT, Athena_MI!AC49, IF(_xlpm.program_isT, Athena_MI!AA49,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Athena_BV!Y49:AI49,
    Athena_MA!Y49:AI49,
    Athena_MI!Y49:AI49
  )
)</f>
        <v>(FSE_Bitvector_Mode_Missing_Iterator_Update_2_T_Loop0_TestCase8, YES, 12541)
(FSE_Bitvector_Mode_Missing_Iterator_Update_2_T_Loop0_TestCase9, YES, 6703)
(FSE_Bitvector_Mode_Missing_Iterator_Update_2_T_Loop0_TestCase10, YES, 6720)
(FSE_Bitvector_Mode_Missing_Iterator_Update_2_T_Loop0_TestCase1, YES, 1718)
(FSE_Bitvector_Mode_Missing_Iterator_Update_2_T_Loop0_TestCase2, YES, 5428)
(FSE_Bitvector_Mode_Missing_Iterator_Update_2_T_Loop0_TestCase3, YES, 6037)
(FSE_Bitvector_Mode_Missing_Iterator_Update_2_T_Loop0_TestCase7, YES, 7770)
(FSE_Bitvector_Mode_Missing_Iterator_Update_2_T_Loop0_TestCase6, YES, 7278)
(FSE_Bitvector_Mode_Missing_Iterator_Update_2_T_Loop0_TestCase4, YES, 1712)
(FSE_Bitvector_Mode_Missing_Iterator_Update_2_T_Loop0_TestCase5, YES, 6431)</v>
      </c>
      <c r="Z49" s="142" t="str">
        <v>correct</v>
      </c>
      <c r="AA49" s="80">
        <v>1</v>
      </c>
      <c r="AB49" s="1" t="str">
        <v>10/10</v>
      </c>
      <c r="AC49" s="80" t="str">
        <v/>
      </c>
      <c r="AD49" s="1" t="str">
        <v/>
      </c>
      <c r="AE49" s="143">
        <v>1</v>
      </c>
      <c r="AF49" s="1" t="str">
        <v>10/10</v>
      </c>
      <c r="AG49" s="142">
        <v>62338</v>
      </c>
      <c r="AH49" s="150">
        <v>6233.8</v>
      </c>
      <c r="AI49" s="142">
        <v>6567</v>
      </c>
      <c r="AJ49" s="14" t="str" cm="1">
        <f t="array" ref="AJ49:AT49">_xlfn.LET(
  _xlpm.program_isNT, RIGHT(Athena_BV!B49,5)="_NT.c",
  _xlpm.program_isT,  RIGHT(Athena_BV!B49,4)="_T.c",
  _xlpm.bv_isCorrect, LOWER(Athena_BV!AK49)="correct",
  _xlpm.ma_isCorrect, LOWER(Athena_MA!AK49)="correct",
  _xlpm.mi_isCorrect, LOWER(Athena_MI!AK49)="correct",
  _xlpm.bv_column, IF(_xlpm.program_isNT, Athena_BV!AN49, IF(_xlpm.program_isT, Athena_BV!AL49, "")),
  _xlpm.ma_column, IF(_xlpm.program_isNT, Athena_MA!AN49, IF(_xlpm.program_isT, Athena_MA!AL49, "")),
  _xlpm.mi_column, IF(_xlpm.program_isNT, Athena_MI!AN49, IF(_xlpm.program_isT, Athena_MI!AL49,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Athena_BV!AJ49:AT49,
    Athena_MA!AJ49:AT49,
    Athena_MI!AJ49:AT49
  )
)</f>
        <v>(FSE_Bitvector_Mode_Missing_Iterator_Update_2_T_Loop28_TestCase6, YES, 13063)
(FSE_Bitvector_Mode_Missing_Iterator_Update_2_T_Loop28_TestCase7, YES, 10217)
(FSE_Bitvector_Mode_Missing_Iterator_Update_2_T_Loop28_TestCase5, YES, 6140)
(FSE_Bitvector_Mode_Missing_Iterator_Update_2_T_Loop28_TestCase4, YES, 1795)
(FSE_Bitvector_Mode_Missing_Iterator_Update_2_T_Loop28_TestCase1, YES, 1771)
(FSE_Bitvector_Mode_Missing_Iterator_Update_2_T_Loop28_TestCase3, YES, 5224)
(FSE_Bitvector_Mode_Missing_Iterator_Update_2_T_Loop28_TestCase2, YES, 8303)
(FSE_Bitvector_Mode_Missing_Iterator_Update_2_T_Loop28_TestCase10, YES, 10919)
(FSE_Bitvector_Mode_Missing_Iterator_Update_2_T_Loop28_TestCase9, YES, 13310)
(FSE_Bitvector_Mode_Missing_Iterator_Update_2_T_Loop28_TestCase8, YES, 12164)</v>
      </c>
      <c r="AK49" s="142" t="str">
        <v>correct</v>
      </c>
      <c r="AL49" s="80">
        <v>1</v>
      </c>
      <c r="AM49" s="1" t="str">
        <v>10/10</v>
      </c>
      <c r="AN49" s="80" t="str">
        <v/>
      </c>
      <c r="AO49" s="1" t="str">
        <v/>
      </c>
      <c r="AP49" s="143">
        <v>1</v>
      </c>
      <c r="AQ49" s="1" t="str">
        <v>10/10</v>
      </c>
      <c r="AR49" s="142">
        <v>82906</v>
      </c>
      <c r="AS49" s="150">
        <v>8290.6</v>
      </c>
      <c r="AT49" s="142">
        <v>9260</v>
      </c>
    </row>
    <row r="50" spans="1:47" x14ac:dyDescent="0.2">
      <c r="A50" s="174"/>
      <c r="B50" s="10" t="s">
        <v>54</v>
      </c>
      <c r="C50" s="14" t="str" cm="1">
        <f t="array" ref="C50:M50">_xlfn.LET(
  _xlpm.program_isNT, RIGHT(Athena_BV!B50,5)="_NT.c",
  _xlpm.program_isT,  RIGHT(Athena_BV!B50,4)="_T.c",
  _xlpm.bv_isCorrect, LOWER(Athena_BV!D50)="correct",
  _xlpm.ma_isCorrect, LOWER(Athena_MA!D50)="correct",
  _xlpm.mi_isCorrect, LOWER(Athena_MI!D50)="correct",
  _xlpm.bv_column, IF(_xlpm.program_isNT, Athena_BV!G50, IF(_xlpm.program_isT, Athena_BV!E50, "")),
  _xlpm.ma_column, IF(_xlpm.program_isNT, Athena_MA!G50, IF(_xlpm.program_isT, Athena_MA!E50, "")),
  _xlpm.mi_column, IF(_xlpm.program_isNT, Athena_MI!G50, IF(_xlpm.program_isT, Athena_MI!E50,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Athena_BV!C50:M50,
    Athena_MA!C50:M50,
    Athena_MI!C50:M50
  )
)</f>
        <v>(FSE_Mathematical_Integer_Mode_Missing_Iterator_Update_3_NT_Loop0_TestCase0, NO, 184495)</v>
      </c>
      <c r="D50" s="142" t="str">
        <v>correct</v>
      </c>
      <c r="E50" s="80">
        <v>0</v>
      </c>
      <c r="F50" s="1" t="str">
        <v>0/0</v>
      </c>
      <c r="G50" s="80">
        <v>1</v>
      </c>
      <c r="H50" s="1" t="str">
        <v>1/1</v>
      </c>
      <c r="I50" s="143">
        <v>1</v>
      </c>
      <c r="J50" s="1" t="str">
        <v>1/1</v>
      </c>
      <c r="K50" s="142">
        <v>184495</v>
      </c>
      <c r="L50" s="1">
        <v>184495</v>
      </c>
      <c r="M50" s="140">
        <v>184495</v>
      </c>
      <c r="N50" s="14" t="str" cm="1">
        <f t="array" ref="N50:X50">_xlfn.LET(
  _xlpm.program_isNT, RIGHT(Athena_BV!B50,5)="_NT.c",
  _xlpm.program_isT,  RIGHT(Athena_BV!B50,4)="_T.c",
  _xlpm.bv_isCorrect, LOWER(Athena_BV!O50)="correct",
  _xlpm.ma_isCorrect, LOWER(Athena_MA!O50)="correct",
  _xlpm.mi_isCorrect, LOWER(Athena_MI!O50)="correct",
  _xlpm.bv_column, IF(_xlpm.program_isNT, Athena_BV!R50, IF(_xlpm.program_isT, Athena_BV!P50, "")),
  _xlpm.ma_column, IF(_xlpm.program_isNT, Athena_MA!R50, IF(_xlpm.program_isT, Athena_MA!P50, "")),
  _xlpm.mi_column, IF(_xlpm.program_isNT, Athena_MI!R50, IF(_xlpm.program_isT, Athena_MI!P50,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Athena_BV!N50:X50,
    Athena_MA!N50:X50,
    Athena_MI!N50:X50
  )
)</f>
        <v>(FSE_Bitvector_Mode_Missing_Iterator_Update_3_NT_Loop29_TestCase0, YES, 2098)
(FSE_Bitvector_Mode_Missing_Iterator_Update_3_NT_Loop35_TestCase0, MAYBE, 1316)</v>
      </c>
      <c r="O50" s="142" t="str">
        <v>correct</v>
      </c>
      <c r="P50" s="80">
        <v>1</v>
      </c>
      <c r="Q50" s="1" t="str">
        <v>1/1</v>
      </c>
      <c r="R50" s="80">
        <v>0</v>
      </c>
      <c r="S50" s="149" t="str">
        <v>0/1</v>
      </c>
      <c r="T50" s="80">
        <v>0.5</v>
      </c>
      <c r="U50" s="1" t="str">
        <v>1/2</v>
      </c>
      <c r="V50" s="142">
        <v>2098</v>
      </c>
      <c r="W50" s="150">
        <v>2098</v>
      </c>
      <c r="X50" s="142">
        <v>2098</v>
      </c>
      <c r="Y50" s="14" t="str" cm="1">
        <f t="array" ref="Y50:AI50">_xlfn.LET(
  _xlpm.program_isNT, RIGHT(Athena_BV!B50,5)="_NT.c",
  _xlpm.program_isT,  RIGHT(Athena_BV!B50,4)="_T.c",
  _xlpm.bv_isCorrect, LOWER(Athena_BV!Z50)="correct",
  _xlpm.ma_isCorrect, LOWER(Athena_MA!Z50)="correct",
  _xlpm.mi_isCorrect, LOWER(Athena_MI!Z50)="correct",
  _xlpm.bv_column, IF(_xlpm.program_isNT, Athena_BV!AC50, IF(_xlpm.program_isT, Athena_BV!AA50, "")),
  _xlpm.ma_column, IF(_xlpm.program_isNT, Athena_MA!AC50, IF(_xlpm.program_isT, Athena_MA!AA50, "")),
  _xlpm.mi_column, IF(_xlpm.program_isNT, Athena_MI!AC50, IF(_xlpm.program_isT, Athena_MI!AA50,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Athena_BV!Y50:AI50,
    Athena_MA!Y50:AI50,
    Athena_MI!Y50:AI50
  )
)</f>
        <v>(FSE_Bitvector_Mode_Missing_Iterator_Update_3_NT_Loop0_TestCase8, MAYBE, 1211)
(FSE_Bitvector_Mode_Missing_Iterator_Update_3_NT_Loop0_TestCase9, MAYBE, 1227)
(FSE_Bitvector_Mode_Missing_Iterator_Update_3_NT_Loop0_TestCase4, MAYBE, 1237)
(FSE_Bitvector_Mode_Missing_Iterator_Update_3_NT_Loop0_TestCase5, MAYBE, 1256)
(FSE_Bitvector_Mode_Missing_Iterator_Update_3_NT_Loop0_TestCase10, MAYBE, 1240)
(FSE_Bitvector_Mode_Missing_Iterator_Update_3_NT_Loop0_TestCase7, MAYBE, 1221)
(FSE_Bitvector_Mode_Missing_Iterator_Update_3_NT_Loop0_TestCase6, MAYBE, 1236)
(FSE_Bitvector_Mode_Missing_Iterator_Update_3_NT_Loop0_TestCase2, MAYBE, 1247)
(FSE_Bitvector_Mode_Missing_Iterator_Update_3_NT_Loop0_TestCase3, MAYBE, 1257)
(FSE_Bitvector_Mode_Missing_Iterator_Update_3_NT_Loop0_TestCase1, MAYBE, 1233)</v>
      </c>
      <c r="Z50" s="142" t="str">
        <v>correct</v>
      </c>
      <c r="AA50" s="80">
        <v>0</v>
      </c>
      <c r="AB50" s="1" t="str">
        <v>0/5</v>
      </c>
      <c r="AC50" s="80">
        <v>0</v>
      </c>
      <c r="AD50" s="1" t="str">
        <v>0/5</v>
      </c>
      <c r="AE50" s="143">
        <v>0</v>
      </c>
      <c r="AF50" s="1" t="str">
        <v>0/10</v>
      </c>
      <c r="AG50" s="142">
        <v>0</v>
      </c>
      <c r="AH50" s="150">
        <v>0</v>
      </c>
      <c r="AI50" s="142">
        <v>0</v>
      </c>
      <c r="AJ50" s="14" t="str" cm="1">
        <f t="array" ref="AJ50:AT50">_xlfn.LET(
  _xlpm.program_isNT, RIGHT(Athena_BV!B50,5)="_NT.c",
  _xlpm.program_isT,  RIGHT(Athena_BV!B50,4)="_T.c",
  _xlpm.bv_isCorrect, LOWER(Athena_BV!AK50)="correct",
  _xlpm.ma_isCorrect, LOWER(Athena_MA!AK50)="correct",
  _xlpm.mi_isCorrect, LOWER(Athena_MI!AK50)="correct",
  _xlpm.bv_column, IF(_xlpm.program_isNT, Athena_BV!AN50, IF(_xlpm.program_isT, Athena_BV!AL50, "")),
  _xlpm.ma_column, IF(_xlpm.program_isNT, Athena_MA!AN50, IF(_xlpm.program_isT, Athena_MA!AL50, "")),
  _xlpm.mi_column, IF(_xlpm.program_isNT, Athena_MI!AN50, IF(_xlpm.program_isT, Athena_MI!AL50,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Athena_BV!AJ50:AT50,
    Athena_MA!AJ50:AT50,
    Athena_MI!AJ50:AT50
  )
)</f>
        <v>(FSE_Bitvector_Mode_Missing_Iterator_Update_3_NT_Loop29_TestCase7, YES, 2020)
(FSE_Bitvector_Mode_Missing_Iterator_Update_3_NT_Loop29_TestCase6, YES, 1882)
(FSE_Bitvector_Mode_Missing_Iterator_Update_3_NT_Loop29_TestCase4, YES, 1937)
(FSE_Bitvector_Mode_Missing_Iterator_Update_3_NT_Loop29_TestCase5, YES, 1924)
(FSE_Bitvector_Mode_Missing_Iterator_Update_3_NT_Loop29_TestCase1, YES, 1861)
(FSE_Bitvector_Mode_Missing_Iterator_Update_3_NT_Loop29_TestCase2, YES, 1808)
(FSE_Bitvector_Mode_Missing_Iterator_Update_3_NT_Loop29_TestCase3, YES, 1879)
(FSE_Bitvector_Mode_Missing_Iterator_Update_3_NT_Loop35_TestCase8, MAYBE, 1247)
(FSE_Bitvector_Mode_Missing_Iterator_Update_3_NT_Loop35_TestCase9, MAYBE, 1262)
(FSE_Bitvector_Mode_Missing_Iterator_Update_3_NT_Loop35_TestCase4, MAYBE, 2033)
(FSE_Bitvector_Mode_Missing_Iterator_Update_3_NT_Loop35_TestCase5, MAYBE, 1256)
(FSE_Bitvector_Mode_Missing_Iterator_Update_3_NT_Loop35_TestCase10, MAYBE, 1274)
(FSE_Bitvector_Mode_Missing_Iterator_Update_3_NT_Loop35_TestCase7, MAYBE, 1320)
(FSE_Bitvector_Mode_Missing_Iterator_Update_3_NT_Loop35_TestCase6, MAYBE, 1480)
(FSE_Bitvector_Mode_Missing_Iterator_Update_3_NT_Loop35_TestCase2, MAYBE, 1245)
(FSE_Bitvector_Mode_Missing_Iterator_Update_3_NT_Loop35_TestCase3, MAYBE, 1247)
(FSE_Bitvector_Mode_Missing_Iterator_Update_3_NT_Loop35_TestCase1, MAYBE, 1249)
(FSE_Bitvector_Mode_Missing_Iterator_Update_3_NT_Loop29_TestCase10, YES, 1967)
(FSE_Bitvector_Mode_Missing_Iterator_Update_3_NT_Loop29_TestCase8, YES, 1925)
(FSE_Bitvector_Mode_Missing_Iterator_Update_3_NT_Loop29_TestCase9, YES, 1821)</v>
      </c>
      <c r="AK50" s="142" t="str">
        <v>correct</v>
      </c>
      <c r="AL50" s="80">
        <v>0.66669999999999996</v>
      </c>
      <c r="AM50" s="1" t="str">
        <v>10/15</v>
      </c>
      <c r="AN50" s="80">
        <v>0</v>
      </c>
      <c r="AO50" s="1" t="str">
        <v>0/5</v>
      </c>
      <c r="AP50" s="143">
        <v>0.5</v>
      </c>
      <c r="AQ50" s="1" t="str">
        <v>10/20</v>
      </c>
      <c r="AR50" s="142">
        <v>19024</v>
      </c>
      <c r="AS50" s="150">
        <v>1902.4</v>
      </c>
      <c r="AT50" s="142">
        <v>1903</v>
      </c>
      <c r="AU50" s="4" t="s">
        <v>99</v>
      </c>
    </row>
    <row r="51" spans="1:47" x14ac:dyDescent="0.2">
      <c r="A51" s="174"/>
      <c r="B51" s="10" t="s">
        <v>55</v>
      </c>
      <c r="C51" s="14" t="str" cm="1">
        <f t="array" ref="C51:M51">_xlfn.LET(
  _xlpm.program_isNT, RIGHT(Athena_BV!B51,5)="_NT.c",
  _xlpm.program_isT,  RIGHT(Athena_BV!B51,4)="_T.c",
  _xlpm.bv_isCorrect, LOWER(Athena_BV!D51)="correct",
  _xlpm.ma_isCorrect, LOWER(Athena_MA!D51)="correct",
  _xlpm.mi_isCorrect, LOWER(Athena_MI!D51)="correct",
  _xlpm.bv_column, IF(_xlpm.program_isNT, Athena_BV!G51, IF(_xlpm.program_isT, Athena_BV!E51, "")),
  _xlpm.ma_column, IF(_xlpm.program_isNT, Athena_MA!G51, IF(_xlpm.program_isT, Athena_MA!E51, "")),
  _xlpm.mi_column, IF(_xlpm.program_isNT, Athena_MI!G51, IF(_xlpm.program_isT, Athena_MI!E51,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Athena_BV!C51:M51,
    Athena_MA!C51:M51,
    Athena_MI!C51:M51
  )
)</f>
        <v>(FSE_Bitvector_Mode_Missing_Iterator_Update_3_T_Loop0_TestCase0, TIMEOUT, 302318)</v>
      </c>
      <c r="D51" s="142" t="str">
        <v>correct</v>
      </c>
      <c r="E51" s="80">
        <v>0</v>
      </c>
      <c r="F51" s="1" t="str">
        <v>0/1</v>
      </c>
      <c r="G51" s="80" t="str">
        <v/>
      </c>
      <c r="H51" s="1" t="str">
        <v/>
      </c>
      <c r="I51" s="143">
        <v>0</v>
      </c>
      <c r="J51" s="1" t="str">
        <v>0/1</v>
      </c>
      <c r="K51" s="142">
        <v>0</v>
      </c>
      <c r="L51" s="1">
        <v>0</v>
      </c>
      <c r="M51" s="140">
        <v>0</v>
      </c>
      <c r="N51" s="14" t="str" cm="1">
        <f t="array" ref="N51:X51">_xlfn.LET(
  _xlpm.program_isNT, RIGHT(Athena_BV!B51,5)="_NT.c",
  _xlpm.program_isT,  RIGHT(Athena_BV!B51,4)="_T.c",
  _xlpm.bv_isCorrect, LOWER(Athena_BV!O51)="correct",
  _xlpm.ma_isCorrect, LOWER(Athena_MA!O51)="correct",
  _xlpm.mi_isCorrect, LOWER(Athena_MI!O51)="correct",
  _xlpm.bv_column, IF(_xlpm.program_isNT, Athena_BV!R51, IF(_xlpm.program_isT, Athena_BV!P51, "")),
  _xlpm.ma_column, IF(_xlpm.program_isNT, Athena_MA!R51, IF(_xlpm.program_isT, Athena_MA!P51, "")),
  _xlpm.mi_column, IF(_xlpm.program_isNT, Athena_MI!R51, IF(_xlpm.program_isT, Athena_MI!P51,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Athena_BV!N51:X51,
    Athena_MA!N51:X51,
    Athena_MI!N51:X51
  )
)</f>
        <v>(FSE_Bitvector_Mode_Missing_Iterator_Update_3_T_Loop36_TestCase0, MAYBE, 1298)
(FSE_Bitvector_Mode_Missing_Iterator_Update_3_T_Loop30_TestCase0, YES, 2059)</v>
      </c>
      <c r="O51" s="142" t="str">
        <v>correct</v>
      </c>
      <c r="P51" s="80">
        <v>0.5</v>
      </c>
      <c r="Q51" s="1" t="str">
        <v>1/2</v>
      </c>
      <c r="R51" s="80" t="str">
        <v/>
      </c>
      <c r="S51" s="149" t="str">
        <v/>
      </c>
      <c r="T51" s="80">
        <v>0.5</v>
      </c>
      <c r="U51" s="1" t="str">
        <v>1/2</v>
      </c>
      <c r="V51" s="142">
        <v>2059</v>
      </c>
      <c r="W51" s="150">
        <v>2059</v>
      </c>
      <c r="X51" s="142">
        <v>2059</v>
      </c>
      <c r="Y51" s="14" t="str" cm="1">
        <f t="array" ref="Y51:AI51">_xlfn.LET(
  _xlpm.program_isNT, RIGHT(Athena_BV!B51,5)="_NT.c",
  _xlpm.program_isT,  RIGHT(Athena_BV!B51,4)="_T.c",
  _xlpm.bv_isCorrect, LOWER(Athena_BV!Z51)="correct",
  _xlpm.ma_isCorrect, LOWER(Athena_MA!Z51)="correct",
  _xlpm.mi_isCorrect, LOWER(Athena_MI!Z51)="correct",
  _xlpm.bv_column, IF(_xlpm.program_isNT, Athena_BV!AC51, IF(_xlpm.program_isT, Athena_BV!AA51, "")),
  _xlpm.ma_column, IF(_xlpm.program_isNT, Athena_MA!AC51, IF(_xlpm.program_isT, Athena_MA!AA51, "")),
  _xlpm.mi_column, IF(_xlpm.program_isNT, Athena_MI!AC51, IF(_xlpm.program_isT, Athena_MI!AA51,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Athena_BV!Y51:AI51,
    Athena_MA!Y51:AI51,
    Athena_MI!Y51:AI51
  )
)</f>
        <v>(FSE_Bitvector_Mode_Missing_Iterator_Update_3_T_Loop0_TestCase10, MAYBE, 1254)
(FSE_Bitvector_Mode_Missing_Iterator_Update_3_T_Loop0_TestCase2, MAYBE, 1210)
(FSE_Bitvector_Mode_Missing_Iterator_Update_3_T_Loop0_TestCase3, MAYBE, 1245)
(FSE_Bitvector_Mode_Missing_Iterator_Update_3_T_Loop0_TestCase1, MAYBE, 1247)
(FSE_Bitvector_Mode_Missing_Iterator_Update_3_T_Loop0_TestCase4, MAYBE, 1242)
(FSE_Bitvector_Mode_Missing_Iterator_Update_3_T_Loop0_TestCase5, MAYBE, 1229)
(FSE_Bitvector_Mode_Missing_Iterator_Update_3_T_Loop0_TestCase7, MAYBE, 1256)
(FSE_Bitvector_Mode_Missing_Iterator_Update_3_T_Loop0_TestCase6, MAYBE, 1244)
(FSE_Bitvector_Mode_Missing_Iterator_Update_3_T_Loop0_TestCase8, MAYBE, 1246)
(FSE_Bitvector_Mode_Missing_Iterator_Update_3_T_Loop0_TestCase9, MAYBE, 1253)</v>
      </c>
      <c r="Z51" s="142" t="str">
        <v>correct</v>
      </c>
      <c r="AA51" s="80">
        <v>0</v>
      </c>
      <c r="AB51" s="1" t="str">
        <v>0/10</v>
      </c>
      <c r="AC51" s="80" t="str">
        <v/>
      </c>
      <c r="AD51" s="1" t="str">
        <v/>
      </c>
      <c r="AE51" s="143">
        <v>0</v>
      </c>
      <c r="AF51" s="1" t="str">
        <v>0/10</v>
      </c>
      <c r="AG51" s="142">
        <v>0</v>
      </c>
      <c r="AH51" s="150">
        <v>0</v>
      </c>
      <c r="AI51" s="142">
        <v>0</v>
      </c>
      <c r="AJ51" s="14" t="str" cm="1">
        <f t="array" ref="AJ51:AT51">_xlfn.LET(
  _xlpm.program_isNT, RIGHT(Athena_BV!B51,5)="_NT.c",
  _xlpm.program_isT,  RIGHT(Athena_BV!B51,4)="_T.c",
  _xlpm.bv_isCorrect, LOWER(Athena_BV!AK51)="correct",
  _xlpm.ma_isCorrect, LOWER(Athena_MA!AK51)="correct",
  _xlpm.mi_isCorrect, LOWER(Athena_MI!AK51)="correct",
  _xlpm.bv_column, IF(_xlpm.program_isNT, Athena_BV!AN51, IF(_xlpm.program_isT, Athena_BV!AL51, "")),
  _xlpm.ma_column, IF(_xlpm.program_isNT, Athena_MA!AN51, IF(_xlpm.program_isT, Athena_MA!AL51, "")),
  _xlpm.mi_column, IF(_xlpm.program_isNT, Athena_MI!AN51, IF(_xlpm.program_isT, Athena_MI!AL51,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Athena_BV!AJ51:AT51,
    Athena_MA!AJ51:AT51,
    Athena_MI!AJ51:AT51
  )
)</f>
        <v>(FSE_Bitvector_Mode_Missing_Iterator_Update_3_T_Loop36_TestCase3, MAYBE, 1276)
(FSE_Bitvector_Mode_Missing_Iterator_Update_3_T_Loop30_TestCase9, YES, 1809)
(FSE_Bitvector_Mode_Missing_Iterator_Update_3_T_Loop30_TestCase8, YES, 1906)
(FSE_Bitvector_Mode_Missing_Iterator_Update_3_T_Loop36_TestCase2, MAYBE, 1263)
(FSE_Bitvector_Mode_Missing_Iterator_Update_3_T_Loop36_TestCase1, MAYBE, 1264)
(FSE_Bitvector_Mode_Missing_Iterator_Update_3_T_Loop36_TestCase5, MAYBE, 1272)
(FSE_Bitvector_Mode_Missing_Iterator_Update_3_T_Loop36_TestCase4, MAYBE, 1280)
(FSE_Bitvector_Mode_Missing_Iterator_Update_3_T_Loop36_TestCase6, MAYBE, 1252)
(FSE_Bitvector_Mode_Missing_Iterator_Update_3_T_Loop36_TestCase7, MAYBE, 2319)
(FSE_Bitvector_Mode_Missing_Iterator_Update_3_T_Loop30_TestCase10, YES, 1958)
(FSE_Bitvector_Mode_Missing_Iterator_Update_3_T_Loop36_TestCase10, MAYBE, 1246)
(FSE_Bitvector_Mode_Missing_Iterator_Update_3_T_Loop30_TestCase1, YES, 1889)
(FSE_Bitvector_Mode_Missing_Iterator_Update_3_T_Loop36_TestCase9, MAYBE, 1246)
(FSE_Bitvector_Mode_Missing_Iterator_Update_3_T_Loop30_TestCase3, YES, 1889)
(FSE_Bitvector_Mode_Missing_Iterator_Update_3_T_Loop30_TestCase2, YES, 2361)
(FSE_Bitvector_Mode_Missing_Iterator_Update_3_T_Loop36_TestCase8, MAYBE, 1258)
(FSE_Bitvector_Mode_Missing_Iterator_Update_3_T_Loop30_TestCase6, YES, 1827)
(FSE_Bitvector_Mode_Missing_Iterator_Update_3_T_Loop30_TestCase7, YES, 1998)
(FSE_Bitvector_Mode_Missing_Iterator_Update_3_T_Loop30_TestCase5, YES, 2012)
(FSE_Bitvector_Mode_Missing_Iterator_Update_3_T_Loop30_TestCase4, YES, 2012)</v>
      </c>
      <c r="AK51" s="142" t="str">
        <v>correct</v>
      </c>
      <c r="AL51" s="80">
        <v>0.5</v>
      </c>
      <c r="AM51" s="1" t="str">
        <v>10/20</v>
      </c>
      <c r="AN51" s="80" t="str">
        <v/>
      </c>
      <c r="AO51" s="1" t="str">
        <v/>
      </c>
      <c r="AP51" s="143">
        <v>0.5</v>
      </c>
      <c r="AQ51" s="1" t="str">
        <v>10/20</v>
      </c>
      <c r="AR51" s="142">
        <v>19661</v>
      </c>
      <c r="AS51" s="150">
        <v>1966.1</v>
      </c>
      <c r="AT51" s="142">
        <v>1932</v>
      </c>
      <c r="AU51" s="4" t="s">
        <v>99</v>
      </c>
    </row>
    <row r="52" spans="1:47" x14ac:dyDescent="0.2">
      <c r="A52" s="174"/>
      <c r="B52" s="9" t="s">
        <v>56</v>
      </c>
      <c r="C52" s="14" t="str" cm="1">
        <f t="array" ref="C52:M52">_xlfn.LET(
  _xlpm.program_isNT, RIGHT(Athena_BV!B52,5)="_NT.c",
  _xlpm.program_isT,  RIGHT(Athena_BV!B52,4)="_T.c",
  _xlpm.bv_isCorrect, LOWER(Athena_BV!D52)="correct",
  _xlpm.ma_isCorrect, LOWER(Athena_MA!D52)="correct",
  _xlpm.mi_isCorrect, LOWER(Athena_MI!D52)="correct",
  _xlpm.bv_column, IF(_xlpm.program_isNT, Athena_BV!G52, IF(_xlpm.program_isT, Athena_BV!E52, "")),
  _xlpm.ma_column, IF(_xlpm.program_isNT, Athena_MA!G52, IF(_xlpm.program_isT, Athena_MA!E52, "")),
  _xlpm.mi_column, IF(_xlpm.program_isNT, Athena_MI!G52, IF(_xlpm.program_isT, Athena_MI!E52,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Athena_BV!C52:M52,
    Athena_MA!C52:M52,
    Athena_MI!C52:M52
  )
)</f>
        <v>(FSE_Bitvector_Mode_Missing_Iterator_Update_4_NT_Loop0_TestCase0, NO, 4192)</v>
      </c>
      <c r="D52" s="142" t="str">
        <v>correct</v>
      </c>
      <c r="E52" s="80">
        <v>0</v>
      </c>
      <c r="F52" s="1" t="str">
        <v>0/0</v>
      </c>
      <c r="G52" s="80">
        <v>1</v>
      </c>
      <c r="H52" s="1" t="str">
        <v>1/1</v>
      </c>
      <c r="I52" s="143">
        <v>1</v>
      </c>
      <c r="J52" s="1" t="str">
        <v>1/1</v>
      </c>
      <c r="K52" s="142">
        <v>4192</v>
      </c>
      <c r="L52" s="1">
        <v>4192</v>
      </c>
      <c r="M52" s="140">
        <v>4192</v>
      </c>
      <c r="N52" s="14" t="str" cm="1">
        <f t="array" ref="N52:X52">_xlfn.LET(
  _xlpm.program_isNT, RIGHT(Athena_BV!B52,5)="_NT.c",
  _xlpm.program_isT,  RIGHT(Athena_BV!B52,4)="_T.c",
  _xlpm.bv_isCorrect, LOWER(Athena_BV!O52)="correct",
  _xlpm.ma_isCorrect, LOWER(Athena_MA!O52)="correct",
  _xlpm.mi_isCorrect, LOWER(Athena_MI!O52)="correct",
  _xlpm.bv_column, IF(_xlpm.program_isNT, Athena_BV!R52, IF(_xlpm.program_isT, Athena_BV!P52, "")),
  _xlpm.ma_column, IF(_xlpm.program_isNT, Athena_MA!R52, IF(_xlpm.program_isT, Athena_MA!P52, "")),
  _xlpm.mi_column, IF(_xlpm.program_isNT, Athena_MI!R52, IF(_xlpm.program_isT, Athena_MI!P52,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Athena_BV!N52:X52,
    Athena_MA!N52:X52,
    Athena_MI!N52:X52
  )
)</f>
        <v>(FSE_Bitvector_Mode_Missing_Iterator_Update_4_NT_Loop19_TestCase0, NO, 1942)
(FSE_Bitvector_Mode_Missing_Iterator_Update_4_NT_Loop21_TestCase0, NO, 1886)</v>
      </c>
      <c r="O52" s="142" t="str">
        <v>correct</v>
      </c>
      <c r="P52" s="80">
        <v>0</v>
      </c>
      <c r="Q52" s="1" t="str">
        <v>0/0</v>
      </c>
      <c r="R52" s="80">
        <v>1</v>
      </c>
      <c r="S52" s="149" t="str">
        <v>2/2</v>
      </c>
      <c r="T52" s="80">
        <v>1</v>
      </c>
      <c r="U52" s="1" t="str">
        <v>2/2</v>
      </c>
      <c r="V52" s="142">
        <v>3828</v>
      </c>
      <c r="W52" s="150">
        <v>1914</v>
      </c>
      <c r="X52" s="142">
        <v>1914</v>
      </c>
      <c r="Y52" s="14" t="str" cm="1">
        <f t="array" ref="Y52:AI52">_xlfn.LET(
  _xlpm.program_isNT, RIGHT(Athena_BV!B52,5)="_NT.c",
  _xlpm.program_isT,  RIGHT(Athena_BV!B52,4)="_T.c",
  _xlpm.bv_isCorrect, LOWER(Athena_BV!Z52)="correct",
  _xlpm.ma_isCorrect, LOWER(Athena_MA!Z52)="correct",
  _xlpm.mi_isCorrect, LOWER(Athena_MI!Z52)="correct",
  _xlpm.bv_column, IF(_xlpm.program_isNT, Athena_BV!AC52, IF(_xlpm.program_isT, Athena_BV!AA52, "")),
  _xlpm.ma_column, IF(_xlpm.program_isNT, Athena_MA!AC52, IF(_xlpm.program_isT, Athena_MA!AA52, "")),
  _xlpm.mi_column, IF(_xlpm.program_isNT, Athena_MI!AC52, IF(_xlpm.program_isT, Athena_MI!AA52,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Athena_BV!Y52:AI52,
    Athena_MA!Y52:AI52,
    Athena_MI!Y52:AI52
  )
)</f>
        <v>(FSE_Bitvector_Mode_Missing_Iterator_Update_4_NT_Loop0_TestCase8, NO, 1704)
(FSE_Bitvector_Mode_Missing_Iterator_Update_4_NT_Loop0_TestCase9, NO, 1727)
(FSE_Bitvector_Mode_Missing_Iterator_Update_4_NT_Loop0_TestCase7, NO, 1751)
(FSE_Bitvector_Mode_Missing_Iterator_Update_4_NT_Loop0_TestCase6, NO, 1678)
(FSE_Bitvector_Mode_Missing_Iterator_Update_4_NT_Loop0_TestCase4, YES, 1685)
(FSE_Bitvector_Mode_Missing_Iterator_Update_4_NT_Loop0_TestCase5, YES, 1704)
(FSE_Bitvector_Mode_Missing_Iterator_Update_4_NT_Loop0_TestCase1, YES, 1694)
(FSE_Bitvector_Mode_Missing_Iterator_Update_4_NT_Loop0_TestCase2, YES, 1719)
(FSE_Bitvector_Mode_Missing_Iterator_Update_4_NT_Loop0_TestCase3, YES, 1720)
(FSE_Bitvector_Mode_Missing_Iterator_Update_4_NT_Loop0_TestCase10, NO, 1721)</v>
      </c>
      <c r="Z52" s="142" t="str">
        <v>correct</v>
      </c>
      <c r="AA52" s="80">
        <v>1</v>
      </c>
      <c r="AB52" s="1" t="str">
        <v>5/5</v>
      </c>
      <c r="AC52" s="80">
        <v>1</v>
      </c>
      <c r="AD52" s="1" t="str">
        <v>5/5</v>
      </c>
      <c r="AE52" s="143">
        <v>1</v>
      </c>
      <c r="AF52" s="1" t="str">
        <v>10/10</v>
      </c>
      <c r="AG52" s="142">
        <v>17103</v>
      </c>
      <c r="AH52" s="150">
        <v>1710.3</v>
      </c>
      <c r="AI52" s="142">
        <v>1711.5</v>
      </c>
      <c r="AJ52" s="14" t="str" cm="1">
        <f t="array" ref="AJ52:AT52">_xlfn.LET(
  _xlpm.program_isNT, RIGHT(Athena_BV!B52,5)="_NT.c",
  _xlpm.program_isT,  RIGHT(Athena_BV!B52,4)="_T.c",
  _xlpm.bv_isCorrect, LOWER(Athena_BV!AK52)="correct",
  _xlpm.ma_isCorrect, LOWER(Athena_MA!AK52)="correct",
  _xlpm.mi_isCorrect, LOWER(Athena_MI!AK52)="correct",
  _xlpm.bv_column, IF(_xlpm.program_isNT, Athena_BV!AN52, IF(_xlpm.program_isT, Athena_BV!AL52, "")),
  _xlpm.ma_column, IF(_xlpm.program_isNT, Athena_MA!AN52, IF(_xlpm.program_isT, Athena_MA!AL52, "")),
  _xlpm.mi_column, IF(_xlpm.program_isNT, Athena_MI!AN52, IF(_xlpm.program_isT, Athena_MI!AL52,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Athena_BV!AJ52:AT52,
    Athena_MA!AJ52:AT52,
    Athena_MI!AJ52:AT52
  )
)</f>
        <v>(FSE_Bitvector_Mode_Missing_Iterator_Update_4_NT_Loop19_TestCase4, YES, 1707)
(FSE_Bitvector_Mode_Missing_Iterator_Update_4_NT_Loop19_TestCase5, YES, 1683)
(FSE_Bitvector_Mode_Missing_Iterator_Update_4_NT_Loop21_TestCase10, NO, 1734)
(FSE_Bitvector_Mode_Missing_Iterator_Update_4_NT_Loop21_TestCase9, NO, 1713)
(FSE_Bitvector_Mode_Missing_Iterator_Update_4_NT_Loop19_TestCase7, NO, 1741)
(FSE_Bitvector_Mode_Missing_Iterator_Update_4_NT_Loop19_TestCase6, NO, 1883)
(FSE_Bitvector_Mode_Missing_Iterator_Update_4_NT_Loop21_TestCase8, NO, 1735)
(FSE_Bitvector_Mode_Missing_Iterator_Update_4_NT_Loop19_TestCase2, YES, 1730)
(FSE_Bitvector_Mode_Missing_Iterator_Update_4_NT_Loop19_TestCase3, YES, 1729)
(FSE_Bitvector_Mode_Missing_Iterator_Update_4_NT_Loop19_TestCase1, YES, 1706)
(FSE_Bitvector_Mode_Missing_Iterator_Update_4_NT_Loop19_TestCase10, NO, 1725)
(FSE_Bitvector_Mode_Missing_Iterator_Update_4_NT_Loop21_TestCase3, YES, 1746)
(FSE_Bitvector_Mode_Missing_Iterator_Update_4_NT_Loop21_TestCase2, YES, 1733)
(FSE_Bitvector_Mode_Missing_Iterator_Update_4_NT_Loop21_TestCase1, YES, 1777)
(FSE_Bitvector_Mode_Missing_Iterator_Update_4_NT_Loop21_TestCase5, YES, 1789)
(FSE_Bitvector_Mode_Missing_Iterator_Update_4_NT_Loop21_TestCase4, YES, 2236)
(FSE_Bitvector_Mode_Missing_Iterator_Update_4_NT_Loop21_TestCase6, NO, 2330)
(FSE_Bitvector_Mode_Missing_Iterator_Update_4_NT_Loop19_TestCase8, NO, 1701)
(FSE_Bitvector_Mode_Missing_Iterator_Update_4_NT_Loop19_TestCase9, NO, 1713)
(FSE_Bitvector_Mode_Missing_Iterator_Update_4_NT_Loop21_TestCase7, NO, 1746)</v>
      </c>
      <c r="AK52" s="142" t="str">
        <v>correct</v>
      </c>
      <c r="AL52" s="80">
        <v>1</v>
      </c>
      <c r="AM52" s="1" t="str">
        <v>10/10</v>
      </c>
      <c r="AN52" s="80">
        <v>1</v>
      </c>
      <c r="AO52" s="1" t="str">
        <v>10/10</v>
      </c>
      <c r="AP52" s="143">
        <v>1</v>
      </c>
      <c r="AQ52" s="1" t="str">
        <v>20/20</v>
      </c>
      <c r="AR52" s="142">
        <v>35857</v>
      </c>
      <c r="AS52" s="150">
        <v>1792.85</v>
      </c>
      <c r="AT52" s="142">
        <v>1733.5</v>
      </c>
    </row>
    <row r="53" spans="1:47" x14ac:dyDescent="0.2">
      <c r="A53" s="174"/>
      <c r="B53" s="9" t="s">
        <v>57</v>
      </c>
      <c r="C53" s="14" t="str" cm="1">
        <f t="array" ref="C53:M53">_xlfn.LET(
  _xlpm.program_isNT, RIGHT(Athena_BV!B53,5)="_NT.c",
  _xlpm.program_isT,  RIGHT(Athena_BV!B53,4)="_T.c",
  _xlpm.bv_isCorrect, LOWER(Athena_BV!D53)="correct",
  _xlpm.ma_isCorrect, LOWER(Athena_MA!D53)="correct",
  _xlpm.mi_isCorrect, LOWER(Athena_MI!D53)="correct",
  _xlpm.bv_column, IF(_xlpm.program_isNT, Athena_BV!G53, IF(_xlpm.program_isT, Athena_BV!E53, "")),
  _xlpm.ma_column, IF(_xlpm.program_isNT, Athena_MA!G53, IF(_xlpm.program_isT, Athena_MA!E53, "")),
  _xlpm.mi_column, IF(_xlpm.program_isNT, Athena_MI!G53, IF(_xlpm.program_isT, Athena_MI!E53,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Athena_BV!C53:M53,
    Athena_MA!C53:M53,
    Athena_MI!C53:M53
  )
)</f>
        <v>(FSE_Bitvector_Mode_Missing_Iterator_Update_4_T_Loop0_TestCase0, YES, 33023)</v>
      </c>
      <c r="D53" s="142" t="str">
        <v>correct</v>
      </c>
      <c r="E53" s="80">
        <v>1</v>
      </c>
      <c r="F53" s="1" t="str">
        <v>1/1</v>
      </c>
      <c r="G53" s="80" t="str">
        <v/>
      </c>
      <c r="H53" s="1" t="str">
        <v/>
      </c>
      <c r="I53" s="143">
        <v>1</v>
      </c>
      <c r="J53" s="1" t="str">
        <v>1/1</v>
      </c>
      <c r="K53" s="142">
        <v>33023</v>
      </c>
      <c r="L53" s="1">
        <v>33023</v>
      </c>
      <c r="M53" s="140">
        <v>33023</v>
      </c>
      <c r="N53" s="14" t="str" cm="1">
        <f t="array" ref="N53:X53">_xlfn.LET(
  _xlpm.program_isNT, RIGHT(Athena_BV!B53,5)="_NT.c",
  _xlpm.program_isT,  RIGHT(Athena_BV!B53,4)="_T.c",
  _xlpm.bv_isCorrect, LOWER(Athena_BV!O53)="correct",
  _xlpm.ma_isCorrect, LOWER(Athena_MA!O53)="correct",
  _xlpm.mi_isCorrect, LOWER(Athena_MI!O53)="correct",
  _xlpm.bv_column, IF(_xlpm.program_isNT, Athena_BV!R53, IF(_xlpm.program_isT, Athena_BV!P53, "")),
  _xlpm.ma_column, IF(_xlpm.program_isNT, Athena_MA!R53, IF(_xlpm.program_isT, Athena_MA!P53, "")),
  _xlpm.mi_column, IF(_xlpm.program_isNT, Athena_MI!R53, IF(_xlpm.program_isT, Athena_MI!P53,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Athena_BV!N53:X53,
    Athena_MA!N53:X53,
    Athena_MI!N53:X53
  )
)</f>
        <v>(FSE_Bitvector_Mode_Missing_Iterator_Update_4_T_Loop21_TestCase0, YES, 23828)
(FSE_Bitvector_Mode_Missing_Iterator_Update_4_T_Loop19_TestCase0, YES, 1803)</v>
      </c>
      <c r="O53" s="142" t="str">
        <v>correct</v>
      </c>
      <c r="P53" s="80">
        <v>1</v>
      </c>
      <c r="Q53" s="1" t="str">
        <v>2/2</v>
      </c>
      <c r="R53" s="80" t="str">
        <v/>
      </c>
      <c r="S53" s="149" t="str">
        <v/>
      </c>
      <c r="T53" s="80">
        <v>1</v>
      </c>
      <c r="U53" s="1" t="str">
        <v>2/2</v>
      </c>
      <c r="V53" s="142">
        <v>25631</v>
      </c>
      <c r="W53" s="150">
        <v>12815.5</v>
      </c>
      <c r="X53" s="142">
        <v>12815.5</v>
      </c>
      <c r="Y53" s="14" t="str" cm="1">
        <f t="array" ref="Y53:AI53">_xlfn.LET(
  _xlpm.program_isNT, RIGHT(Athena_BV!B53,5)="_NT.c",
  _xlpm.program_isT,  RIGHT(Athena_BV!B53,4)="_T.c",
  _xlpm.bv_isCorrect, LOWER(Athena_BV!Z53)="correct",
  _xlpm.ma_isCorrect, LOWER(Athena_MA!Z53)="correct",
  _xlpm.mi_isCorrect, LOWER(Athena_MI!Z53)="correct",
  _xlpm.bv_column, IF(_xlpm.program_isNT, Athena_BV!AC53, IF(_xlpm.program_isT, Athena_BV!AA53, "")),
  _xlpm.ma_column, IF(_xlpm.program_isNT, Athena_MA!AC53, IF(_xlpm.program_isT, Athena_MA!AA53, "")),
  _xlpm.mi_column, IF(_xlpm.program_isNT, Athena_MI!AC53, IF(_xlpm.program_isT, Athena_MI!AA53,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Athena_BV!Y53:AI53,
    Athena_MA!Y53:AI53,
    Athena_MI!Y53:AI53
  )
)</f>
        <v>(FSE_Bitvector_Mode_Missing_Iterator_Update_4_T_Loop0_TestCase10, YES, 63700)
(FSE_Bitvector_Mode_Missing_Iterator_Update_4_T_Loop0_TestCase9, YES, 14451)
(FSE_Bitvector_Mode_Missing_Iterator_Update_4_T_Loop0_TestCase8, YES, 27847)
(FSE_Bitvector_Mode_Missing_Iterator_Update_4_T_Loop0_TestCase5, YES, 1706)
(FSE_Bitvector_Mode_Missing_Iterator_Update_4_T_Loop0_TestCase4, YES, 1756)
(FSE_Bitvector_Mode_Missing_Iterator_Update_4_T_Loop0_TestCase6, YES, 1741)
(FSE_Bitvector_Mode_Missing_Iterator_Update_4_T_Loop0_TestCase7, YES, 3749)
(FSE_Bitvector_Mode_Missing_Iterator_Update_4_T_Loop0_TestCase3, YES, 1720)
(FSE_Bitvector_Mode_Missing_Iterator_Update_4_T_Loop0_TestCase2, YES, 1697)
(FSE_Bitvector_Mode_Missing_Iterator_Update_4_T_Loop0_TestCase1, YES, 1698)</v>
      </c>
      <c r="Z53" s="142" t="str">
        <v>correct</v>
      </c>
      <c r="AA53" s="80">
        <v>1</v>
      </c>
      <c r="AB53" s="1" t="str">
        <v>10/10</v>
      </c>
      <c r="AC53" s="80" t="str">
        <v/>
      </c>
      <c r="AD53" s="1" t="str">
        <v/>
      </c>
      <c r="AE53" s="143">
        <v>1</v>
      </c>
      <c r="AF53" s="1" t="str">
        <v>10/10</v>
      </c>
      <c r="AG53" s="142">
        <v>120065</v>
      </c>
      <c r="AH53" s="150">
        <v>12006.5</v>
      </c>
      <c r="AI53" s="142">
        <v>1748.5</v>
      </c>
      <c r="AJ53" s="14" t="str" cm="1">
        <f t="array" ref="AJ53:AT53">_xlfn.LET(
  _xlpm.program_isNT, RIGHT(Athena_BV!B53,5)="_NT.c",
  _xlpm.program_isT,  RIGHT(Athena_BV!B53,4)="_T.c",
  _xlpm.bv_isCorrect, LOWER(Athena_BV!AK53)="correct",
  _xlpm.ma_isCorrect, LOWER(Athena_MA!AK53)="correct",
  _xlpm.mi_isCorrect, LOWER(Athena_MI!AK53)="correct",
  _xlpm.bv_column, IF(_xlpm.program_isNT, Athena_BV!AN53, IF(_xlpm.program_isT, Athena_BV!AL53, "")),
  _xlpm.ma_column, IF(_xlpm.program_isNT, Athena_MA!AN53, IF(_xlpm.program_isT, Athena_MA!AL53, "")),
  _xlpm.mi_column, IF(_xlpm.program_isNT, Athena_MI!AN53, IF(_xlpm.program_isT, Athena_MI!AL53,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Athena_BV!AJ53:AT53,
    Athena_MA!AJ53:AT53,
    Athena_MI!AJ53:AT53
  )
)</f>
        <v>(FSE_Bitvector_Mode_Missing_Iterator_Update_4_T_Loop21_TestCase1, YES, 1771)
(FSE_Bitvector_Mode_Missing_Iterator_Update_4_T_Loop21_TestCase3, YES, 2011)
(FSE_Bitvector_Mode_Missing_Iterator_Update_4_T_Loop21_TestCase2, YES, 1763)
(FSE_Bitvector_Mode_Missing_Iterator_Update_4_T_Loop21_TestCase6, YES, 1750)
(FSE_Bitvector_Mode_Missing_Iterator_Update_4_T_Loop19_TestCase8, YES, 1733)
(FSE_Bitvector_Mode_Missing_Iterator_Update_4_T_Loop19_TestCase9, YES, 1745)
(FSE_Bitvector_Mode_Missing_Iterator_Update_4_T_Loop21_TestCase7, YES, 3526)
(FSE_Bitvector_Mode_Missing_Iterator_Update_4_T_Loop21_TestCase5, YES, 1805)
(FSE_Bitvector_Mode_Missing_Iterator_Update_4_T_Loop19_TestCase10, YES, 1775)
(FSE_Bitvector_Mode_Missing_Iterator_Update_4_T_Loop21_TestCase4, YES, 1732)
(FSE_Bitvector_Mode_Missing_Iterator_Update_4_T_Loop21_TestCase10, YES, 8287)
(FSE_Bitvector_Mode_Missing_Iterator_Update_4_T_Loop21_TestCase9, YES, 3566)
(FSE_Bitvector_Mode_Missing_Iterator_Update_4_T_Loop19_TestCase7, YES, 2202)
(FSE_Bitvector_Mode_Missing_Iterator_Update_4_T_Loop19_TestCase6, YES, 1751)
(FSE_Bitvector_Mode_Missing_Iterator_Update_4_T_Loop21_TestCase8, YES, 4430)
(FSE_Bitvector_Mode_Missing_Iterator_Update_4_T_Loop19_TestCase4, YES, 1771)
(FSE_Bitvector_Mode_Missing_Iterator_Update_4_T_Loop19_TestCase5, YES, 1741)
(FSE_Bitvector_Mode_Missing_Iterator_Update_4_T_Loop19_TestCase1, YES, 3787)
(FSE_Bitvector_Mode_Missing_Iterator_Update_4_T_Loop19_TestCase2, YES, 1756)
(FSE_Bitvector_Mode_Missing_Iterator_Update_4_T_Loop19_TestCase3, YES, 1768)</v>
      </c>
      <c r="AK53" s="142" t="str">
        <v>correct</v>
      </c>
      <c r="AL53" s="80">
        <v>1</v>
      </c>
      <c r="AM53" s="1" t="str">
        <v>20/20</v>
      </c>
      <c r="AN53" s="80" t="str">
        <v/>
      </c>
      <c r="AO53" s="1" t="str">
        <v/>
      </c>
      <c r="AP53" s="143">
        <v>1</v>
      </c>
      <c r="AQ53" s="1" t="str">
        <v>20/20</v>
      </c>
      <c r="AR53" s="142">
        <v>50670</v>
      </c>
      <c r="AS53" s="150">
        <v>2533.5</v>
      </c>
      <c r="AT53" s="142">
        <v>1771</v>
      </c>
    </row>
    <row r="54" spans="1:47" x14ac:dyDescent="0.2">
      <c r="A54" s="174"/>
      <c r="B54" s="9" t="s">
        <v>58</v>
      </c>
      <c r="C54" s="14" t="str" cm="1">
        <f t="array" ref="C54:M54">_xlfn.LET(
  _xlpm.program_isNT, RIGHT(Athena_BV!B54,5)="_NT.c",
  _xlpm.program_isT,  RIGHT(Athena_BV!B54,4)="_T.c",
  _xlpm.bv_isCorrect, LOWER(Athena_BV!D54)="correct",
  _xlpm.ma_isCorrect, LOWER(Athena_MA!D54)="correct",
  _xlpm.mi_isCorrect, LOWER(Athena_MI!D54)="correct",
  _xlpm.bv_column, IF(_xlpm.program_isNT, Athena_BV!G54, IF(_xlpm.program_isT, Athena_BV!E54, "")),
  _xlpm.ma_column, IF(_xlpm.program_isNT, Athena_MA!G54, IF(_xlpm.program_isT, Athena_MA!E54, "")),
  _xlpm.mi_column, IF(_xlpm.program_isNT, Athena_MI!G54, IF(_xlpm.program_isT, Athena_MI!E54,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Athena_BV!C54:M54,
    Athena_MA!C54:M54,
    Athena_MI!C54:M54
  )
)</f>
        <v>(FSE_Bitvector_Mode_Missing_Iterator_Update_5_NT_Loop0_TestCase0, NO, 2858)</v>
      </c>
      <c r="D54" s="142" t="str">
        <v>correct</v>
      </c>
      <c r="E54" s="80">
        <v>0</v>
      </c>
      <c r="F54" s="1" t="str">
        <v>0/0</v>
      </c>
      <c r="G54" s="80">
        <v>1</v>
      </c>
      <c r="H54" s="1" t="str">
        <v>1/1</v>
      </c>
      <c r="I54" s="143">
        <v>1</v>
      </c>
      <c r="J54" s="1" t="str">
        <v>1/1</v>
      </c>
      <c r="K54" s="142">
        <v>2858</v>
      </c>
      <c r="L54" s="1">
        <v>2858</v>
      </c>
      <c r="M54" s="140">
        <v>2858</v>
      </c>
      <c r="N54" s="14" t="str" cm="1">
        <f t="array" ref="N54:X54">_xlfn.LET(
  _xlpm.program_isNT, RIGHT(Athena_BV!B54,5)="_NT.c",
  _xlpm.program_isT,  RIGHT(Athena_BV!B54,4)="_T.c",
  _xlpm.bv_isCorrect, LOWER(Athena_BV!O54)="correct",
  _xlpm.ma_isCorrect, LOWER(Athena_MA!O54)="correct",
  _xlpm.mi_isCorrect, LOWER(Athena_MI!O54)="correct",
  _xlpm.bv_column, IF(_xlpm.program_isNT, Athena_BV!R54, IF(_xlpm.program_isT, Athena_BV!P54, "")),
  _xlpm.ma_column, IF(_xlpm.program_isNT, Athena_MA!R54, IF(_xlpm.program_isT, Athena_MA!P54, "")),
  _xlpm.mi_column, IF(_xlpm.program_isNT, Athena_MI!R54, IF(_xlpm.program_isT, Athena_MI!P54,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Athena_BV!N54:X54,
    Athena_MA!N54:X54,
    Athena_MI!N54:X54
  )
)</f>
        <v>(FSE_Bitvector_Mode_Missing_Iterator_Update_5_NT_Loop18_TestCase0, MAYBE, 1265)
(FSE_Bitvector_Mode_Missing_Iterator_Update_5_NT_Loop23_TestCase0, NO, 31873)</v>
      </c>
      <c r="O54" s="142" t="str">
        <v>correct</v>
      </c>
      <c r="P54" s="80">
        <v>0</v>
      </c>
      <c r="Q54" s="1" t="str">
        <v>0/0</v>
      </c>
      <c r="R54" s="80">
        <v>0.5</v>
      </c>
      <c r="S54" s="149" t="str">
        <v>1/2</v>
      </c>
      <c r="T54" s="80">
        <v>0.5</v>
      </c>
      <c r="U54" s="1" t="str">
        <v>1/2</v>
      </c>
      <c r="V54" s="142">
        <v>31873</v>
      </c>
      <c r="W54" s="150">
        <v>31873</v>
      </c>
      <c r="X54" s="142">
        <v>31873</v>
      </c>
      <c r="Y54" s="14" t="str" cm="1">
        <f t="array" ref="Y54:AI54">_xlfn.LET(
  _xlpm.program_isNT, RIGHT(Athena_BV!B54,5)="_NT.c",
  _xlpm.program_isT,  RIGHT(Athena_BV!B54,4)="_T.c",
  _xlpm.bv_isCorrect, LOWER(Athena_BV!Z54)="correct",
  _xlpm.ma_isCorrect, LOWER(Athena_MA!Z54)="correct",
  _xlpm.mi_isCorrect, LOWER(Athena_MI!Z54)="correct",
  _xlpm.bv_column, IF(_xlpm.program_isNT, Athena_BV!AC54, IF(_xlpm.program_isT, Athena_BV!AA54, "")),
  _xlpm.ma_column, IF(_xlpm.program_isNT, Athena_MA!AC54, IF(_xlpm.program_isT, Athena_MA!AA54, "")),
  _xlpm.mi_column, IF(_xlpm.program_isNT, Athena_MI!AC54, IF(_xlpm.program_isT, Athena_MI!AA54,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Athena_BV!Y54:AI54,
    Athena_MA!Y54:AI54,
    Athena_MI!Y54:AI54
  )
)</f>
        <v>(FSE_Bitvector_Mode_Missing_Iterator_Update_5_NT_Loop0_TestCase9, NO, 1764)
(FSE_Bitvector_Mode_Missing_Iterator_Update_5_NT_Loop0_TestCase8, NO, 1771)
(FSE_Bitvector_Mode_Missing_Iterator_Update_5_NT_Loop0_TestCase10, NO, 1731)
(FSE_Bitvector_Mode_Missing_Iterator_Update_5_NT_Loop0_TestCase3, YES, 1747)
(FSE_Bitvector_Mode_Missing_Iterator_Update_5_NT_Loop0_TestCase2, NO, 1732)
(FSE_Bitvector_Mode_Missing_Iterator_Update_5_NT_Loop0_TestCase1, YES, 1718)
(FSE_Bitvector_Mode_Missing_Iterator_Update_5_NT_Loop0_TestCase5, YES, 1722)
(FSE_Bitvector_Mode_Missing_Iterator_Update_5_NT_Loop0_TestCase4, NO, 1783)
(FSE_Bitvector_Mode_Missing_Iterator_Update_5_NT_Loop0_TestCase6, NO, 1784)
(FSE_Bitvector_Mode_Missing_Iterator_Update_5_NT_Loop0_TestCase7, NO, 1739)</v>
      </c>
      <c r="Z54" s="142" t="str">
        <v>correct</v>
      </c>
      <c r="AA54" s="80">
        <v>0.6</v>
      </c>
      <c r="AB54" s="1" t="str">
        <v>3/5</v>
      </c>
      <c r="AC54" s="80">
        <v>1</v>
      </c>
      <c r="AD54" s="1" t="str">
        <v>5/5</v>
      </c>
      <c r="AE54" s="143">
        <v>0.8</v>
      </c>
      <c r="AF54" s="1" t="str">
        <v>8/10</v>
      </c>
      <c r="AG54" s="142">
        <v>13976</v>
      </c>
      <c r="AH54" s="150">
        <v>1747</v>
      </c>
      <c r="AI54" s="142">
        <v>1743</v>
      </c>
      <c r="AJ54" s="14" t="str" cm="1">
        <f t="array" ref="AJ54:AT54">_xlfn.LET(
  _xlpm.program_isNT, RIGHT(Athena_BV!B54,5)="_NT.c",
  _xlpm.program_isT,  RIGHT(Athena_BV!B54,4)="_T.c",
  _xlpm.bv_isCorrect, LOWER(Athena_BV!AK54)="correct",
  _xlpm.ma_isCorrect, LOWER(Athena_MA!AK54)="correct",
  _xlpm.mi_isCorrect, LOWER(Athena_MI!AK54)="correct",
  _xlpm.bv_column, IF(_xlpm.program_isNT, Athena_BV!AN54, IF(_xlpm.program_isT, Athena_BV!AL54, "")),
  _xlpm.ma_column, IF(_xlpm.program_isNT, Athena_MA!AN54, IF(_xlpm.program_isT, Athena_MA!AL54, "")),
  _xlpm.mi_column, IF(_xlpm.program_isNT, Athena_MI!AN54, IF(_xlpm.program_isT, Athena_MI!AL54,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Athena_BV!AJ54:AT54,
    Athena_MA!AJ54:AT54,
    Athena_MI!AJ54:AT54
  )
)</f>
        <v>(FSE_Bitvector_Mode_Missing_Iterator_Update_5_NT_Loop23_TestCase10, NO, 89818)
(FSE_Bitvector_Mode_Missing_Iterator_Update_5_NT_Loop18_TestCase7, MAYBE, 1251)
(FSE_Bitvector_Mode_Missing_Iterator_Update_5_NT_Loop18_TestCase6, MAYBE, 1232)
(FSE_Bitvector_Mode_Missing_Iterator_Update_5_NT_Loop18_TestCase4, MAYBE, 1226)
(FSE_Bitvector_Mode_Missing_Iterator_Update_5_NT_Loop18_TestCase5, MAYBE, 1242)
(FSE_Bitvector_Mode_Missing_Iterator_Update_5_NT_Loop18_TestCase1, MAYBE, 1248)
(FSE_Bitvector_Mode_Missing_Iterator_Update_5_NT_Loop23_TestCase9, NO, 3784)
(FSE_Bitvector_Mode_Missing_Iterator_Update_5_NT_Loop18_TestCase2, MAYBE, 1465)
(FSE_Bitvector_Mode_Missing_Iterator_Update_5_NT_Loop18_TestCase3, MAYBE, 1237)
(FSE_Bitvector_Mode_Missing_Iterator_Update_5_NT_Loop23_TestCase8, TIMEOUT, 301875)
(FSE_Bitvector_Mode_Missing_Iterator_Update_5_NT_Loop23_TestCase5, YES, 1904)
(FSE_Bitvector_Mode_Missing_Iterator_Update_5_NT_Loop23_TestCase4, NO, 4498)
(FSE_Bitvector_Mode_Missing_Iterator_Update_5_NT_Loop23_TestCase6, NO, 2923)
(FSE_Bitvector_Mode_Missing_Iterator_Update_5_NT_Loop23_TestCase7, NO, 2867)
(FSE_Bitvector_Mode_Missing_Iterator_Update_5_NT_Loop23_TestCase3, YES, 1975)
(FSE_Bitvector_Mode_Missing_Iterator_Update_5_NT_Loop18_TestCase8, MAYBE, 1238)
(FSE_Bitvector_Mode_Missing_Iterator_Update_5_NT_Loop18_TestCase9, MAYBE, 1247)
(FSE_Bitvector_Mode_Missing_Iterator_Update_5_NT_Loop23_TestCase2, NO, 2112)
(FSE_Bitvector_Mode_Missing_Iterator_Update_5_NT_Loop23_TestCase1, YES, 2122)
(FSE_Bitvector_Mode_Missing_Iterator_Update_5_NT_Loop18_TestCase10, MAYBE, 1232)</v>
      </c>
      <c r="AK54" s="142" t="str">
        <v>correct</v>
      </c>
      <c r="AL54" s="80">
        <v>0.3</v>
      </c>
      <c r="AM54" s="1" t="str">
        <v>3/10</v>
      </c>
      <c r="AN54" s="80">
        <v>0.4</v>
      </c>
      <c r="AO54" s="1" t="str">
        <v>4/10</v>
      </c>
      <c r="AP54" s="143">
        <v>0.35</v>
      </c>
      <c r="AQ54" s="1" t="str">
        <v>7/20</v>
      </c>
      <c r="AR54" s="142">
        <v>105393</v>
      </c>
      <c r="AS54" s="150">
        <v>15056.14</v>
      </c>
      <c r="AT54" s="142">
        <v>2867</v>
      </c>
      <c r="AU54" s="4" t="s">
        <v>93</v>
      </c>
    </row>
    <row r="55" spans="1:47" x14ac:dyDescent="0.2">
      <c r="A55" s="174"/>
      <c r="B55" s="9" t="s">
        <v>59</v>
      </c>
      <c r="C55" s="14" t="str" cm="1">
        <f t="array" ref="C55:M55">_xlfn.LET(
  _xlpm.program_isNT, RIGHT(Athena_BV!B55,5)="_NT.c",
  _xlpm.program_isT,  RIGHT(Athena_BV!B55,4)="_T.c",
  _xlpm.bv_isCorrect, LOWER(Athena_BV!D55)="correct",
  _xlpm.ma_isCorrect, LOWER(Athena_MA!D55)="correct",
  _xlpm.mi_isCorrect, LOWER(Athena_MI!D55)="correct",
  _xlpm.bv_column, IF(_xlpm.program_isNT, Athena_BV!G55, IF(_xlpm.program_isT, Athena_BV!E55, "")),
  _xlpm.ma_column, IF(_xlpm.program_isNT, Athena_MA!G55, IF(_xlpm.program_isT, Athena_MA!E55, "")),
  _xlpm.mi_column, IF(_xlpm.program_isNT, Athena_MI!G55, IF(_xlpm.program_isT, Athena_MI!E55,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Athena_BV!C55:M55,
    Athena_MA!C55:M55,
    Athena_MI!C55:M55
  )
)</f>
        <v>(FSE_Modulo_Arithmetic_Mode_Missing_Iterator_Update_5_T_Loop0_TestCase0, YES, 6109)</v>
      </c>
      <c r="D55" s="142" t="str">
        <v>correct</v>
      </c>
      <c r="E55" s="80">
        <v>1</v>
      </c>
      <c r="F55" s="1" t="str">
        <v>1/1</v>
      </c>
      <c r="G55" s="80" t="str">
        <v/>
      </c>
      <c r="H55" s="1" t="str">
        <v/>
      </c>
      <c r="I55" s="143">
        <v>1</v>
      </c>
      <c r="J55" s="1" t="str">
        <v>1/1</v>
      </c>
      <c r="K55" s="142">
        <v>6109</v>
      </c>
      <c r="L55" s="1">
        <v>6109</v>
      </c>
      <c r="M55" s="140">
        <v>6109</v>
      </c>
      <c r="N55" s="14" t="str" cm="1">
        <f t="array" ref="N55:X55">_xlfn.LET(
  _xlpm.program_isNT, RIGHT(Athena_BV!B55,5)="_NT.c",
  _xlpm.program_isT,  RIGHT(Athena_BV!B55,4)="_T.c",
  _xlpm.bv_isCorrect, LOWER(Athena_BV!O55)="correct",
  _xlpm.ma_isCorrect, LOWER(Athena_MA!O55)="correct",
  _xlpm.mi_isCorrect, LOWER(Athena_MI!O55)="correct",
  _xlpm.bv_column, IF(_xlpm.program_isNT, Athena_BV!R55, IF(_xlpm.program_isT, Athena_BV!P55, "")),
  _xlpm.ma_column, IF(_xlpm.program_isNT, Athena_MA!R55, IF(_xlpm.program_isT, Athena_MA!P55, "")),
  _xlpm.mi_column, IF(_xlpm.program_isNT, Athena_MI!R55, IF(_xlpm.program_isT, Athena_MI!P55,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Athena_BV!N55:X55,
    Athena_MA!N55:X55,
    Athena_MI!N55:X55
  )
)</f>
        <v>(FSE_Bitvector_Mode_Missing_Iterator_Update_5_T_Loop22_TestCase0, YES, 2342)
(FSE_Bitvector_Mode_Missing_Iterator_Update_5_T_Loop17_TestCase0, MAYBE, 1264)</v>
      </c>
      <c r="O55" s="142" t="str">
        <v>correct</v>
      </c>
      <c r="P55" s="80">
        <v>0.5</v>
      </c>
      <c r="Q55" s="1" t="str">
        <v>1/2</v>
      </c>
      <c r="R55" s="80" t="str">
        <v/>
      </c>
      <c r="S55" s="149" t="str">
        <v/>
      </c>
      <c r="T55" s="80">
        <v>0.5</v>
      </c>
      <c r="U55" s="1" t="str">
        <v>1/2</v>
      </c>
      <c r="V55" s="142">
        <v>2342</v>
      </c>
      <c r="W55" s="150">
        <v>2342</v>
      </c>
      <c r="X55" s="142">
        <v>2342</v>
      </c>
      <c r="Y55" s="14" t="str" cm="1">
        <f t="array" ref="Y55:AI55">_xlfn.LET(
  _xlpm.program_isNT, RIGHT(Athena_BV!B55,5)="_NT.c",
  _xlpm.program_isT,  RIGHT(Athena_BV!B55,4)="_T.c",
  _xlpm.bv_isCorrect, LOWER(Athena_BV!Z55)="correct",
  _xlpm.ma_isCorrect, LOWER(Athena_MA!Z55)="correct",
  _xlpm.mi_isCorrect, LOWER(Athena_MI!Z55)="correct",
  _xlpm.bv_column, IF(_xlpm.program_isNT, Athena_BV!AC55, IF(_xlpm.program_isT, Athena_BV!AA55, "")),
  _xlpm.ma_column, IF(_xlpm.program_isNT, Athena_MA!AC55, IF(_xlpm.program_isT, Athena_MA!AA55, "")),
  _xlpm.mi_column, IF(_xlpm.program_isNT, Athena_MI!AC55, IF(_xlpm.program_isT, Athena_MI!AA55,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Athena_BV!Y55:AI55,
    Athena_MA!Y55:AI55,
    Athena_MI!Y55:AI55
  )
)</f>
        <v>(FSE_Bitvector_Mode_Missing_Iterator_Update_5_T_Loop0_TestCase6, YES, 1840)
(FSE_Bitvector_Mode_Missing_Iterator_Update_5_T_Loop0_TestCase7, YES, 1849)
(FSE_Bitvector_Mode_Missing_Iterator_Update_5_T_Loop0_TestCase5, YES, 1741)
(FSE_Bitvector_Mode_Missing_Iterator_Update_5_T_Loop0_TestCase4, YES, 1882)
(FSE_Bitvector_Mode_Missing_Iterator_Update_5_T_Loop0_TestCase1, YES, 1751)
(FSE_Bitvector_Mode_Missing_Iterator_Update_5_T_Loop0_TestCase3, YES, 1719)
(FSE_Bitvector_Mode_Missing_Iterator_Update_5_T_Loop0_TestCase2, YES, 1846)
(FSE_Bitvector_Mode_Missing_Iterator_Update_5_T_Loop0_TestCase10, YES, 1858)
(FSE_Bitvector_Mode_Missing_Iterator_Update_5_T_Loop0_TestCase9, YES, 1839)
(FSE_Bitvector_Mode_Missing_Iterator_Update_5_T_Loop0_TestCase8, YES, 1859)</v>
      </c>
      <c r="Z55" s="142" t="str">
        <v>correct</v>
      </c>
      <c r="AA55" s="80">
        <v>1</v>
      </c>
      <c r="AB55" s="1" t="str">
        <v>10/10</v>
      </c>
      <c r="AC55" s="80" t="str">
        <v/>
      </c>
      <c r="AD55" s="1" t="str">
        <v/>
      </c>
      <c r="AE55" s="143">
        <v>1</v>
      </c>
      <c r="AF55" s="1" t="str">
        <v>10/10</v>
      </c>
      <c r="AG55" s="142">
        <v>18184</v>
      </c>
      <c r="AH55" s="150">
        <v>1818.4</v>
      </c>
      <c r="AI55" s="142">
        <v>1843</v>
      </c>
      <c r="AJ55" s="14" t="str" cm="1">
        <f t="array" ref="AJ55:AT55">_xlfn.LET(
  _xlpm.program_isNT, RIGHT(Athena_BV!B55,5)="_NT.c",
  _xlpm.program_isT,  RIGHT(Athena_BV!B55,4)="_T.c",
  _xlpm.bv_isCorrect, LOWER(Athena_BV!AK55)="correct",
  _xlpm.ma_isCorrect, LOWER(Athena_MA!AK55)="correct",
  _xlpm.mi_isCorrect, LOWER(Athena_MI!AK55)="correct",
  _xlpm.bv_column, IF(_xlpm.program_isNT, Athena_BV!AN55, IF(_xlpm.program_isT, Athena_BV!AL55, "")),
  _xlpm.ma_column, IF(_xlpm.program_isNT, Athena_MA!AN55, IF(_xlpm.program_isT, Athena_MA!AL55, "")),
  _xlpm.mi_column, IF(_xlpm.program_isNT, Athena_MI!AN55, IF(_xlpm.program_isT, Athena_MI!AL55,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Athena_BV!AJ55:AT55,
    Athena_MA!AJ55:AT55,
    Athena_MI!AJ55:AT55
  )
)</f>
        <v>(FSE_Bitvector_Mode_Missing_Iterator_Update_5_T_Loop17_TestCase9, MAYBE, 1198)
(FSE_Bitvector_Mode_Missing_Iterator_Update_5_T_Loop17_TestCase8, MAYBE, 1228)
(FSE_Bitvector_Mode_Missing_Iterator_Update_5_T_Loop22_TestCase1, YES, 1891)
(FSE_Bitvector_Mode_Missing_Iterator_Update_5_T_Loop22_TestCase2, YES, 2122)
(FSE_Bitvector_Mode_Missing_Iterator_Update_5_T_Loop22_TestCase3, YES, 2000)
(FSE_Bitvector_Mode_Missing_Iterator_Update_5_T_Loop22_TestCase7, YES, 2767)
(FSE_Bitvector_Mode_Missing_Iterator_Update_5_T_Loop22_TestCase6, YES, 2075)
(FSE_Bitvector_Mode_Missing_Iterator_Update_5_T_Loop22_TestCase10, YES, 2039)
(FSE_Bitvector_Mode_Missing_Iterator_Update_5_T_Loop22_TestCase4, YES, 2104)
(FSE_Bitvector_Mode_Missing_Iterator_Update_5_T_Loop22_TestCase5, YES, 1814)
(FSE_Bitvector_Mode_Missing_Iterator_Update_5_T_Loop22_TestCase8, YES, 3771)
(FSE_Bitvector_Mode_Missing_Iterator_Update_5_T_Loop22_TestCase9, YES, 2019)
(FSE_Bitvector_Mode_Missing_Iterator_Update_5_T_Loop17_TestCase10, MAYBE, 1211)
(FSE_Bitvector_Mode_Missing_Iterator_Update_5_T_Loop17_TestCase6, MAYBE, 1370)
(FSE_Bitvector_Mode_Missing_Iterator_Update_5_T_Loop17_TestCase7, MAYBE, 1227)
(FSE_Bitvector_Mode_Missing_Iterator_Update_5_T_Loop17_TestCase5, MAYBE, 1204)
(FSE_Bitvector_Mode_Missing_Iterator_Update_5_T_Loop17_TestCase4, MAYBE, 1216)
(FSE_Bitvector_Mode_Missing_Iterator_Update_5_T_Loop17_TestCase1, MAYBE, 1214)
(FSE_Bitvector_Mode_Missing_Iterator_Update_5_T_Loop17_TestCase3, MAYBE, 1223)
(FSE_Bitvector_Mode_Missing_Iterator_Update_5_T_Loop17_TestCase2, MAYBE, 1194)</v>
      </c>
      <c r="AK55" s="142" t="str">
        <v>correct</v>
      </c>
      <c r="AL55" s="80">
        <v>0.5</v>
      </c>
      <c r="AM55" s="1" t="str">
        <v>10/20</v>
      </c>
      <c r="AN55" s="80" t="str">
        <v/>
      </c>
      <c r="AO55" s="1" t="str">
        <v/>
      </c>
      <c r="AP55" s="143">
        <v>0.5</v>
      </c>
      <c r="AQ55" s="1" t="str">
        <v>10/20</v>
      </c>
      <c r="AR55" s="142">
        <v>22602</v>
      </c>
      <c r="AS55" s="150">
        <v>2260.1999999999998</v>
      </c>
      <c r="AT55" s="142">
        <v>2057</v>
      </c>
      <c r="AU55" s="4" t="s">
        <v>93</v>
      </c>
    </row>
    <row r="56" spans="1:47" x14ac:dyDescent="0.2">
      <c r="A56" s="174"/>
      <c r="B56" s="9" t="s">
        <v>62</v>
      </c>
      <c r="C56" s="14" t="str" cm="1">
        <f t="array" ref="C56:M56">_xlfn.LET(
  _xlpm.program_isNT, RIGHT(Athena_BV!B56,5)="_NT.c",
  _xlpm.program_isT,  RIGHT(Athena_BV!B56,4)="_T.c",
  _xlpm.bv_isCorrect, LOWER(Athena_BV!D56)="correct",
  _xlpm.ma_isCorrect, LOWER(Athena_MA!D56)="correct",
  _xlpm.mi_isCorrect, LOWER(Athena_MI!D56)="correct",
  _xlpm.bv_column, IF(_xlpm.program_isNT, Athena_BV!G56, IF(_xlpm.program_isT, Athena_BV!E56, "")),
  _xlpm.ma_column, IF(_xlpm.program_isNT, Athena_MA!G56, IF(_xlpm.program_isT, Athena_MA!E56, "")),
  _xlpm.mi_column, IF(_xlpm.program_isNT, Athena_MI!G56, IF(_xlpm.program_isT, Athena_MI!E56,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Athena_BV!C56:M56,
    Athena_MA!C56:M56,
    Athena_MI!C56:M56
  )
)</f>
        <v>(FSE_Bitvector_Mode_Misusing_Variable_Type_1_NT_Loop0_TestCase0, NO, 1693)</v>
      </c>
      <c r="D56" s="142" t="str">
        <v>correct</v>
      </c>
      <c r="E56" s="80">
        <v>0</v>
      </c>
      <c r="F56" s="1" t="str">
        <v>0/0</v>
      </c>
      <c r="G56" s="80">
        <v>1</v>
      </c>
      <c r="H56" s="1" t="str">
        <v>1/1</v>
      </c>
      <c r="I56" s="143">
        <v>1</v>
      </c>
      <c r="J56" s="1" t="str">
        <v>1/1</v>
      </c>
      <c r="K56" s="142">
        <v>1693</v>
      </c>
      <c r="L56" s="1">
        <v>1693</v>
      </c>
      <c r="M56" s="140">
        <v>1693</v>
      </c>
      <c r="N56" s="14" t="str" cm="1">
        <f t="array" ref="N56:X56">_xlfn.LET(
  _xlpm.program_isNT, RIGHT(Athena_BV!B56,5)="_NT.c",
  _xlpm.program_isT,  RIGHT(Athena_BV!B56,4)="_T.c",
  _xlpm.bv_isCorrect, LOWER(Athena_BV!O56)="correct",
  _xlpm.ma_isCorrect, LOWER(Athena_MA!O56)="correct",
  _xlpm.mi_isCorrect, LOWER(Athena_MI!O56)="correct",
  _xlpm.bv_column, IF(_xlpm.program_isNT, Athena_BV!R56, IF(_xlpm.program_isT, Athena_BV!P56, "")),
  _xlpm.ma_column, IF(_xlpm.program_isNT, Athena_MA!R56, IF(_xlpm.program_isT, Athena_MA!P56, "")),
  _xlpm.mi_column, IF(_xlpm.program_isNT, Athena_MI!R56, IF(_xlpm.program_isT, Athena_MI!P56,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Athena_BV!N56:X56,
    Athena_MA!N56:X56,
    Athena_MI!N56:X56
  )
)</f>
        <v>(FSE_Bitvector_Mode_Misusing_Variable_Type_1_NT_Loop18_TestCase0, NO, 1746)
(FSE_Bitvector_Mode_Misusing_Variable_Type_1_NT_Loop16_TestCase0, NO, 1795)
(FSE_Bitvector_Mode_Misusing_Variable_Type_1_NT_Loop14_TestCase0, YES, 1771)</v>
      </c>
      <c r="O56" s="142" t="str">
        <v>correct</v>
      </c>
      <c r="P56" s="80">
        <v>1</v>
      </c>
      <c r="Q56" s="1" t="str">
        <v>1/1</v>
      </c>
      <c r="R56" s="80">
        <v>1</v>
      </c>
      <c r="S56" s="149" t="str">
        <v>2/2</v>
      </c>
      <c r="T56" s="80">
        <v>1</v>
      </c>
      <c r="U56" s="1" t="str">
        <v>3/3</v>
      </c>
      <c r="V56" s="142">
        <v>5312</v>
      </c>
      <c r="W56" s="150">
        <v>1770.67</v>
      </c>
      <c r="X56" s="142">
        <v>1771</v>
      </c>
      <c r="Y56" s="14" t="str" cm="1">
        <f t="array" ref="Y56:AI56">_xlfn.LET(
  _xlpm.program_isNT, RIGHT(Athena_BV!B56,5)="_NT.c",
  _xlpm.program_isT,  RIGHT(Athena_BV!B56,4)="_T.c",
  _xlpm.bv_isCorrect, LOWER(Athena_BV!Z56)="correct",
  _xlpm.ma_isCorrect, LOWER(Athena_MA!Z56)="correct",
  _xlpm.mi_isCorrect, LOWER(Athena_MI!Z56)="correct",
  _xlpm.bv_column, IF(_xlpm.program_isNT, Athena_BV!AC56, IF(_xlpm.program_isT, Athena_BV!AA56, "")),
  _xlpm.ma_column, IF(_xlpm.program_isNT, Athena_MA!AC56, IF(_xlpm.program_isT, Athena_MA!AA56, "")),
  _xlpm.mi_column, IF(_xlpm.program_isNT, Athena_MI!AC56, IF(_xlpm.program_isT, Athena_MI!AA56,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Athena_BV!Y56:AI56,
    Athena_MA!Y56:AI56,
    Athena_MI!Y56:AI56
  )
)</f>
        <v>(FSE_Bitvector_Mode_Misusing_Variable_Type_1_NT_Loop0_TestCase0, NO, 1697)</v>
      </c>
      <c r="Z56" s="142" t="str">
        <v>correct</v>
      </c>
      <c r="AA56" s="80">
        <v>0</v>
      </c>
      <c r="AB56" s="1" t="str">
        <v>0/0</v>
      </c>
      <c r="AC56" s="80">
        <v>1</v>
      </c>
      <c r="AD56" s="1" t="str">
        <v>1/1</v>
      </c>
      <c r="AE56" s="143">
        <v>1</v>
      </c>
      <c r="AF56" s="1" t="str">
        <v>1/1</v>
      </c>
      <c r="AG56" s="142">
        <v>1697</v>
      </c>
      <c r="AH56" s="150">
        <v>1697</v>
      </c>
      <c r="AI56" s="142">
        <v>1697</v>
      </c>
      <c r="AJ56" s="14" t="str" cm="1">
        <f t="array" ref="AJ56:AT56">_xlfn.LET(
  _xlpm.program_isNT, RIGHT(Athena_BV!B56,5)="_NT.c",
  _xlpm.program_isT,  RIGHT(Athena_BV!B56,4)="_T.c",
  _xlpm.bv_isCorrect, LOWER(Athena_BV!AK56)="correct",
  _xlpm.ma_isCorrect, LOWER(Athena_MA!AK56)="correct",
  _xlpm.mi_isCorrect, LOWER(Athena_MI!AK56)="correct",
  _xlpm.bv_column, IF(_xlpm.program_isNT, Athena_BV!AN56, IF(_xlpm.program_isT, Athena_BV!AL56, "")),
  _xlpm.ma_column, IF(_xlpm.program_isNT, Athena_MA!AN56, IF(_xlpm.program_isT, Athena_MA!AL56, "")),
  _xlpm.mi_column, IF(_xlpm.program_isNT, Athena_MI!AN56, IF(_xlpm.program_isT, Athena_MI!AL56,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Athena_BV!AJ56:AT56,
    Athena_MA!AJ56:AT56,
    Athena_MI!AJ56:AT56
  )
)</f>
        <v>(FSE_Bitvector_Mode_Misusing_Variable_Type_1_NT_Loop18_TestCase0, NO, 1712)
(FSE_Bitvector_Mode_Misusing_Variable_Type_1_NT_Loop16_TestCase0, NO, 1718)
(FSE_Bitvector_Mode_Misusing_Variable_Type_1_NT_Loop14_TestCase0, YES, 1727)</v>
      </c>
      <c r="AK56" s="142" t="str">
        <v>correct</v>
      </c>
      <c r="AL56" s="80">
        <v>1</v>
      </c>
      <c r="AM56" s="1" t="str">
        <v>1/1</v>
      </c>
      <c r="AN56" s="80">
        <v>1</v>
      </c>
      <c r="AO56" s="1" t="str">
        <v>2/2</v>
      </c>
      <c r="AP56" s="143">
        <v>1</v>
      </c>
      <c r="AQ56" s="1" t="str">
        <v>3/3</v>
      </c>
      <c r="AR56" s="142">
        <v>5157</v>
      </c>
      <c r="AS56" s="150">
        <v>1719</v>
      </c>
      <c r="AT56" s="142">
        <v>1718</v>
      </c>
      <c r="AU56" s="4" t="s">
        <v>102</v>
      </c>
    </row>
    <row r="57" spans="1:47" x14ac:dyDescent="0.2">
      <c r="A57" s="174"/>
      <c r="B57" s="9" t="s">
        <v>63</v>
      </c>
      <c r="C57" s="14" t="str" cm="1">
        <f t="array" ref="C57:M57">_xlfn.LET(
  _xlpm.program_isNT, RIGHT(Athena_BV!B57,5)="_NT.c",
  _xlpm.program_isT,  RIGHT(Athena_BV!B57,4)="_T.c",
  _xlpm.bv_isCorrect, LOWER(Athena_BV!D57)="correct",
  _xlpm.ma_isCorrect, LOWER(Athena_MA!D57)="correct",
  _xlpm.mi_isCorrect, LOWER(Athena_MI!D57)="correct",
  _xlpm.bv_column, IF(_xlpm.program_isNT, Athena_BV!G57, IF(_xlpm.program_isT, Athena_BV!E57, "")),
  _xlpm.ma_column, IF(_xlpm.program_isNT, Athena_MA!G57, IF(_xlpm.program_isT, Athena_MA!E57, "")),
  _xlpm.mi_column, IF(_xlpm.program_isNT, Athena_MI!G57, IF(_xlpm.program_isT, Athena_MI!E57,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Athena_BV!C57:M57,
    Athena_MA!C57:M57,
    Athena_MI!C57:M57
  )
)</f>
        <v>(FSE_Bitvector_Mode_Misusing_Variable_Type_1_T_Loop0_TestCase0, YES, 10442)</v>
      </c>
      <c r="D57" s="142" t="str">
        <v>correct</v>
      </c>
      <c r="E57" s="80">
        <v>1</v>
      </c>
      <c r="F57" s="1" t="str">
        <v>1/1</v>
      </c>
      <c r="G57" s="80" t="str">
        <v/>
      </c>
      <c r="H57" s="1" t="str">
        <v/>
      </c>
      <c r="I57" s="143">
        <v>1</v>
      </c>
      <c r="J57" s="1" t="str">
        <v>1/1</v>
      </c>
      <c r="K57" s="142">
        <v>10442</v>
      </c>
      <c r="L57" s="1">
        <v>10442</v>
      </c>
      <c r="M57" s="140">
        <v>10442</v>
      </c>
      <c r="N57" s="14" t="str" cm="1">
        <f t="array" ref="N57:X57">_xlfn.LET(
  _xlpm.program_isNT, RIGHT(Athena_BV!B57,5)="_NT.c",
  _xlpm.program_isT,  RIGHT(Athena_BV!B57,4)="_T.c",
  _xlpm.bv_isCorrect, LOWER(Athena_BV!O57)="correct",
  _xlpm.ma_isCorrect, LOWER(Athena_MA!O57)="correct",
  _xlpm.mi_isCorrect, LOWER(Athena_MI!O57)="correct",
  _xlpm.bv_column, IF(_xlpm.program_isNT, Athena_BV!R57, IF(_xlpm.program_isT, Athena_BV!P57, "")),
  _xlpm.ma_column, IF(_xlpm.program_isNT, Athena_MA!R57, IF(_xlpm.program_isT, Athena_MA!P57, "")),
  _xlpm.mi_column, IF(_xlpm.program_isNT, Athena_MI!R57, IF(_xlpm.program_isT, Athena_MI!P57,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Athena_BV!N57:X57,
    Athena_MA!N57:X57,
    Athena_MI!N57:X57
  )
)</f>
        <v>(FSE_Bitvector_Mode_Misusing_Variable_Type_1_T_Loop18_TestCase0, YES, 17125)
(FSE_Bitvector_Mode_Misusing_Variable_Type_1_T_Loop16_TestCase0, YES, 3072)
(FSE_Bitvector_Mode_Misusing_Variable_Type_1_T_Loop14_TestCase0, YES, 1774)</v>
      </c>
      <c r="O57" s="142" t="str">
        <v>correct</v>
      </c>
      <c r="P57" s="80">
        <v>1</v>
      </c>
      <c r="Q57" s="1" t="str">
        <v>3/3</v>
      </c>
      <c r="R57" s="80" t="str">
        <v/>
      </c>
      <c r="S57" s="149" t="str">
        <v/>
      </c>
      <c r="T57" s="80">
        <v>1</v>
      </c>
      <c r="U57" s="1" t="str">
        <v>3/3</v>
      </c>
      <c r="V57" s="142">
        <v>21971</v>
      </c>
      <c r="W57" s="150">
        <v>7323.67</v>
      </c>
      <c r="X57" s="142">
        <v>3072</v>
      </c>
      <c r="Y57" s="14" t="str" cm="1">
        <f t="array" ref="Y57:AI57">_xlfn.LET(
  _xlpm.program_isNT, RIGHT(Athena_BV!B57,5)="_NT.c",
  _xlpm.program_isT,  RIGHT(Athena_BV!B57,4)="_T.c",
  _xlpm.bv_isCorrect, LOWER(Athena_BV!Z57)="correct",
  _xlpm.ma_isCorrect, LOWER(Athena_MA!Z57)="correct",
  _xlpm.mi_isCorrect, LOWER(Athena_MI!Z57)="correct",
  _xlpm.bv_column, IF(_xlpm.program_isNT, Athena_BV!AC57, IF(_xlpm.program_isT, Athena_BV!AA57, "")),
  _xlpm.ma_column, IF(_xlpm.program_isNT, Athena_MA!AC57, IF(_xlpm.program_isT, Athena_MA!AA57, "")),
  _xlpm.mi_column, IF(_xlpm.program_isNT, Athena_MI!AC57, IF(_xlpm.program_isT, Athena_MI!AA57,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Athena_BV!Y57:AI57,
    Athena_MA!Y57:AI57,
    Athena_MI!Y57:AI57
  )
)</f>
        <v>(FSE_Bitvector_Mode_Misusing_Variable_Type_1_T_Loop0_TestCase0, YES, 21439)</v>
      </c>
      <c r="Z57" s="142" t="str">
        <v>correct</v>
      </c>
      <c r="AA57" s="80">
        <v>1</v>
      </c>
      <c r="AB57" s="1" t="str">
        <v>1/1</v>
      </c>
      <c r="AC57" s="80" t="str">
        <v/>
      </c>
      <c r="AD57" s="1" t="str">
        <v/>
      </c>
      <c r="AE57" s="143">
        <v>1</v>
      </c>
      <c r="AF57" s="1" t="str">
        <v>1/1</v>
      </c>
      <c r="AG57" s="142">
        <v>21439</v>
      </c>
      <c r="AH57" s="150">
        <v>21439</v>
      </c>
      <c r="AI57" s="142">
        <v>21439</v>
      </c>
      <c r="AJ57" s="14" t="str" cm="1">
        <f t="array" ref="AJ57:AT57">_xlfn.LET(
  _xlpm.program_isNT, RIGHT(Athena_BV!B57,5)="_NT.c",
  _xlpm.program_isT,  RIGHT(Athena_BV!B57,4)="_T.c",
  _xlpm.bv_isCorrect, LOWER(Athena_BV!AK57)="correct",
  _xlpm.ma_isCorrect, LOWER(Athena_MA!AK57)="correct",
  _xlpm.mi_isCorrect, LOWER(Athena_MI!AK57)="correct",
  _xlpm.bv_column, IF(_xlpm.program_isNT, Athena_BV!AN57, IF(_xlpm.program_isT, Athena_BV!AL57, "")),
  _xlpm.ma_column, IF(_xlpm.program_isNT, Athena_MA!AN57, IF(_xlpm.program_isT, Athena_MA!AL57, "")),
  _xlpm.mi_column, IF(_xlpm.program_isNT, Athena_MI!AN57, IF(_xlpm.program_isT, Athena_MI!AL57,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Athena_BV!AJ57:AT57,
    Athena_MA!AJ57:AT57,
    Athena_MI!AJ57:AT57
  )
)</f>
        <v>(FSE_Bitvector_Mode_Misusing_Variable_Type_1_T_Loop18_TestCase0, YES, 42965)
(FSE_Bitvector_Mode_Misusing_Variable_Type_1_T_Loop16_TestCase0, YES, 3582)
(FSE_Bitvector_Mode_Misusing_Variable_Type_1_T_Loop14_TestCase0, YES, 1738)</v>
      </c>
      <c r="AK57" s="142" t="str">
        <v>correct</v>
      </c>
      <c r="AL57" s="80">
        <v>1</v>
      </c>
      <c r="AM57" s="1" t="str">
        <v>3/3</v>
      </c>
      <c r="AN57" s="80" t="str">
        <v/>
      </c>
      <c r="AO57" s="1" t="str">
        <v/>
      </c>
      <c r="AP57" s="143">
        <v>1</v>
      </c>
      <c r="AQ57" s="1" t="str">
        <v>3/3</v>
      </c>
      <c r="AR57" s="142">
        <v>48285</v>
      </c>
      <c r="AS57" s="150">
        <v>16095</v>
      </c>
      <c r="AT57" s="142">
        <v>3582</v>
      </c>
      <c r="AU57" s="4" t="s">
        <v>102</v>
      </c>
    </row>
    <row r="58" spans="1:47" x14ac:dyDescent="0.2">
      <c r="A58" s="174"/>
      <c r="B58" s="9" t="s">
        <v>64</v>
      </c>
      <c r="C58" s="14" t="str" cm="1">
        <f t="array" ref="C58:M58">_xlfn.LET(
  _xlpm.program_isNT, RIGHT(Athena_BV!B58,5)="_NT.c",
  _xlpm.program_isT,  RIGHT(Athena_BV!B58,4)="_T.c",
  _xlpm.bv_isCorrect, LOWER(Athena_BV!D58)="correct",
  _xlpm.ma_isCorrect, LOWER(Athena_MA!D58)="correct",
  _xlpm.mi_isCorrect, LOWER(Athena_MI!D58)="correct",
  _xlpm.bv_column, IF(_xlpm.program_isNT, Athena_BV!G58, IF(_xlpm.program_isT, Athena_BV!E58, "")),
  _xlpm.ma_column, IF(_xlpm.program_isNT, Athena_MA!G58, IF(_xlpm.program_isT, Athena_MA!E58, "")),
  _xlpm.mi_column, IF(_xlpm.program_isNT, Athena_MI!G58, IF(_xlpm.program_isT, Athena_MI!E58,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Athena_BV!C58:M58,
    Athena_MA!C58:M58,
    Athena_MI!C58:M58
  )
)</f>
        <v>(FSE_Bitvector_Mode_Misusing_Variable_Type_2_NT_Loop0_TestCase0, NO, 2098)</v>
      </c>
      <c r="D58" s="142" t="str">
        <v>correct</v>
      </c>
      <c r="E58" s="80">
        <v>0</v>
      </c>
      <c r="F58" s="1" t="str">
        <v>0/0</v>
      </c>
      <c r="G58" s="80">
        <v>1</v>
      </c>
      <c r="H58" s="1" t="str">
        <v>1/1</v>
      </c>
      <c r="I58" s="143">
        <v>1</v>
      </c>
      <c r="J58" s="1" t="str">
        <v>1/1</v>
      </c>
      <c r="K58" s="142">
        <v>2098</v>
      </c>
      <c r="L58" s="1">
        <v>2098</v>
      </c>
      <c r="M58" s="140">
        <v>2098</v>
      </c>
      <c r="N58" s="14" t="str" cm="1">
        <f t="array" ref="N58:X58">_xlfn.LET(
  _xlpm.program_isNT, RIGHT(Athena_BV!B58,5)="_NT.c",
  _xlpm.program_isT,  RIGHT(Athena_BV!B58,4)="_T.c",
  _xlpm.bv_isCorrect, LOWER(Athena_BV!O58)="correct",
  _xlpm.ma_isCorrect, LOWER(Athena_MA!O58)="correct",
  _xlpm.mi_isCorrect, LOWER(Athena_MI!O58)="correct",
  _xlpm.bv_column, IF(_xlpm.program_isNT, Athena_BV!R58, IF(_xlpm.program_isT, Athena_BV!P58, "")),
  _xlpm.ma_column, IF(_xlpm.program_isNT, Athena_MA!R58, IF(_xlpm.program_isT, Athena_MA!P58, "")),
  _xlpm.mi_column, IF(_xlpm.program_isNT, Athena_MI!R58, IF(_xlpm.program_isT, Athena_MI!P58,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Athena_BV!N58:X58,
    Athena_MA!N58:X58,
    Athena_MI!N58:X58
  )
)</f>
        <v>(FSE_Bitvector_Mode_Misusing_Variable_Type_2_NT_Loop24_TestCase0, NO, 2143)</v>
      </c>
      <c r="O58" s="142" t="str">
        <v>correct</v>
      </c>
      <c r="P58" s="80">
        <v>0</v>
      </c>
      <c r="Q58" s="1" t="str">
        <v>0/0</v>
      </c>
      <c r="R58" s="80">
        <v>1</v>
      </c>
      <c r="S58" s="149" t="str">
        <v>1/1</v>
      </c>
      <c r="T58" s="80">
        <v>1</v>
      </c>
      <c r="U58" s="1" t="str">
        <v>1/1</v>
      </c>
      <c r="V58" s="142">
        <v>2143</v>
      </c>
      <c r="W58" s="150">
        <v>2143</v>
      </c>
      <c r="X58" s="142">
        <v>2143</v>
      </c>
      <c r="Y58" s="14" t="str" cm="1">
        <f t="array" ref="Y58:AI58">_xlfn.LET(
  _xlpm.program_isNT, RIGHT(Athena_BV!B58,5)="_NT.c",
  _xlpm.program_isT,  RIGHT(Athena_BV!B58,4)="_T.c",
  _xlpm.bv_isCorrect, LOWER(Athena_BV!Z58)="correct",
  _xlpm.ma_isCorrect, LOWER(Athena_MA!Z58)="correct",
  _xlpm.mi_isCorrect, LOWER(Athena_MI!Z58)="correct",
  _xlpm.bv_column, IF(_xlpm.program_isNT, Athena_BV!AC58, IF(_xlpm.program_isT, Athena_BV!AA58, "")),
  _xlpm.ma_column, IF(_xlpm.program_isNT, Athena_MA!AC58, IF(_xlpm.program_isT, Athena_MA!AA58, "")),
  _xlpm.mi_column, IF(_xlpm.program_isNT, Athena_MI!AC58, IF(_xlpm.program_isT, Athena_MI!AA58,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Athena_BV!Y58:AI58,
    Athena_MA!Y58:AI58,
    Athena_MI!Y58:AI58
  )
)</f>
        <v>(FSE_Bitvector_Mode_Misusing_Variable_Type_2_NT_Loop0_TestCase10, NO, 1755)
(FSE_Bitvector_Mode_Misusing_Variable_Type_2_NT_Loop0_TestCase9, NO, 1769)
(FSE_Bitvector_Mode_Misusing_Variable_Type_2_NT_Loop0_TestCase8, NO, 1799)
(FSE_Bitvector_Mode_Misusing_Variable_Type_2_NT_Loop0_TestCase6, NO, 1744)
(FSE_Bitvector_Mode_Misusing_Variable_Type_2_NT_Loop0_TestCase7, NO, 1810)
(FSE_Bitvector_Mode_Misusing_Variable_Type_2_NT_Loop0_TestCase5, YES, 1813)
(FSE_Bitvector_Mode_Misusing_Variable_Type_2_NT_Loop0_TestCase4, YES, 1872)
(FSE_Bitvector_Mode_Misusing_Variable_Type_2_NT_Loop0_TestCase1, YES, 1793)
(FSE_Bitvector_Mode_Misusing_Variable_Type_2_NT_Loop0_TestCase3, YES, 1845)
(FSE_Bitvector_Mode_Misusing_Variable_Type_2_NT_Loop0_TestCase2, YES, 1771)</v>
      </c>
      <c r="Z58" s="142" t="str">
        <v>correct</v>
      </c>
      <c r="AA58" s="80">
        <v>1</v>
      </c>
      <c r="AB58" s="1" t="str">
        <v>5/5</v>
      </c>
      <c r="AC58" s="80">
        <v>1</v>
      </c>
      <c r="AD58" s="1" t="str">
        <v>5/5</v>
      </c>
      <c r="AE58" s="143">
        <v>1</v>
      </c>
      <c r="AF58" s="1" t="str">
        <v>10/10</v>
      </c>
      <c r="AG58" s="142">
        <v>17971</v>
      </c>
      <c r="AH58" s="150">
        <v>1797.1</v>
      </c>
      <c r="AI58" s="142">
        <v>1796</v>
      </c>
      <c r="AJ58" s="14" t="str" cm="1">
        <f t="array" ref="AJ58:AT58">_xlfn.LET(
  _xlpm.program_isNT, RIGHT(Athena_BV!B58,5)="_NT.c",
  _xlpm.program_isT,  RIGHT(Athena_BV!B58,4)="_T.c",
  _xlpm.bv_isCorrect, LOWER(Athena_BV!AK58)="correct",
  _xlpm.ma_isCorrect, LOWER(Athena_MA!AK58)="correct",
  _xlpm.mi_isCorrect, LOWER(Athena_MI!AK58)="correct",
  _xlpm.bv_column, IF(_xlpm.program_isNT, Athena_BV!AN58, IF(_xlpm.program_isT, Athena_BV!AL58, "")),
  _xlpm.ma_column, IF(_xlpm.program_isNT, Athena_MA!AN58, IF(_xlpm.program_isT, Athena_MA!AL58, "")),
  _xlpm.mi_column, IF(_xlpm.program_isNT, Athena_MI!AN58, IF(_xlpm.program_isT, Athena_MI!AL58,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Athena_BV!AJ58:AT58,
    Athena_MA!AJ58:AT58,
    Athena_MI!AJ58:AT58
  )
)</f>
        <v>(FSE_Bitvector_Mode_Misusing_Variable_Type_2_NT_Loop24_TestCase8, NO, 1798)
(FSE_Bitvector_Mode_Misusing_Variable_Type_2_NT_Loop24_TestCase9, NO, 1747)
(FSE_Bitvector_Mode_Misusing_Variable_Type_2_NT_Loop24_TestCase7, NO, 1769)
(FSE_Bitvector_Mode_Misusing_Variable_Type_2_NT_Loop24_TestCase6, NO, 1819)
(FSE_Bitvector_Mode_Misusing_Variable_Type_2_NT_Loop24_TestCase4, YES, 2076)
(FSE_Bitvector_Mode_Misusing_Variable_Type_2_NT_Loop24_TestCase5, YES, 1882)
(FSE_Bitvector_Mode_Misusing_Variable_Type_2_NT_Loop24_TestCase1, YES, 2248)
(FSE_Bitvector_Mode_Misusing_Variable_Type_2_NT_Loop24_TestCase2, YES, 1789)
(FSE_Bitvector_Mode_Misusing_Variable_Type_2_NT_Loop24_TestCase3, YES, 1781)
(FSE_Bitvector_Mode_Misusing_Variable_Type_2_NT_Loop24_TestCase10, NO, 1885)</v>
      </c>
      <c r="AK58" s="142" t="str">
        <v>correct</v>
      </c>
      <c r="AL58" s="80">
        <v>1</v>
      </c>
      <c r="AM58" s="1" t="str">
        <v>5/5</v>
      </c>
      <c r="AN58" s="80">
        <v>1</v>
      </c>
      <c r="AO58" s="1" t="str">
        <v>5/5</v>
      </c>
      <c r="AP58" s="143">
        <v>1</v>
      </c>
      <c r="AQ58" s="1" t="str">
        <v>10/10</v>
      </c>
      <c r="AR58" s="142">
        <v>18794</v>
      </c>
      <c r="AS58" s="150">
        <v>1879.4</v>
      </c>
      <c r="AT58" s="142">
        <v>1808.5</v>
      </c>
      <c r="AU58" s="4" t="s">
        <v>102</v>
      </c>
    </row>
    <row r="59" spans="1:47" x14ac:dyDescent="0.2">
      <c r="A59" s="174"/>
      <c r="B59" s="9" t="s">
        <v>65</v>
      </c>
      <c r="C59" s="14" t="str" cm="1">
        <f t="array" ref="C59:M59">_xlfn.LET(
  _xlpm.program_isNT, RIGHT(Athena_BV!B59,5)="_NT.c",
  _xlpm.program_isT,  RIGHT(Athena_BV!B59,4)="_T.c",
  _xlpm.bv_isCorrect, LOWER(Athena_BV!D59)="correct",
  _xlpm.ma_isCorrect, LOWER(Athena_MA!D59)="correct",
  _xlpm.mi_isCorrect, LOWER(Athena_MI!D59)="correct",
  _xlpm.bv_column, IF(_xlpm.program_isNT, Athena_BV!G59, IF(_xlpm.program_isT, Athena_BV!E59, "")),
  _xlpm.ma_column, IF(_xlpm.program_isNT, Athena_MA!G59, IF(_xlpm.program_isT, Athena_MA!E59, "")),
  _xlpm.mi_column, IF(_xlpm.program_isNT, Athena_MI!G59, IF(_xlpm.program_isT, Athena_MI!E59,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Athena_BV!C59:M59,
    Athena_MA!C59:M59,
    Athena_MI!C59:M59
  )
)</f>
        <v>(FSE_Bitvector_Mode_Misusing_Variable_Type_2_T_Loop0_TestCase0, YES, 1919)</v>
      </c>
      <c r="D59" s="142" t="str">
        <v>correct</v>
      </c>
      <c r="E59" s="80">
        <v>1</v>
      </c>
      <c r="F59" s="1" t="str">
        <v>1/1</v>
      </c>
      <c r="G59" s="80" t="str">
        <v/>
      </c>
      <c r="H59" s="1" t="str">
        <v/>
      </c>
      <c r="I59" s="143">
        <v>1</v>
      </c>
      <c r="J59" s="1" t="str">
        <v>1/1</v>
      </c>
      <c r="K59" s="142">
        <v>1919</v>
      </c>
      <c r="L59" s="1">
        <v>1919</v>
      </c>
      <c r="M59" s="140">
        <v>1919</v>
      </c>
      <c r="N59" s="14" t="str" cm="1">
        <f t="array" ref="N59:X59">_xlfn.LET(
  _xlpm.program_isNT, RIGHT(Athena_BV!B59,5)="_NT.c",
  _xlpm.program_isT,  RIGHT(Athena_BV!B59,4)="_T.c",
  _xlpm.bv_isCorrect, LOWER(Athena_BV!O59)="correct",
  _xlpm.ma_isCorrect, LOWER(Athena_MA!O59)="correct",
  _xlpm.mi_isCorrect, LOWER(Athena_MI!O59)="correct",
  _xlpm.bv_column, IF(_xlpm.program_isNT, Athena_BV!R59, IF(_xlpm.program_isT, Athena_BV!P59, "")),
  _xlpm.ma_column, IF(_xlpm.program_isNT, Athena_MA!R59, IF(_xlpm.program_isT, Athena_MA!P59, "")),
  _xlpm.mi_column, IF(_xlpm.program_isNT, Athena_MI!R59, IF(_xlpm.program_isT, Athena_MI!P59,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Athena_BV!N59:X59,
    Athena_MA!N59:X59,
    Athena_MI!N59:X59
  )
)</f>
        <v>(FSE_Bitvector_Mode_Misusing_Variable_Type_2_T_Loop23_TestCase0, YES, 1904)</v>
      </c>
      <c r="O59" s="142" t="str">
        <v>correct</v>
      </c>
      <c r="P59" s="80">
        <v>1</v>
      </c>
      <c r="Q59" s="1" t="str">
        <v>1/1</v>
      </c>
      <c r="R59" s="80" t="str">
        <v/>
      </c>
      <c r="S59" s="149" t="str">
        <v/>
      </c>
      <c r="T59" s="80">
        <v>1</v>
      </c>
      <c r="U59" s="1" t="str">
        <v>1/1</v>
      </c>
      <c r="V59" s="142">
        <v>1904</v>
      </c>
      <c r="W59" s="150">
        <v>1904</v>
      </c>
      <c r="X59" s="142">
        <v>1904</v>
      </c>
      <c r="Y59" s="14" t="str" cm="1">
        <f t="array" ref="Y59:AI59">_xlfn.LET(
  _xlpm.program_isNT, RIGHT(Athena_BV!B59,5)="_NT.c",
  _xlpm.program_isT,  RIGHT(Athena_BV!B59,4)="_T.c",
  _xlpm.bv_isCorrect, LOWER(Athena_BV!Z59)="correct",
  _xlpm.ma_isCorrect, LOWER(Athena_MA!Z59)="correct",
  _xlpm.mi_isCorrect, LOWER(Athena_MI!Z59)="correct",
  _xlpm.bv_column, IF(_xlpm.program_isNT, Athena_BV!AC59, IF(_xlpm.program_isT, Athena_BV!AA59, "")),
  _xlpm.ma_column, IF(_xlpm.program_isNT, Athena_MA!AC59, IF(_xlpm.program_isT, Athena_MA!AA59, "")),
  _xlpm.mi_column, IF(_xlpm.program_isNT, Athena_MI!AC59, IF(_xlpm.program_isT, Athena_MI!AA59,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Athena_BV!Y59:AI59,
    Athena_MA!Y59:AI59,
    Athena_MI!Y59:AI59
  )
)</f>
        <v>(FSE_Bitvector_Mode_Misusing_Variable_Type_2_T_Loop0_TestCase10, YES, 1816)
(FSE_Bitvector_Mode_Misusing_Variable_Type_2_T_Loop0_TestCase9, YES, 1875)
(FSE_Bitvector_Mode_Misusing_Variable_Type_2_T_Loop0_TestCase8, YES, 1823)
(FSE_Bitvector_Mode_Misusing_Variable_Type_2_T_Loop0_TestCase3, YES, 1864)
(FSE_Bitvector_Mode_Misusing_Variable_Type_2_T_Loop0_TestCase2, YES, 1710)
(FSE_Bitvector_Mode_Misusing_Variable_Type_2_T_Loop0_TestCase1, YES, 1707)
(FSE_Bitvector_Mode_Misusing_Variable_Type_2_T_Loop0_TestCase5, YES, 1875)
(FSE_Bitvector_Mode_Misusing_Variable_Type_2_T_Loop0_TestCase4, YES, 1823)
(FSE_Bitvector_Mode_Misusing_Variable_Type_2_T_Loop0_TestCase6, YES, 1843)
(FSE_Bitvector_Mode_Misusing_Variable_Type_2_T_Loop0_TestCase7, YES, 1827)</v>
      </c>
      <c r="Z59" s="142" t="str">
        <v>correct</v>
      </c>
      <c r="AA59" s="80">
        <v>1</v>
      </c>
      <c r="AB59" s="1" t="str">
        <v>10/10</v>
      </c>
      <c r="AC59" s="80" t="str">
        <v/>
      </c>
      <c r="AD59" s="1" t="str">
        <v/>
      </c>
      <c r="AE59" s="143">
        <v>1</v>
      </c>
      <c r="AF59" s="1" t="str">
        <v>10/10</v>
      </c>
      <c r="AG59" s="142">
        <v>18163</v>
      </c>
      <c r="AH59" s="150">
        <v>1816.3</v>
      </c>
      <c r="AI59" s="142">
        <v>1825</v>
      </c>
      <c r="AJ59" s="14" t="str" cm="1">
        <f t="array" ref="AJ59:AT59">_xlfn.LET(
  _xlpm.program_isNT, RIGHT(Athena_BV!B59,5)="_NT.c",
  _xlpm.program_isT,  RIGHT(Athena_BV!B59,4)="_T.c",
  _xlpm.bv_isCorrect, LOWER(Athena_BV!AK59)="correct",
  _xlpm.ma_isCorrect, LOWER(Athena_MA!AK59)="correct",
  _xlpm.mi_isCorrect, LOWER(Athena_MI!AK59)="correct",
  _xlpm.bv_column, IF(_xlpm.program_isNT, Athena_BV!AN59, IF(_xlpm.program_isT, Athena_BV!AL59, "")),
  _xlpm.ma_column, IF(_xlpm.program_isNT, Athena_MA!AN59, IF(_xlpm.program_isT, Athena_MA!AL59, "")),
  _xlpm.mi_column, IF(_xlpm.program_isNT, Athena_MI!AN59, IF(_xlpm.program_isT, Athena_MI!AL59,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Athena_BV!AJ59:AT59,
    Athena_MA!AJ59:AT59,
    Athena_MI!AJ59:AT59
  )
)</f>
        <v>(FSE_Bitvector_Mode_Misusing_Variable_Type_2_T_Loop23_TestCase9, YES, 4000)
(FSE_Bitvector_Mode_Misusing_Variable_Type_2_T_Loop23_TestCase8, YES, 1853)
(FSE_Bitvector_Mode_Misusing_Variable_Type_2_T_Loop23_TestCase10, YES, 1853)
(FSE_Bitvector_Mode_Misusing_Variable_Type_2_T_Loop23_TestCase3, YES, 1893)
(FSE_Bitvector_Mode_Misusing_Variable_Type_2_T_Loop23_TestCase2, YES, 1943)
(FSE_Bitvector_Mode_Misusing_Variable_Type_2_T_Loop23_TestCase1, YES, 1753)
(FSE_Bitvector_Mode_Misusing_Variable_Type_2_T_Loop23_TestCase5, YES, 1852)
(FSE_Bitvector_Mode_Misusing_Variable_Type_2_T_Loop23_TestCase4, YES, 1854)
(FSE_Bitvector_Mode_Misusing_Variable_Type_2_T_Loop23_TestCase6, YES, 1867)
(FSE_Bitvector_Mode_Misusing_Variable_Type_2_T_Loop23_TestCase7, YES, 1878)</v>
      </c>
      <c r="AK59" s="142" t="str">
        <v>correct</v>
      </c>
      <c r="AL59" s="80">
        <v>1</v>
      </c>
      <c r="AM59" s="1" t="str">
        <v>10/10</v>
      </c>
      <c r="AN59" s="80" t="str">
        <v/>
      </c>
      <c r="AO59" s="1" t="str">
        <v/>
      </c>
      <c r="AP59" s="143">
        <v>1</v>
      </c>
      <c r="AQ59" s="1" t="str">
        <v>10/10</v>
      </c>
      <c r="AR59" s="142">
        <v>20746</v>
      </c>
      <c r="AS59" s="150">
        <v>2074.6</v>
      </c>
      <c r="AT59" s="142">
        <v>1860.5</v>
      </c>
      <c r="AU59" s="4" t="s">
        <v>102</v>
      </c>
    </row>
    <row r="60" spans="1:47" x14ac:dyDescent="0.2">
      <c r="A60" s="174"/>
      <c r="B60" s="9" t="s">
        <v>66</v>
      </c>
      <c r="C60" s="14" t="str" cm="1">
        <f t="array" ref="C60:M60">_xlfn.LET(
  _xlpm.program_isNT, RIGHT(Athena_BV!B60,5)="_NT.c",
  _xlpm.program_isT,  RIGHT(Athena_BV!B60,4)="_T.c",
  _xlpm.bv_isCorrect, LOWER(Athena_BV!D60)="correct",
  _xlpm.ma_isCorrect, LOWER(Athena_MA!D60)="correct",
  _xlpm.mi_isCorrect, LOWER(Athena_MI!D60)="correct",
  _xlpm.bv_column, IF(_xlpm.program_isNT, Athena_BV!G60, IF(_xlpm.program_isT, Athena_BV!E60, "")),
  _xlpm.ma_column, IF(_xlpm.program_isNT, Athena_MA!G60, IF(_xlpm.program_isT, Athena_MA!E60, "")),
  _xlpm.mi_column, IF(_xlpm.program_isNT, Athena_MI!G60, IF(_xlpm.program_isT, Athena_MI!E60,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Athena_BV!C60:M60,
    Athena_MA!C60:M60,
    Athena_MI!C60:M60
  )
)</f>
        <v>(FSE_Bitvector_Mode_Reusing_Same_Loop_Iterator_1_NT_Loop0_TestCase0, NO, 1984)</v>
      </c>
      <c r="D60" s="142" t="str">
        <v>correct</v>
      </c>
      <c r="E60" s="80">
        <v>0</v>
      </c>
      <c r="F60" s="1" t="str">
        <v>0/0</v>
      </c>
      <c r="G60" s="80">
        <v>1</v>
      </c>
      <c r="H60" s="1" t="str">
        <v>1/1</v>
      </c>
      <c r="I60" s="143">
        <v>1</v>
      </c>
      <c r="J60" s="1" t="str">
        <v>1/1</v>
      </c>
      <c r="K60" s="142">
        <v>1984</v>
      </c>
      <c r="L60" s="1">
        <v>1984</v>
      </c>
      <c r="M60" s="140">
        <v>1984</v>
      </c>
      <c r="N60" s="14" t="str" cm="1">
        <f t="array" ref="N60:X60">_xlfn.LET(
  _xlpm.program_isNT, RIGHT(Athena_BV!B60,5)="_NT.c",
  _xlpm.program_isT,  RIGHT(Athena_BV!B60,4)="_T.c",
  _xlpm.bv_isCorrect, LOWER(Athena_BV!O60)="correct",
  _xlpm.ma_isCorrect, LOWER(Athena_MA!O60)="correct",
  _xlpm.mi_isCorrect, LOWER(Athena_MI!O60)="correct",
  _xlpm.bv_column, IF(_xlpm.program_isNT, Athena_BV!R60, IF(_xlpm.program_isT, Athena_BV!P60, "")),
  _xlpm.ma_column, IF(_xlpm.program_isNT, Athena_MA!R60, IF(_xlpm.program_isT, Athena_MA!P60, "")),
  _xlpm.mi_column, IF(_xlpm.program_isNT, Athena_MI!R60, IF(_xlpm.program_isT, Athena_MI!P60,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Athena_BV!N60:X60,
    Athena_MA!N60:X60,
    Athena_MI!N60:X60
  )
)</f>
        <v>(FSE_Bitvector_Mode_Reusing_Same_Loop_Iterator_1_NT_Loop17_TestCase0, NO, 1879)
(FSE_Bitvector_Mode_Reusing_Same_Loop_Iterator_1_NT_Loop19_TestCase0, NO, 1927)</v>
      </c>
      <c r="O60" s="142" t="str">
        <v>correct</v>
      </c>
      <c r="P60" s="80">
        <v>0</v>
      </c>
      <c r="Q60" s="1" t="str">
        <v>0/0</v>
      </c>
      <c r="R60" s="80">
        <v>1</v>
      </c>
      <c r="S60" s="149" t="str">
        <v>2/2</v>
      </c>
      <c r="T60" s="80">
        <v>1</v>
      </c>
      <c r="U60" s="1" t="str">
        <v>2/2</v>
      </c>
      <c r="V60" s="142">
        <v>3806</v>
      </c>
      <c r="W60" s="150">
        <v>1903</v>
      </c>
      <c r="X60" s="142">
        <v>1903</v>
      </c>
      <c r="Y60" s="14" t="str" cm="1">
        <f t="array" ref="Y60:AI60">_xlfn.LET(
  _xlpm.program_isNT, RIGHT(Athena_BV!B60,5)="_NT.c",
  _xlpm.program_isT,  RIGHT(Athena_BV!B60,4)="_T.c",
  _xlpm.bv_isCorrect, LOWER(Athena_BV!Z60)="correct",
  _xlpm.ma_isCorrect, LOWER(Athena_MA!Z60)="correct",
  _xlpm.mi_isCorrect, LOWER(Athena_MI!Z60)="correct",
  _xlpm.bv_column, IF(_xlpm.program_isNT, Athena_BV!AC60, IF(_xlpm.program_isT, Athena_BV!AA60, "")),
  _xlpm.ma_column, IF(_xlpm.program_isNT, Athena_MA!AC60, IF(_xlpm.program_isT, Athena_MA!AA60, "")),
  _xlpm.mi_column, IF(_xlpm.program_isNT, Athena_MI!AC60, IF(_xlpm.program_isT, Athena_MI!AA60,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Athena_BV!Y60:AI60,
    Athena_MA!Y60:AI60,
    Athena_MI!Y60:AI60
  )
)</f>
        <v>(FSE_Bitvector_Mode_Reusing_Same_Loop_Iterator_1_NT_Loop0_TestCase4, YES, 1752)
(FSE_Bitvector_Mode_Reusing_Same_Loop_Iterator_1_NT_Loop0_TestCase5, YES, 1768)
(FSE_Bitvector_Mode_Reusing_Same_Loop_Iterator_1_NT_Loop0_TestCase7, NO, 1998)
(FSE_Bitvector_Mode_Reusing_Same_Loop_Iterator_1_NT_Loop0_TestCase6, NO, 3224)
(FSE_Bitvector_Mode_Reusing_Same_Loop_Iterator_1_NT_Loop0_TestCase2, YES, 1741)
(FSE_Bitvector_Mode_Reusing_Same_Loop_Iterator_1_NT_Loop0_TestCase3, YES, 1699)
(FSE_Bitvector_Mode_Reusing_Same_Loop_Iterator_1_NT_Loop0_TestCase1, YES, 1706)
(FSE_Bitvector_Mode_Reusing_Same_Loop_Iterator_1_NT_Loop0_TestCase10, NO, 2044)
(FSE_Bitvector_Mode_Reusing_Same_Loop_Iterator_1_NT_Loop0_TestCase8, NO, 1732)
(FSE_Bitvector_Mode_Reusing_Same_Loop_Iterator_1_NT_Loop0_TestCase9, NO, 1722)</v>
      </c>
      <c r="Z60" s="142" t="str">
        <v>correct</v>
      </c>
      <c r="AA60" s="80">
        <v>1</v>
      </c>
      <c r="AB60" s="1" t="str">
        <v>5/5</v>
      </c>
      <c r="AC60" s="80">
        <v>1</v>
      </c>
      <c r="AD60" s="1" t="str">
        <v>5/5</v>
      </c>
      <c r="AE60" s="143">
        <v>1</v>
      </c>
      <c r="AF60" s="1" t="str">
        <v>10/10</v>
      </c>
      <c r="AG60" s="142">
        <v>19386</v>
      </c>
      <c r="AH60" s="150">
        <v>1938.6</v>
      </c>
      <c r="AI60" s="142">
        <v>1746.5</v>
      </c>
      <c r="AJ60" s="14" t="str" cm="1">
        <f t="array" ref="AJ60:AT60">_xlfn.LET(
  _xlpm.program_isNT, RIGHT(Athena_BV!B60,5)="_NT.c",
  _xlpm.program_isT,  RIGHT(Athena_BV!B60,4)="_T.c",
  _xlpm.bv_isCorrect, LOWER(Athena_BV!AK60)="correct",
  _xlpm.ma_isCorrect, LOWER(Athena_MA!AK60)="correct",
  _xlpm.mi_isCorrect, LOWER(Athena_MI!AK60)="correct",
  _xlpm.bv_column, IF(_xlpm.program_isNT, Athena_BV!AN60, IF(_xlpm.program_isT, Athena_BV!AL60, "")),
  _xlpm.ma_column, IF(_xlpm.program_isNT, Athena_MA!AN60, IF(_xlpm.program_isT, Athena_MA!AL60, "")),
  _xlpm.mi_column, IF(_xlpm.program_isNT, Athena_MI!AN60, IF(_xlpm.program_isT, Athena_MI!AL60,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Athena_BV!AJ60:AT60,
    Athena_MA!AJ60:AT60,
    Athena_MI!AJ60:AT60
  )
)</f>
        <v>(FSE_Bitvector_Mode_Reusing_Same_Loop_Iterator_1_NT_Loop17_TestCase3, YES, 1697)
(FSE_Bitvector_Mode_Reusing_Same_Loop_Iterator_1_NT_Loop17_TestCase10, NO, 2058)
(FSE_Bitvector_Mode_Reusing_Same_Loop_Iterator_1_NT_Loop17_TestCase2, YES, 1747)
(FSE_Bitvector_Mode_Reusing_Same_Loop_Iterator_1_NT_Loop17_TestCase1, YES, 1738)
(FSE_Bitvector_Mode_Reusing_Same_Loop_Iterator_1_NT_Loop17_TestCase5, YES, 2259)
(FSE_Bitvector_Mode_Reusing_Same_Loop_Iterator_1_NT_Loop19_TestCase10, NO, 2164)
(FSE_Bitvector_Mode_Reusing_Same_Loop_Iterator_1_NT_Loop17_TestCase4, YES, 1958)
(FSE_Bitvector_Mode_Reusing_Same_Loop_Iterator_1_NT_Loop17_TestCase6, NO, 3258)
(FSE_Bitvector_Mode_Reusing_Same_Loop_Iterator_1_NT_Loop17_TestCase7, NO, 2028)
(FSE_Bitvector_Mode_Reusing_Same_Loop_Iterator_1_NT_Loop19_TestCase6, NO, 3492)
(FSE_Bitvector_Mode_Reusing_Same_Loop_Iterator_1_NT_Loop19_TestCase7, NO, 2048)
(FSE_Bitvector_Mode_Reusing_Same_Loop_Iterator_1_NT_Loop19_TestCase5, YES, 1838)
(FSE_Bitvector_Mode_Reusing_Same_Loop_Iterator_1_NT_Loop19_TestCase4, YES, 1737)
(FSE_Bitvector_Mode_Reusing_Same_Loop_Iterator_1_NT_Loop19_TestCase1, YES, 1747)
(FSE_Bitvector_Mode_Reusing_Same_Loop_Iterator_1_NT_Loop19_TestCase3, YES, 1734)
(FSE_Bitvector_Mode_Reusing_Same_Loop_Iterator_1_NT_Loop19_TestCase2, YES, 2419)
(FSE_Bitvector_Mode_Reusing_Same_Loop_Iterator_1_NT_Loop19_TestCase9, NO, 1725)
(FSE_Bitvector_Mode_Reusing_Same_Loop_Iterator_1_NT_Loop19_TestCase8, NO, 1795)
(FSE_Bitvector_Mode_Reusing_Same_Loop_Iterator_1_NT_Loop17_TestCase9, NO, 1713)
(FSE_Bitvector_Mode_Reusing_Same_Loop_Iterator_1_NT_Loop17_TestCase8, NO, 1729)</v>
      </c>
      <c r="AK60" s="142" t="str">
        <v>correct</v>
      </c>
      <c r="AL60" s="80">
        <v>1</v>
      </c>
      <c r="AM60" s="1" t="str">
        <v>10/10</v>
      </c>
      <c r="AN60" s="80">
        <v>1</v>
      </c>
      <c r="AO60" s="1" t="str">
        <v>10/10</v>
      </c>
      <c r="AP60" s="143">
        <v>1</v>
      </c>
      <c r="AQ60" s="1" t="str">
        <v>20/20</v>
      </c>
      <c r="AR60" s="142">
        <v>40884</v>
      </c>
      <c r="AS60" s="150">
        <v>2044.2</v>
      </c>
      <c r="AT60" s="142">
        <v>1816.5</v>
      </c>
    </row>
    <row r="61" spans="1:47" x14ac:dyDescent="0.2">
      <c r="A61" s="174"/>
      <c r="B61" s="9" t="s">
        <v>67</v>
      </c>
      <c r="C61" s="14" t="str" cm="1">
        <f t="array" ref="C61:M61">_xlfn.LET(
  _xlpm.program_isNT, RIGHT(Athena_BV!B61,5)="_NT.c",
  _xlpm.program_isT,  RIGHT(Athena_BV!B61,4)="_T.c",
  _xlpm.bv_isCorrect, LOWER(Athena_BV!D61)="correct",
  _xlpm.ma_isCorrect, LOWER(Athena_MA!D61)="correct",
  _xlpm.mi_isCorrect, LOWER(Athena_MI!D61)="correct",
  _xlpm.bv_column, IF(_xlpm.program_isNT, Athena_BV!G61, IF(_xlpm.program_isT, Athena_BV!E61, "")),
  _xlpm.ma_column, IF(_xlpm.program_isNT, Athena_MA!G61, IF(_xlpm.program_isT, Athena_MA!E61, "")),
  _xlpm.mi_column, IF(_xlpm.program_isNT, Athena_MI!G61, IF(_xlpm.program_isT, Athena_MI!E61,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Athena_BV!C61:M61,
    Athena_MA!C61:M61,
    Athena_MI!C61:M61
  )
)</f>
        <v>(FSE_Bitvector_Mode_Reusing_Same_Loop_Iterator_1_T_Loop0_TestCase0, YES, 108992)</v>
      </c>
      <c r="D61" s="142" t="str">
        <v>correct</v>
      </c>
      <c r="E61" s="80">
        <v>1</v>
      </c>
      <c r="F61" s="1" t="str">
        <v>1/1</v>
      </c>
      <c r="G61" s="80" t="str">
        <v/>
      </c>
      <c r="H61" s="1" t="str">
        <v/>
      </c>
      <c r="I61" s="143">
        <v>1</v>
      </c>
      <c r="J61" s="1" t="str">
        <v>1/1</v>
      </c>
      <c r="K61" s="142">
        <v>108992</v>
      </c>
      <c r="L61" s="1">
        <v>108992</v>
      </c>
      <c r="M61" s="140">
        <v>108992</v>
      </c>
      <c r="N61" s="14" t="str" cm="1">
        <f t="array" ref="N61:X61">_xlfn.LET(
  _xlpm.program_isNT, RIGHT(Athena_BV!B61,5)="_NT.c",
  _xlpm.program_isT,  RIGHT(Athena_BV!B61,4)="_T.c",
  _xlpm.bv_isCorrect, LOWER(Athena_BV!O61)="correct",
  _xlpm.ma_isCorrect, LOWER(Athena_MA!O61)="correct",
  _xlpm.mi_isCorrect, LOWER(Athena_MI!O61)="correct",
  _xlpm.bv_column, IF(_xlpm.program_isNT, Athena_BV!R61, IF(_xlpm.program_isT, Athena_BV!P61, "")),
  _xlpm.ma_column, IF(_xlpm.program_isNT, Athena_MA!R61, IF(_xlpm.program_isT, Athena_MA!P61, "")),
  _xlpm.mi_column, IF(_xlpm.program_isNT, Athena_MI!R61, IF(_xlpm.program_isT, Athena_MI!P61,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Athena_BV!N61:X61,
    Athena_MA!N61:X61,
    Athena_MI!N61:X61
  )
)</f>
        <v>(FSE_Bitvector_Mode_Reusing_Same_Loop_Iterator_1_T_Loop17_TestCase0, YES, 1868)
(FSE_Bitvector_Mode_Reusing_Same_Loop_Iterator_1_T_Loop19_TestCase0, YES, 27566)</v>
      </c>
      <c r="O61" s="142" t="str">
        <v>correct</v>
      </c>
      <c r="P61" s="80">
        <v>1</v>
      </c>
      <c r="Q61" s="1" t="str">
        <v>2/2</v>
      </c>
      <c r="R61" s="80" t="str">
        <v/>
      </c>
      <c r="S61" s="149" t="str">
        <v/>
      </c>
      <c r="T61" s="80">
        <v>1</v>
      </c>
      <c r="U61" s="1" t="str">
        <v>2/2</v>
      </c>
      <c r="V61" s="142">
        <v>29434</v>
      </c>
      <c r="W61" s="150">
        <v>14717</v>
      </c>
      <c r="X61" s="142">
        <v>14717</v>
      </c>
      <c r="Y61" s="14" t="str" cm="1">
        <f t="array" ref="Y61:AI61">_xlfn.LET(
  _xlpm.program_isNT, RIGHT(Athena_BV!B61,5)="_NT.c",
  _xlpm.program_isT,  RIGHT(Athena_BV!B61,4)="_T.c",
  _xlpm.bv_isCorrect, LOWER(Athena_BV!Z61)="correct",
  _xlpm.ma_isCorrect, LOWER(Athena_MA!Z61)="correct",
  _xlpm.mi_isCorrect, LOWER(Athena_MI!Z61)="correct",
  _xlpm.bv_column, IF(_xlpm.program_isNT, Athena_BV!AC61, IF(_xlpm.program_isT, Athena_BV!AA61, "")),
  _xlpm.ma_column, IF(_xlpm.program_isNT, Athena_MA!AC61, IF(_xlpm.program_isT, Athena_MA!AA61, "")),
  _xlpm.mi_column, IF(_xlpm.program_isNT, Athena_MI!AC61, IF(_xlpm.program_isT, Athena_MI!AA61,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Athena_BV!Y61:AI61,
    Athena_MA!Y61:AI61,
    Athena_MI!Y61:AI61
  )
)</f>
        <v>(FSE_Modulo_Arithmetic_Mode_Reusing_Same_Loop_Iterator_1_T_Loop0_TestCase8, YES, 6228)
(FSE_Modulo_Arithmetic_Mode_Reusing_Same_Loop_Iterator_1_T_Loop0_TestCase9, YES, 6014)
(FSE_Modulo_Arithmetic_Mode_Reusing_Same_Loop_Iterator_1_T_Loop0_TestCase10, YES, 6507)
(FSE_Modulo_Arithmetic_Mode_Reusing_Same_Loop_Iterator_1_T_Loop0_TestCase2, YES, 6895)
(FSE_Modulo_Arithmetic_Mode_Reusing_Same_Loop_Iterator_1_T_Loop0_TestCase3, YES, 1721)
(FSE_Modulo_Arithmetic_Mode_Reusing_Same_Loop_Iterator_1_T_Loop0_TestCase1, YES, 5854)
(FSE_Modulo_Arithmetic_Mode_Reusing_Same_Loop_Iterator_1_T_Loop0_TestCase4, YES, 1748)
(FSE_Modulo_Arithmetic_Mode_Reusing_Same_Loop_Iterator_1_T_Loop0_TestCase5, YES, 6398)
(FSE_Modulo_Arithmetic_Mode_Reusing_Same_Loop_Iterator_1_T_Loop0_TestCase7, YES, 6580)
(FSE_Modulo_Arithmetic_Mode_Reusing_Same_Loop_Iterator_1_T_Loop0_TestCase6, YES, 6586)</v>
      </c>
      <c r="Z61" s="142" t="str">
        <v>correct</v>
      </c>
      <c r="AA61" s="80">
        <v>1</v>
      </c>
      <c r="AB61" s="1" t="str">
        <v>10/10</v>
      </c>
      <c r="AC61" s="80" t="str">
        <v/>
      </c>
      <c r="AD61" s="1" t="str">
        <v/>
      </c>
      <c r="AE61" s="143">
        <v>1</v>
      </c>
      <c r="AF61" s="1" t="str">
        <v>10/10</v>
      </c>
      <c r="AG61" s="142">
        <v>54531</v>
      </c>
      <c r="AH61" s="150">
        <v>5453.1</v>
      </c>
      <c r="AI61" s="142">
        <v>6313</v>
      </c>
      <c r="AJ61" s="14" t="str" cm="1">
        <f t="array" ref="AJ61:AT61">_xlfn.LET(
  _xlpm.program_isNT, RIGHT(Athena_BV!B61,5)="_NT.c",
  _xlpm.program_isT,  RIGHT(Athena_BV!B61,4)="_T.c",
  _xlpm.bv_isCorrect, LOWER(Athena_BV!AK61)="correct",
  _xlpm.ma_isCorrect, LOWER(Athena_MA!AK61)="correct",
  _xlpm.mi_isCorrect, LOWER(Athena_MI!AK61)="correct",
  _xlpm.bv_column, IF(_xlpm.program_isNT, Athena_BV!AN61, IF(_xlpm.program_isT, Athena_BV!AL61, "")),
  _xlpm.ma_column, IF(_xlpm.program_isNT, Athena_MA!AN61, IF(_xlpm.program_isT, Athena_MA!AL61, "")),
  _xlpm.mi_column, IF(_xlpm.program_isNT, Athena_MI!AN61, IF(_xlpm.program_isT, Athena_MI!AL61,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Athena_BV!AJ61:AT61,
    Athena_MA!AJ61:AT61,
    Athena_MI!AJ61:AT61
  )
)</f>
        <v>(FSE_Bitvector_Mode_Reusing_Same_Loop_Iterator_1_T_Loop17_TestCase1, YES, 1723)
(FSE_Bitvector_Mode_Reusing_Same_Loop_Iterator_1_T_Loop17_TestCase2, YES, 1793)
(FSE_Bitvector_Mode_Reusing_Same_Loop_Iterator_1_T_Loop17_TestCase3, YES, 1746)
(FSE_Bitvector_Mode_Reusing_Same_Loop_Iterator_1_T_Loop17_TestCase7, YES, 1708)
(FSE_Bitvector_Mode_Reusing_Same_Loop_Iterator_1_T_Loop17_TestCase6, YES, 1791)
(FSE_Bitvector_Mode_Reusing_Same_Loop_Iterator_1_T_Loop17_TestCase4, YES, 1737)
(FSE_Bitvector_Mode_Reusing_Same_Loop_Iterator_1_T_Loop17_TestCase5, YES, 1742)
(FSE_Bitvector_Mode_Reusing_Same_Loop_Iterator_1_T_Loop17_TestCase10, YES, 1713)
(FSE_Bitvector_Mode_Reusing_Same_Loop_Iterator_1_T_Loop19_TestCase4, YES, 1713)
(FSE_Bitvector_Mode_Reusing_Same_Loop_Iterator_1_T_Loop19_TestCase5, YES, 8596)
(FSE_Bitvector_Mode_Reusing_Same_Loop_Iterator_1_T_Loop19_TestCase7, YES, 7471)
(FSE_Bitvector_Mode_Reusing_Same_Loop_Iterator_1_T_Loop19_TestCase6, YES, 3459)
(FSE_Bitvector_Mode_Reusing_Same_Loop_Iterator_1_T_Loop19_TestCase10, YES, 7712)
(FSE_Bitvector_Mode_Reusing_Same_Loop_Iterator_1_T_Loop19_TestCase2, YES, 5694)
(FSE_Bitvector_Mode_Reusing_Same_Loop_Iterator_1_T_Loop19_TestCase3, YES, 1715)
(FSE_Bitvector_Mode_Reusing_Same_Loop_Iterator_1_T_Loop19_TestCase1, YES, 1989)
(FSE_Bitvector_Mode_Reusing_Same_Loop_Iterator_1_T_Loop19_TestCase8, YES, 7225)
(FSE_Bitvector_Mode_Reusing_Same_Loop_Iterator_1_T_Loop19_TestCase9, YES, 1848)
(FSE_Bitvector_Mode_Reusing_Same_Loop_Iterator_1_T_Loop17_TestCase8, YES, 1747)
(FSE_Bitvector_Mode_Reusing_Same_Loop_Iterator_1_T_Loop17_TestCase9, YES, 1721)</v>
      </c>
      <c r="AK61" s="142" t="str">
        <v>correct</v>
      </c>
      <c r="AL61" s="80">
        <v>1</v>
      </c>
      <c r="AM61" s="1" t="str">
        <v>20/20</v>
      </c>
      <c r="AN61" s="80" t="str">
        <v/>
      </c>
      <c r="AO61" s="1" t="str">
        <v/>
      </c>
      <c r="AP61" s="143">
        <v>1</v>
      </c>
      <c r="AQ61" s="1" t="str">
        <v>20/20</v>
      </c>
      <c r="AR61" s="142">
        <v>64843</v>
      </c>
      <c r="AS61" s="150">
        <v>3242.15</v>
      </c>
      <c r="AT61" s="142">
        <v>1769</v>
      </c>
    </row>
    <row r="62" spans="1:47" x14ac:dyDescent="0.2">
      <c r="A62" s="174"/>
      <c r="B62" s="9" t="s">
        <v>68</v>
      </c>
      <c r="C62" s="14" t="str" cm="1">
        <f t="array" ref="C62:M62">_xlfn.LET(
  _xlpm.program_isNT, RIGHT(Athena_BV!B62,5)="_NT.c",
  _xlpm.program_isT,  RIGHT(Athena_BV!B62,4)="_T.c",
  _xlpm.bv_isCorrect, LOWER(Athena_BV!D62)="correct",
  _xlpm.ma_isCorrect, LOWER(Athena_MA!D62)="correct",
  _xlpm.mi_isCorrect, LOWER(Athena_MI!D62)="correct",
  _xlpm.bv_column, IF(_xlpm.program_isNT, Athena_BV!G62, IF(_xlpm.program_isT, Athena_BV!E62, "")),
  _xlpm.ma_column, IF(_xlpm.program_isNT, Athena_MA!G62, IF(_xlpm.program_isT, Athena_MA!E62, "")),
  _xlpm.mi_column, IF(_xlpm.program_isNT, Athena_MI!G62, IF(_xlpm.program_isT, Athena_MI!E62,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Athena_BV!C62:M62,
    Athena_MA!C62:M62,
    Athena_MI!C62:M62
  )
)</f>
        <v>(FSE_Bitvector_Mode_Reusing_Same_Loop_Iterator_2_NT_Loop0_TestCase0, NO, 2193)</v>
      </c>
      <c r="D62" s="142" t="str">
        <v>correct</v>
      </c>
      <c r="E62" s="80">
        <v>0</v>
      </c>
      <c r="F62" s="1" t="str">
        <v>0/0</v>
      </c>
      <c r="G62" s="80">
        <v>1</v>
      </c>
      <c r="H62" s="1" t="str">
        <v>1/1</v>
      </c>
      <c r="I62" s="143">
        <v>1</v>
      </c>
      <c r="J62" s="1" t="str">
        <v>1/1</v>
      </c>
      <c r="K62" s="142">
        <v>2193</v>
      </c>
      <c r="L62" s="1">
        <v>2193</v>
      </c>
      <c r="M62" s="140">
        <v>2193</v>
      </c>
      <c r="N62" s="14" t="str" cm="1">
        <f t="array" ref="N62:X62">_xlfn.LET(
  _xlpm.program_isNT, RIGHT(Athena_BV!B62,5)="_NT.c",
  _xlpm.program_isT,  RIGHT(Athena_BV!B62,4)="_T.c",
  _xlpm.bv_isCorrect, LOWER(Athena_BV!O62)="correct",
  _xlpm.ma_isCorrect, LOWER(Athena_MA!O62)="correct",
  _xlpm.mi_isCorrect, LOWER(Athena_MI!O62)="correct",
  _xlpm.bv_column, IF(_xlpm.program_isNT, Athena_BV!R62, IF(_xlpm.program_isT, Athena_BV!P62, "")),
  _xlpm.ma_column, IF(_xlpm.program_isNT, Athena_MA!R62, IF(_xlpm.program_isT, Athena_MA!P62, "")),
  _xlpm.mi_column, IF(_xlpm.program_isNT, Athena_MI!R62, IF(_xlpm.program_isT, Athena_MI!P62,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Athena_BV!N62:X62,
    Athena_MA!N62:X62,
    Athena_MI!N62:X62
  )
)</f>
        <v>(FSE_Bitvector_Mode_Reusing_Same_Loop_Iterator_2_NT_Loop16_TestCase0, NO, 2166)
(FSE_Bitvector_Mode_Reusing_Same_Loop_Iterator_2_NT_Loop18_TestCase0, NO, 2090)</v>
      </c>
      <c r="O62" s="142" t="str">
        <v>correct</v>
      </c>
      <c r="P62" s="80">
        <v>0</v>
      </c>
      <c r="Q62" s="1" t="str">
        <v>0/0</v>
      </c>
      <c r="R62" s="80">
        <v>1</v>
      </c>
      <c r="S62" s="149" t="str">
        <v>2/2</v>
      </c>
      <c r="T62" s="80">
        <v>1</v>
      </c>
      <c r="U62" s="1" t="str">
        <v>2/2</v>
      </c>
      <c r="V62" s="142">
        <v>4256</v>
      </c>
      <c r="W62" s="150">
        <v>2128</v>
      </c>
      <c r="X62" s="142">
        <v>2128</v>
      </c>
      <c r="Y62" s="14" t="str" cm="1">
        <f t="array" ref="Y62:AI62">_xlfn.LET(
  _xlpm.program_isNT, RIGHT(Athena_BV!B62,5)="_NT.c",
  _xlpm.program_isT,  RIGHT(Athena_BV!B62,4)="_T.c",
  _xlpm.bv_isCorrect, LOWER(Athena_BV!Z62)="correct",
  _xlpm.ma_isCorrect, LOWER(Athena_MA!Z62)="correct",
  _xlpm.mi_isCorrect, LOWER(Athena_MI!Z62)="correct",
  _xlpm.bv_column, IF(_xlpm.program_isNT, Athena_BV!AC62, IF(_xlpm.program_isT, Athena_BV!AA62, "")),
  _xlpm.ma_column, IF(_xlpm.program_isNT, Athena_MA!AC62, IF(_xlpm.program_isT, Athena_MA!AA62, "")),
  _xlpm.mi_column, IF(_xlpm.program_isNT, Athena_MI!AC62, IF(_xlpm.program_isT, Athena_MI!AA62,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Athena_BV!Y62:AI62,
    Athena_MA!Y62:AI62,
    Athena_MI!Y62:AI62
  )
)</f>
        <v>(FSE_Bitvector_Mode_Reusing_Same_Loop_Iterator_2_NT_Loop0_TestCase1, YES, 1713)
(FSE_Bitvector_Mode_Reusing_Same_Loop_Iterator_2_NT_Loop0_TestCase2, YES, 1697)
(FSE_Bitvector_Mode_Reusing_Same_Loop_Iterator_2_NT_Loop0_TestCase3, YES, 1688)
(FSE_Bitvector_Mode_Reusing_Same_Loop_Iterator_2_NT_Loop0_TestCase7, NO, 2621)
(FSE_Bitvector_Mode_Reusing_Same_Loop_Iterator_2_NT_Loop0_TestCase6, NO, 2001)
(FSE_Bitvector_Mode_Reusing_Same_Loop_Iterator_2_NT_Loop0_TestCase4, YES, 1699)
(FSE_Bitvector_Mode_Reusing_Same_Loop_Iterator_2_NT_Loop0_TestCase5, YES, 1701)
(FSE_Bitvector_Mode_Reusing_Same_Loop_Iterator_2_NT_Loop0_TestCase8, NO, 2950)
(FSE_Bitvector_Mode_Reusing_Same_Loop_Iterator_2_NT_Loop0_TestCase9, NO, 1698)
(FSE_Bitvector_Mode_Reusing_Same_Loop_Iterator_2_NT_Loop0_TestCase10, NO, 2937)</v>
      </c>
      <c r="Z62" s="142" t="str">
        <v>correct</v>
      </c>
      <c r="AA62" s="80">
        <v>1</v>
      </c>
      <c r="AB62" s="1" t="str">
        <v>5/5</v>
      </c>
      <c r="AC62" s="80">
        <v>1</v>
      </c>
      <c r="AD62" s="1" t="str">
        <v>3/3</v>
      </c>
      <c r="AE62" s="143">
        <v>0.8</v>
      </c>
      <c r="AF62" s="1" t="str">
        <v>8/10</v>
      </c>
      <c r="AG62" s="142">
        <v>16083</v>
      </c>
      <c r="AH62" s="150">
        <v>2010.38</v>
      </c>
      <c r="AI62" s="142">
        <v>1700</v>
      </c>
      <c r="AJ62" s="14" t="str" cm="1">
        <f t="array" ref="AJ62:AT62">_xlfn.LET(
  _xlpm.program_isNT, RIGHT(Athena_BV!B62,5)="_NT.c",
  _xlpm.program_isT,  RIGHT(Athena_BV!B62,4)="_T.c",
  _xlpm.bv_isCorrect, LOWER(Athena_BV!AK62)="correct",
  _xlpm.ma_isCorrect, LOWER(Athena_MA!AK62)="correct",
  _xlpm.mi_isCorrect, LOWER(Athena_MI!AK62)="correct",
  _xlpm.bv_column, IF(_xlpm.program_isNT, Athena_BV!AN62, IF(_xlpm.program_isT, Athena_BV!AL62, "")),
  _xlpm.ma_column, IF(_xlpm.program_isNT, Athena_MA!AN62, IF(_xlpm.program_isT, Athena_MA!AL62, "")),
  _xlpm.mi_column, IF(_xlpm.program_isNT, Athena_MI!AN62, IF(_xlpm.program_isT, Athena_MI!AL62,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Athena_BV!AJ62:AT62,
    Athena_MA!AJ62:AT62,
    Athena_MI!AJ62:AT62
  )
)</f>
        <v>(FSE_Bitvector_Mode_Reusing_Same_Loop_Iterator_2_NT_Loop18_TestCase8, NO, 2940)
(FSE_Bitvector_Mode_Reusing_Same_Loop_Iterator_2_NT_Loop18_TestCase9, NO, 1745)
(FSE_Bitvector_Mode_Reusing_Same_Loop_Iterator_2_NT_Loop16_TestCase8, NO, 3029)
(FSE_Bitvector_Mode_Reusing_Same_Loop_Iterator_2_NT_Loop16_TestCase9, NO, 1702)
(FSE_Bitvector_Mode_Reusing_Same_Loop_Iterator_2_NT_Loop16_TestCase1, YES, 1726)
(FSE_Bitvector_Mode_Reusing_Same_Loop_Iterator_2_NT_Loop16_TestCase10, NO, 3048)
(FSE_Bitvector_Mode_Reusing_Same_Loop_Iterator_2_NT_Loop16_TestCase2, YES, 2774)
(FSE_Bitvector_Mode_Reusing_Same_Loop_Iterator_2_NT_Loop16_TestCase3, YES, 1711)
(FSE_Bitvector_Mode_Reusing_Same_Loop_Iterator_2_NT_Loop16_TestCase7, NO, 2845)
(FSE_Bitvector_Mode_Reusing_Same_Loop_Iterator_2_NT_Loop18_TestCase10, NO, 2865)
(FSE_Bitvector_Mode_Reusing_Same_Loop_Iterator_2_NT_Loop16_TestCase6, NO, 2131)
(FSE_Bitvector_Mode_Reusing_Same_Loop_Iterator_2_NT_Loop16_TestCase4, YES, 1803)
(FSE_Bitvector_Mode_Reusing_Same_Loop_Iterator_2_NT_Loop16_TestCase5, YES, 1743)
(FSE_Bitvector_Mode_Reusing_Same_Loop_Iterator_2_NT_Loop18_TestCase4, YES, 1754)
(FSE_Bitvector_Mode_Reusing_Same_Loop_Iterator_2_NT_Loop18_TestCase5, YES, 2261)
(FSE_Bitvector_Mode_Reusing_Same_Loop_Iterator_2_NT_Loop18_TestCase7, NO, 2554)
(FSE_Bitvector_Mode_Reusing_Same_Loop_Iterator_2_NT_Loop18_TestCase6, NO, 2079)
(FSE_Bitvector_Mode_Reusing_Same_Loop_Iterator_2_NT_Loop18_TestCase2, YES, 1784)
(FSE_Bitvector_Mode_Reusing_Same_Loop_Iterator_2_NT_Loop18_TestCase3, YES, 1724)
(FSE_Bitvector_Mode_Reusing_Same_Loop_Iterator_2_NT_Loop18_TestCase1, YES, 1711)</v>
      </c>
      <c r="AK62" s="142" t="str">
        <v>correct</v>
      </c>
      <c r="AL62" s="80">
        <v>1</v>
      </c>
      <c r="AM62" s="1" t="str">
        <v>10/10</v>
      </c>
      <c r="AN62" s="80">
        <v>1</v>
      </c>
      <c r="AO62" s="1" t="str">
        <v>10/10</v>
      </c>
      <c r="AP62" s="143">
        <v>1</v>
      </c>
      <c r="AQ62" s="1" t="str">
        <v>20/20</v>
      </c>
      <c r="AR62" s="142">
        <v>43929</v>
      </c>
      <c r="AS62" s="150">
        <v>2196.4499999999998</v>
      </c>
      <c r="AT62" s="142">
        <v>1941</v>
      </c>
    </row>
    <row r="63" spans="1:47" x14ac:dyDescent="0.2">
      <c r="A63" s="174"/>
      <c r="B63" s="9" t="s">
        <v>69</v>
      </c>
      <c r="C63" s="14" t="str" cm="1">
        <f t="array" ref="C63:M63">_xlfn.LET(
  _xlpm.program_isNT, RIGHT(Athena_BV!B63,5)="_NT.c",
  _xlpm.program_isT,  RIGHT(Athena_BV!B63,4)="_T.c",
  _xlpm.bv_isCorrect, LOWER(Athena_BV!D63)="correct",
  _xlpm.ma_isCorrect, LOWER(Athena_MA!D63)="correct",
  _xlpm.mi_isCorrect, LOWER(Athena_MI!D63)="correct",
  _xlpm.bv_column, IF(_xlpm.program_isNT, Athena_BV!G63, IF(_xlpm.program_isT, Athena_BV!E63, "")),
  _xlpm.ma_column, IF(_xlpm.program_isNT, Athena_MA!G63, IF(_xlpm.program_isT, Athena_MA!E63, "")),
  _xlpm.mi_column, IF(_xlpm.program_isNT, Athena_MI!G63, IF(_xlpm.program_isT, Athena_MI!E63,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Athena_BV!C63:M63,
    Athena_MA!C63:M63,
    Athena_MI!C63:M63
  )
)</f>
        <v>(FSE_Bitvector_Mode_Reusing_Same_Loop_Iterator_2_T_Loop0_TestCase0, YES, 27037)</v>
      </c>
      <c r="D63" s="142" t="str">
        <v>correct</v>
      </c>
      <c r="E63" s="80">
        <v>1</v>
      </c>
      <c r="F63" s="1" t="str">
        <v>1/1</v>
      </c>
      <c r="G63" s="80" t="str">
        <v/>
      </c>
      <c r="H63" s="1" t="str">
        <v/>
      </c>
      <c r="I63" s="143">
        <v>1</v>
      </c>
      <c r="J63" s="1" t="str">
        <v>1/1</v>
      </c>
      <c r="K63" s="142">
        <v>27037</v>
      </c>
      <c r="L63" s="1">
        <v>27037</v>
      </c>
      <c r="M63" s="140">
        <v>27037</v>
      </c>
      <c r="N63" s="14" t="str" cm="1">
        <f t="array" ref="N63:X63">_xlfn.LET(
  _xlpm.program_isNT, RIGHT(Athena_BV!B63,5)="_NT.c",
  _xlpm.program_isT,  RIGHT(Athena_BV!B63,4)="_T.c",
  _xlpm.bv_isCorrect, LOWER(Athena_BV!O63)="correct",
  _xlpm.ma_isCorrect, LOWER(Athena_MA!O63)="correct",
  _xlpm.mi_isCorrect, LOWER(Athena_MI!O63)="correct",
  _xlpm.bv_column, IF(_xlpm.program_isNT, Athena_BV!R63, IF(_xlpm.program_isT, Athena_BV!P63, "")),
  _xlpm.ma_column, IF(_xlpm.program_isNT, Athena_MA!R63, IF(_xlpm.program_isT, Athena_MA!P63, "")),
  _xlpm.mi_column, IF(_xlpm.program_isNT, Athena_MI!R63, IF(_xlpm.program_isT, Athena_MI!P63,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Athena_BV!N63:X63,
    Athena_MA!N63:X63,
    Athena_MI!N63:X63
  )
)</f>
        <v>(FSE_Bitvector_Mode_Reusing_Same_Loop_Iterator_2_T_Loop17_TestCase0, YES, 1850)
(FSE_Bitvector_Mode_Reusing_Same_Loop_Iterator_2_T_Loop20_TestCase0, YES, 34274)</v>
      </c>
      <c r="O63" s="142" t="str">
        <v>correct</v>
      </c>
      <c r="P63" s="80">
        <v>1</v>
      </c>
      <c r="Q63" s="1" t="str">
        <v>2/2</v>
      </c>
      <c r="R63" s="80" t="str">
        <v/>
      </c>
      <c r="S63" s="149" t="str">
        <v/>
      </c>
      <c r="T63" s="80">
        <v>1</v>
      </c>
      <c r="U63" s="1" t="str">
        <v>2/2</v>
      </c>
      <c r="V63" s="142">
        <v>36124</v>
      </c>
      <c r="W63" s="150">
        <v>18062</v>
      </c>
      <c r="X63" s="142">
        <v>18062</v>
      </c>
      <c r="Y63" s="14" t="str" cm="1">
        <f t="array" ref="Y63:AI63">_xlfn.LET(
  _xlpm.program_isNT, RIGHT(Athena_BV!B63,5)="_NT.c",
  _xlpm.program_isT,  RIGHT(Athena_BV!B63,4)="_T.c",
  _xlpm.bv_isCorrect, LOWER(Athena_BV!Z63)="correct",
  _xlpm.ma_isCorrect, LOWER(Athena_MA!Z63)="correct",
  _xlpm.mi_isCorrect, LOWER(Athena_MI!Z63)="correct",
  _xlpm.bv_column, IF(_xlpm.program_isNT, Athena_BV!AC63, IF(_xlpm.program_isT, Athena_BV!AA63, "")),
  _xlpm.ma_column, IF(_xlpm.program_isNT, Athena_MA!AC63, IF(_xlpm.program_isT, Athena_MA!AA63, "")),
  _xlpm.mi_column, IF(_xlpm.program_isNT, Athena_MI!AC63, IF(_xlpm.program_isT, Athena_MI!AA63,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Athena_BV!Y63:AI63,
    Athena_MA!Y63:AI63,
    Athena_MI!Y63:AI63
  )
)</f>
        <v>(FSE_Bitvector_Mode_Reusing_Same_Loop_Iterator_2_T_Loop0_TestCase8, YES, 4518)
(FSE_Bitvector_Mode_Reusing_Same_Loop_Iterator_2_T_Loop0_TestCase9, YES, 5669)
(FSE_Bitvector_Mode_Reusing_Same_Loop_Iterator_2_T_Loop0_TestCase7, YES, 4612)
(FSE_Bitvector_Mode_Reusing_Same_Loop_Iterator_2_T_Loop0_TestCase6, YES, 4763)
(FSE_Bitvector_Mode_Reusing_Same_Loop_Iterator_2_T_Loop0_TestCase4, YES, 1675)
(FSE_Bitvector_Mode_Reusing_Same_Loop_Iterator_2_T_Loop0_TestCase5, YES, 1708)
(FSE_Bitvector_Mode_Reusing_Same_Loop_Iterator_2_T_Loop0_TestCase1, YES, 1710)
(FSE_Bitvector_Mode_Reusing_Same_Loop_Iterator_2_T_Loop0_TestCase10, YES, 6812)
(FSE_Bitvector_Mode_Reusing_Same_Loop_Iterator_2_T_Loop0_TestCase2, YES, 1729)
(FSE_Bitvector_Mode_Reusing_Same_Loop_Iterator_2_T_Loop0_TestCase3, YES, 1693)</v>
      </c>
      <c r="Z63" s="142" t="str">
        <v>correct</v>
      </c>
      <c r="AA63" s="80">
        <v>1</v>
      </c>
      <c r="AB63" s="1" t="str">
        <v>10/10</v>
      </c>
      <c r="AC63" s="80" t="str">
        <v/>
      </c>
      <c r="AD63" s="1" t="str">
        <v/>
      </c>
      <c r="AE63" s="143">
        <v>1</v>
      </c>
      <c r="AF63" s="1" t="str">
        <v>10/10</v>
      </c>
      <c r="AG63" s="142">
        <v>34889</v>
      </c>
      <c r="AH63" s="150">
        <v>3488.9</v>
      </c>
      <c r="AI63" s="142">
        <v>3123.5</v>
      </c>
      <c r="AJ63" s="14" t="str" cm="1">
        <f t="array" ref="AJ63:AT63">_xlfn.LET(
  _xlpm.program_isNT, RIGHT(Athena_BV!B63,5)="_NT.c",
  _xlpm.program_isT,  RIGHT(Athena_BV!B63,4)="_T.c",
  _xlpm.bv_isCorrect, LOWER(Athena_BV!AK63)="correct",
  _xlpm.ma_isCorrect, LOWER(Athena_MA!AK63)="correct",
  _xlpm.mi_isCorrect, LOWER(Athena_MI!AK63)="correct",
  _xlpm.bv_column, IF(_xlpm.program_isNT, Athena_BV!AN63, IF(_xlpm.program_isT, Athena_BV!AL63, "")),
  _xlpm.ma_column, IF(_xlpm.program_isNT, Athena_MA!AN63, IF(_xlpm.program_isT, Athena_MA!AL63, "")),
  _xlpm.mi_column, IF(_xlpm.program_isNT, Athena_MI!AN63, IF(_xlpm.program_isT, Athena_MI!AL63,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Athena_BV!AJ63:AT63,
    Athena_MA!AJ63:AT63,
    Athena_MI!AJ63:AT63
  )
)</f>
        <v>(FSE_Bitvector_Mode_Reusing_Same_Loop_Iterator_2_T_Loop17_TestCase4, YES, 2127)
(FSE_Bitvector_Mode_Reusing_Same_Loop_Iterator_2_T_Loop17_TestCase5, YES, 4171)
(FSE_Bitvector_Mode_Reusing_Same_Loop_Iterator_2_T_Loop17_TestCase7, YES, 1710)
(FSE_Bitvector_Mode_Reusing_Same_Loop_Iterator_2_T_Loop17_TestCase6, YES, 1708)
(FSE_Bitvector_Mode_Reusing_Same_Loop_Iterator_2_T_Loop17_TestCase2, YES, 1723)
(FSE_Bitvector_Mode_Reusing_Same_Loop_Iterator_2_T_Loop17_TestCase3, YES, 1740)
(FSE_Bitvector_Mode_Reusing_Same_Loop_Iterator_2_T_Loop17_TestCase1, YES, 1754)
(FSE_Bitvector_Mode_Reusing_Same_Loop_Iterator_2_T_Loop17_TestCase10, YES, 1748)
(FSE_Bitvector_Mode_Reusing_Same_Loop_Iterator_2_T_Loop20_TestCase1, YES, 1710)
(FSE_Bitvector_Mode_Reusing_Same_Loop_Iterator_2_T_Loop20_TestCase2, YES, 1701)
(FSE_Bitvector_Mode_Reusing_Same_Loop_Iterator_2_T_Loop20_TestCase3, YES, 1729)
(FSE_Bitvector_Mode_Reusing_Same_Loop_Iterator_2_T_Loop20_TestCase7, YES, 3662)
(FSE_Bitvector_Mode_Reusing_Same_Loop_Iterator_2_T_Loop20_TestCase6, YES, 3906)
(FSE_Bitvector_Mode_Reusing_Same_Loop_Iterator_2_T_Loop20_TestCase4, YES, 1752)
(FSE_Bitvector_Mode_Reusing_Same_Loop_Iterator_2_T_Loop20_TestCase5, YES, 1749)
(FSE_Bitvector_Mode_Reusing_Same_Loop_Iterator_2_T_Loop20_TestCase8, YES, 4360)
(FSE_Bitvector_Mode_Reusing_Same_Loop_Iterator_2_T_Loop20_TestCase9, YES, 4072)
(FSE_Bitvector_Mode_Reusing_Same_Loop_Iterator_2_T_Loop20_TestCase10, YES, 5175)
(FSE_Bitvector_Mode_Reusing_Same_Loop_Iterator_2_T_Loop17_TestCase8, YES, 1710)
(FSE_Bitvector_Mode_Reusing_Same_Loop_Iterator_2_T_Loop17_TestCase9, YES, 1723)</v>
      </c>
      <c r="AK63" s="142" t="str">
        <v>correct</v>
      </c>
      <c r="AL63" s="80">
        <v>1</v>
      </c>
      <c r="AM63" s="1" t="str">
        <v>20/20</v>
      </c>
      <c r="AN63" s="80" t="str">
        <v/>
      </c>
      <c r="AO63" s="1" t="str">
        <v/>
      </c>
      <c r="AP63" s="143">
        <v>1</v>
      </c>
      <c r="AQ63" s="1" t="str">
        <v>20/20</v>
      </c>
      <c r="AR63" s="142">
        <v>49930</v>
      </c>
      <c r="AS63" s="150">
        <v>2496.5</v>
      </c>
      <c r="AT63" s="142">
        <v>1748.5</v>
      </c>
    </row>
    <row r="64" spans="1:47" x14ac:dyDescent="0.2">
      <c r="A64" s="174"/>
      <c r="B64" s="9" t="s">
        <v>3973</v>
      </c>
      <c r="C64" s="14" t="str" cm="1">
        <f t="array" ref="C64:M64">_xlfn.LET(
  _xlpm.program_isNT, RIGHT(Athena_BV!B64,5)="_NT.c",
  _xlpm.program_isT,  RIGHT(Athena_BV!B64,4)="_T.c",
  _xlpm.bv_isCorrect, LOWER(Athena_BV!D64)="correct",
  _xlpm.ma_isCorrect, LOWER(Athena_MA!D64)="correct",
  _xlpm.mi_isCorrect, LOWER(Athena_MI!D64)="correct",
  _xlpm.bv_column, IF(_xlpm.program_isNT, Athena_BV!G64, IF(_xlpm.program_isT, Athena_BV!E64, "")),
  _xlpm.ma_column, IF(_xlpm.program_isNT, Athena_MA!G64, IF(_xlpm.program_isT, Athena_MA!E64, "")),
  _xlpm.mi_column, IF(_xlpm.program_isNT, Athena_MI!G64, IF(_xlpm.program_isT, Athena_MI!E64,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Athena_BV!C64:M64,
    Athena_MA!C64:M64,
    Athena_MI!C64:M64
  )
)</f>
        <v>(FSE_Bitvector_Mode_Signed_Overflow_Error_1_NT_Loop0_TestCase0, YES, 2251)</v>
      </c>
      <c r="D64" s="142" t="str">
        <v>correct</v>
      </c>
      <c r="E64" s="80">
        <v>1</v>
      </c>
      <c r="F64" s="1" t="str">
        <v>1/1</v>
      </c>
      <c r="G64" s="80" t="str">
        <v/>
      </c>
      <c r="H64" s="1" t="str">
        <v/>
      </c>
      <c r="I64" s="143">
        <v>1</v>
      </c>
      <c r="J64" s="1" t="str">
        <v>1/1</v>
      </c>
      <c r="K64" s="142">
        <v>2251</v>
      </c>
      <c r="L64" s="1">
        <v>2251</v>
      </c>
      <c r="M64" s="140">
        <v>2251</v>
      </c>
      <c r="N64" s="14" t="str" cm="1">
        <f t="array" ref="N64:X64">_xlfn.LET(
  _xlpm.program_isNT, RIGHT(Athena_BV!B64,5)="_NT.c",
  _xlpm.program_isT,  RIGHT(Athena_BV!B64,4)="_T.c",
  _xlpm.bv_isCorrect, LOWER(Athena_BV!O64)="correct",
  _xlpm.ma_isCorrect, LOWER(Athena_MA!O64)="correct",
  _xlpm.mi_isCorrect, LOWER(Athena_MI!O64)="correct",
  _xlpm.bv_column, IF(_xlpm.program_isNT, Athena_BV!R64, IF(_xlpm.program_isT, Athena_BV!P64, "")),
  _xlpm.ma_column, IF(_xlpm.program_isNT, Athena_MA!R64, IF(_xlpm.program_isT, Athena_MA!P64, "")),
  _xlpm.mi_column, IF(_xlpm.program_isNT, Athena_MI!R64, IF(_xlpm.program_isT, Athena_MI!P64,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Athena_BV!N64:X64,
    Athena_MA!N64:X64,
    Athena_MI!N64:X64
  )
)</f>
        <v>(FSE_Bitvector_Mode_Signed_Overflow_Error_1_NT_Loop13_TestCase0, YES, 2401)</v>
      </c>
      <c r="O64" s="142" t="str">
        <v>correct</v>
      </c>
      <c r="P64" s="80">
        <v>1</v>
      </c>
      <c r="Q64" s="1" t="str">
        <v>1/1</v>
      </c>
      <c r="R64" s="80" t="str">
        <v/>
      </c>
      <c r="S64" s="149" t="str">
        <v/>
      </c>
      <c r="T64" s="80">
        <v>1</v>
      </c>
      <c r="U64" s="1" t="str">
        <v>1/1</v>
      </c>
      <c r="V64" s="142">
        <v>2401</v>
      </c>
      <c r="W64" s="150">
        <v>2401</v>
      </c>
      <c r="X64" s="142">
        <v>2401</v>
      </c>
      <c r="Y64" s="14" t="str" cm="1">
        <f t="array" ref="Y64:AI64">_xlfn.LET(
  _xlpm.program_isNT, RIGHT(Athena_BV!B64,5)="_NT.c",
  _xlpm.program_isT,  RIGHT(Athena_BV!B64,4)="_T.c",
  _xlpm.bv_isCorrect, LOWER(Athena_BV!Z64)="correct",
  _xlpm.ma_isCorrect, LOWER(Athena_MA!Z64)="correct",
  _xlpm.mi_isCorrect, LOWER(Athena_MI!Z64)="correct",
  _xlpm.bv_column, IF(_xlpm.program_isNT, Athena_BV!AC64, IF(_xlpm.program_isT, Athena_BV!AA64, "")),
  _xlpm.ma_column, IF(_xlpm.program_isNT, Athena_MA!AC64, IF(_xlpm.program_isT, Athena_MA!AA64, "")),
  _xlpm.mi_column, IF(_xlpm.program_isNT, Athena_MI!AC64, IF(_xlpm.program_isT, Athena_MI!AA64,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Athena_BV!Y64:AI64,
    Athena_MA!Y64:AI64,
    Athena_MI!Y64:AI64
  )
)</f>
        <v>(FSE_Bitvector_Mode_Signed_Overflow_Error_1_NT_Loop0_TestCase0, YES, 2205)</v>
      </c>
      <c r="Z64" s="142" t="str">
        <v>correct</v>
      </c>
      <c r="AA64" s="80">
        <v>1</v>
      </c>
      <c r="AB64" s="1" t="str">
        <v>1/1</v>
      </c>
      <c r="AC64" s="80" t="str">
        <v/>
      </c>
      <c r="AD64" s="1" t="str">
        <v/>
      </c>
      <c r="AE64" s="143">
        <v>1</v>
      </c>
      <c r="AF64" s="1" t="str">
        <v>1/1</v>
      </c>
      <c r="AG64" s="142">
        <v>2205</v>
      </c>
      <c r="AH64" s="150">
        <v>2205</v>
      </c>
      <c r="AI64" s="142">
        <v>2205</v>
      </c>
      <c r="AJ64" s="14" t="str" cm="1">
        <f t="array" ref="AJ64:AT64">_xlfn.LET(
  _xlpm.program_isNT, RIGHT(Athena_BV!B64,5)="_NT.c",
  _xlpm.program_isT,  RIGHT(Athena_BV!B64,4)="_T.c",
  _xlpm.bv_isCorrect, LOWER(Athena_BV!AK64)="correct",
  _xlpm.ma_isCorrect, LOWER(Athena_MA!AK64)="correct",
  _xlpm.mi_isCorrect, LOWER(Athena_MI!AK64)="correct",
  _xlpm.bv_column, IF(_xlpm.program_isNT, Athena_BV!AN64, IF(_xlpm.program_isT, Athena_BV!AL64, "")),
  _xlpm.ma_column, IF(_xlpm.program_isNT, Athena_MA!AN64, IF(_xlpm.program_isT, Athena_MA!AL64, "")),
  _xlpm.mi_column, IF(_xlpm.program_isNT, Athena_MI!AN64, IF(_xlpm.program_isT, Athena_MI!AL64,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Athena_BV!AJ64:AT64,
    Athena_MA!AJ64:AT64,
    Athena_MI!AJ64:AT64
  )
)</f>
        <v>(FSE_Bitvector_Mode_Signed_Overflow_Error_1_NT_Loop13_TestCase0, YES, 2540)</v>
      </c>
      <c r="AK64" s="142" t="str">
        <v>correct</v>
      </c>
      <c r="AL64" s="80">
        <v>1</v>
      </c>
      <c r="AM64" s="1" t="str">
        <v>1/1</v>
      </c>
      <c r="AN64" s="80" t="str">
        <v/>
      </c>
      <c r="AO64" s="1" t="str">
        <v/>
      </c>
      <c r="AP64" s="143">
        <v>1</v>
      </c>
      <c r="AQ64" s="1" t="str">
        <v>1/1</v>
      </c>
      <c r="AR64" s="142">
        <v>2540</v>
      </c>
      <c r="AS64" s="150">
        <v>2540</v>
      </c>
      <c r="AT64" s="142">
        <v>2540</v>
      </c>
      <c r="AU64" s="4" t="s">
        <v>103</v>
      </c>
    </row>
    <row r="65" spans="1:47" x14ac:dyDescent="0.2">
      <c r="A65" s="174"/>
      <c r="B65" s="9" t="s">
        <v>3968</v>
      </c>
      <c r="C65" s="14" t="str" cm="1">
        <f t="array" ref="C65:M65">_xlfn.LET(
  _xlpm.program_isNT, RIGHT(Athena_BV!B65,5)="_NT.c",
  _xlpm.program_isT,  RIGHT(Athena_BV!B65,4)="_T.c",
  _xlpm.bv_isCorrect, LOWER(Athena_BV!D65)="correct",
  _xlpm.ma_isCorrect, LOWER(Athena_MA!D65)="correct",
  _xlpm.mi_isCorrect, LOWER(Athena_MI!D65)="correct",
  _xlpm.bv_column, IF(_xlpm.program_isNT, Athena_BV!G65, IF(_xlpm.program_isT, Athena_BV!E65, "")),
  _xlpm.ma_column, IF(_xlpm.program_isNT, Athena_MA!G65, IF(_xlpm.program_isT, Athena_MA!E65, "")),
  _xlpm.mi_column, IF(_xlpm.program_isNT, Athena_MI!G65, IF(_xlpm.program_isT, Athena_MI!E65,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Athena_BV!C65:M65,
    Athena_MA!C65:M65,
    Athena_MI!C65:M65
  )
)</f>
        <v>(FSE_Bitvector_Mode_Signed_Overflow_Error_1_T_Loop0_TestCase0, YES, 2257)</v>
      </c>
      <c r="D65" s="142" t="str">
        <v>correct</v>
      </c>
      <c r="E65" s="80">
        <v>1</v>
      </c>
      <c r="F65" s="1" t="str">
        <v>1/1</v>
      </c>
      <c r="G65" s="80" t="str">
        <v/>
      </c>
      <c r="H65" s="1" t="str">
        <v/>
      </c>
      <c r="I65" s="143">
        <v>1</v>
      </c>
      <c r="J65" s="1" t="str">
        <v>1/1</v>
      </c>
      <c r="K65" s="142">
        <v>2257</v>
      </c>
      <c r="L65" s="1">
        <v>2257</v>
      </c>
      <c r="M65" s="140">
        <v>2257</v>
      </c>
      <c r="N65" s="14" t="str" cm="1">
        <f t="array" ref="N65:X65">_xlfn.LET(
  _xlpm.program_isNT, RIGHT(Athena_BV!B65,5)="_NT.c",
  _xlpm.program_isT,  RIGHT(Athena_BV!B65,4)="_T.c",
  _xlpm.bv_isCorrect, LOWER(Athena_BV!O65)="correct",
  _xlpm.ma_isCorrect, LOWER(Athena_MA!O65)="correct",
  _xlpm.mi_isCorrect, LOWER(Athena_MI!O65)="correct",
  _xlpm.bv_column, IF(_xlpm.program_isNT, Athena_BV!R65, IF(_xlpm.program_isT, Athena_BV!P65, "")),
  _xlpm.ma_column, IF(_xlpm.program_isNT, Athena_MA!R65, IF(_xlpm.program_isT, Athena_MA!P65, "")),
  _xlpm.mi_column, IF(_xlpm.program_isNT, Athena_MI!R65, IF(_xlpm.program_isT, Athena_MI!P65,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Athena_BV!N65:X65,
    Athena_MA!N65:X65,
    Athena_MI!N65:X65
  )
)</f>
        <v>(FSE_Bitvector_Mode_Signed_Overflow_Error_1_T_Loop14_TestCase0, YES, 2215)</v>
      </c>
      <c r="O65" s="142" t="str">
        <v>correct</v>
      </c>
      <c r="P65" s="80">
        <v>1</v>
      </c>
      <c r="Q65" s="1" t="str">
        <v>1/1</v>
      </c>
      <c r="R65" s="80" t="str">
        <v/>
      </c>
      <c r="S65" s="149" t="str">
        <v/>
      </c>
      <c r="T65" s="80">
        <v>1</v>
      </c>
      <c r="U65" s="1" t="str">
        <v>1/1</v>
      </c>
      <c r="V65" s="142">
        <v>2215</v>
      </c>
      <c r="W65" s="150">
        <v>2215</v>
      </c>
      <c r="X65" s="142">
        <v>2215</v>
      </c>
      <c r="Y65" s="14" t="str" cm="1">
        <f t="array" ref="Y65:AI65">_xlfn.LET(
  _xlpm.program_isNT, RIGHT(Athena_BV!B65,5)="_NT.c",
  _xlpm.program_isT,  RIGHT(Athena_BV!B65,4)="_T.c",
  _xlpm.bv_isCorrect, LOWER(Athena_BV!Z65)="correct",
  _xlpm.ma_isCorrect, LOWER(Athena_MA!Z65)="correct",
  _xlpm.mi_isCorrect, LOWER(Athena_MI!Z65)="correct",
  _xlpm.bv_column, IF(_xlpm.program_isNT, Athena_BV!AC65, IF(_xlpm.program_isT, Athena_BV!AA65, "")),
  _xlpm.ma_column, IF(_xlpm.program_isNT, Athena_MA!AC65, IF(_xlpm.program_isT, Athena_MA!AA65, "")),
  _xlpm.mi_column, IF(_xlpm.program_isNT, Athena_MI!AC65, IF(_xlpm.program_isT, Athena_MI!AA65,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Athena_BV!Y65:AI65,
    Athena_MA!Y65:AI65,
    Athena_MI!Y65:AI65
  )
)</f>
        <v>(FSE_Bitvector_Mode_Signed_Overflow_Error_1_T_Loop0_TestCase0, YES, 2234)</v>
      </c>
      <c r="Z65" s="142" t="str">
        <v>correct</v>
      </c>
      <c r="AA65" s="80">
        <v>1</v>
      </c>
      <c r="AB65" s="1" t="str">
        <v>1/1</v>
      </c>
      <c r="AC65" s="80" t="str">
        <v/>
      </c>
      <c r="AD65" s="1" t="str">
        <v/>
      </c>
      <c r="AE65" s="143">
        <v>1</v>
      </c>
      <c r="AF65" s="1" t="str">
        <v>1/1</v>
      </c>
      <c r="AG65" s="142">
        <v>2234</v>
      </c>
      <c r="AH65" s="150">
        <v>2234</v>
      </c>
      <c r="AI65" s="142">
        <v>2234</v>
      </c>
      <c r="AJ65" s="14" t="str" cm="1">
        <f t="array" ref="AJ65:AT65">_xlfn.LET(
  _xlpm.program_isNT, RIGHT(Athena_BV!B65,5)="_NT.c",
  _xlpm.program_isT,  RIGHT(Athena_BV!B65,4)="_T.c",
  _xlpm.bv_isCorrect, LOWER(Athena_BV!AK65)="correct",
  _xlpm.ma_isCorrect, LOWER(Athena_MA!AK65)="correct",
  _xlpm.mi_isCorrect, LOWER(Athena_MI!AK65)="correct",
  _xlpm.bv_column, IF(_xlpm.program_isNT, Athena_BV!AN65, IF(_xlpm.program_isT, Athena_BV!AL65, "")),
  _xlpm.ma_column, IF(_xlpm.program_isNT, Athena_MA!AN65, IF(_xlpm.program_isT, Athena_MA!AL65, "")),
  _xlpm.mi_column, IF(_xlpm.program_isNT, Athena_MI!AN65, IF(_xlpm.program_isT, Athena_MI!AL65,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Athena_BV!AJ65:AT65,
    Athena_MA!AJ65:AT65,
    Athena_MI!AJ65:AT65
  )
)</f>
        <v>(FSE_Bitvector_Mode_Signed_Overflow_Error_1_T_Loop14_TestCase0, YES, 2282)</v>
      </c>
      <c r="AK65" s="142" t="str">
        <v>correct</v>
      </c>
      <c r="AL65" s="80">
        <v>1</v>
      </c>
      <c r="AM65" s="1" t="str">
        <v>1/1</v>
      </c>
      <c r="AN65" s="80" t="str">
        <v/>
      </c>
      <c r="AO65" s="1" t="str">
        <v/>
      </c>
      <c r="AP65" s="143">
        <v>1</v>
      </c>
      <c r="AQ65" s="1" t="str">
        <v>1/1</v>
      </c>
      <c r="AR65" s="142">
        <v>2282</v>
      </c>
      <c r="AS65" s="150">
        <v>2282</v>
      </c>
      <c r="AT65" s="142">
        <v>2282</v>
      </c>
      <c r="AU65" s="4" t="s">
        <v>103</v>
      </c>
    </row>
    <row r="66" spans="1:47" x14ac:dyDescent="0.2">
      <c r="A66" s="174"/>
      <c r="B66" s="9" t="s">
        <v>3969</v>
      </c>
      <c r="C66" s="14" t="str" cm="1">
        <f t="array" ref="C66:M66">_xlfn.LET(
  _xlpm.program_isNT, RIGHT(Athena_BV!B66,5)="_NT.c",
  _xlpm.program_isT,  RIGHT(Athena_BV!B66,4)="_T.c",
  _xlpm.bv_isCorrect, LOWER(Athena_BV!D66)="correct",
  _xlpm.ma_isCorrect, LOWER(Athena_MA!D66)="correct",
  _xlpm.mi_isCorrect, LOWER(Athena_MI!D66)="correct",
  _xlpm.bv_column, IF(_xlpm.program_isNT, Athena_BV!G66, IF(_xlpm.program_isT, Athena_BV!E66, "")),
  _xlpm.ma_column, IF(_xlpm.program_isNT, Athena_MA!G66, IF(_xlpm.program_isT, Athena_MA!E66, "")),
  _xlpm.mi_column, IF(_xlpm.program_isNT, Athena_MI!G66, IF(_xlpm.program_isT, Athena_MI!E66,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Athena_BV!C66:M66,
    Athena_MA!C66:M66,
    Athena_MI!C66:M66
  )
)</f>
        <v>(FSE_Bitvector_Mode_Signed_Overflow_Error_2_NT_Loop0_TestCase0, NO, 7851)</v>
      </c>
      <c r="D66" s="142" t="str">
        <v>correct</v>
      </c>
      <c r="E66" s="80">
        <v>0</v>
      </c>
      <c r="F66" s="1" t="str">
        <v>0/0</v>
      </c>
      <c r="G66" s="80">
        <v>1</v>
      </c>
      <c r="H66" s="1" t="str">
        <v>1/1</v>
      </c>
      <c r="I66" s="143">
        <v>1</v>
      </c>
      <c r="J66" s="1" t="str">
        <v>1/1</v>
      </c>
      <c r="K66" s="142">
        <v>7851</v>
      </c>
      <c r="L66" s="1">
        <v>7851</v>
      </c>
      <c r="M66" s="140">
        <v>7851</v>
      </c>
      <c r="N66" s="14" t="str" cm="1">
        <f t="array" ref="N66:X66">_xlfn.LET(
  _xlpm.program_isNT, RIGHT(Athena_BV!B66,5)="_NT.c",
  _xlpm.program_isT,  RIGHT(Athena_BV!B66,4)="_T.c",
  _xlpm.bv_isCorrect, LOWER(Athena_BV!O66)="correct",
  _xlpm.ma_isCorrect, LOWER(Athena_MA!O66)="correct",
  _xlpm.mi_isCorrect, LOWER(Athena_MI!O66)="correct",
  _xlpm.bv_column, IF(_xlpm.program_isNT, Athena_BV!R66, IF(_xlpm.program_isT, Athena_BV!P66, "")),
  _xlpm.ma_column, IF(_xlpm.program_isNT, Athena_MA!R66, IF(_xlpm.program_isT, Athena_MA!P66, "")),
  _xlpm.mi_column, IF(_xlpm.program_isNT, Athena_MI!R66, IF(_xlpm.program_isT, Athena_MI!P66,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Athena_BV!N66:X66,
    Athena_MA!N66:X66,
    Athena_MI!N66:X66
  )
)</f>
        <v>(FSE_Bitvector_Mode_Signed_Overflow_Error_2_NT_Loop15_TestCase0, NO, 7054)</v>
      </c>
      <c r="O66" s="142" t="str">
        <v>correct</v>
      </c>
      <c r="P66" s="80">
        <v>0</v>
      </c>
      <c r="Q66" s="1" t="str">
        <v>0/0</v>
      </c>
      <c r="R66" s="80">
        <v>1</v>
      </c>
      <c r="S66" s="149" t="str">
        <v>1/1</v>
      </c>
      <c r="T66" s="80">
        <v>1</v>
      </c>
      <c r="U66" s="1" t="str">
        <v>1/1</v>
      </c>
      <c r="V66" s="142">
        <v>7054</v>
      </c>
      <c r="W66" s="150">
        <v>7054</v>
      </c>
      <c r="X66" s="142">
        <v>7054</v>
      </c>
      <c r="Y66" s="14" t="str" cm="1">
        <f t="array" ref="Y66:AI66">_xlfn.LET(
  _xlpm.program_isNT, RIGHT(Athena_BV!B66,5)="_NT.c",
  _xlpm.program_isT,  RIGHT(Athena_BV!B66,4)="_T.c",
  _xlpm.bv_isCorrect, LOWER(Athena_BV!Z66)="correct",
  _xlpm.ma_isCorrect, LOWER(Athena_MA!Z66)="correct",
  _xlpm.mi_isCorrect, LOWER(Athena_MI!Z66)="correct",
  _xlpm.bv_column, IF(_xlpm.program_isNT, Athena_BV!AC66, IF(_xlpm.program_isT, Athena_BV!AA66, "")),
  _xlpm.ma_column, IF(_xlpm.program_isNT, Athena_MA!AC66, IF(_xlpm.program_isT, Athena_MA!AA66, "")),
  _xlpm.mi_column, IF(_xlpm.program_isNT, Athena_MI!AC66, IF(_xlpm.program_isT, Athena_MI!AA66,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Athena_BV!Y66:AI66,
    Athena_MA!Y66:AI66,
    Athena_MI!Y66:AI66
  )
)</f>
        <v>(FSE_Bitvector_Mode_Signed_Overflow_Error_2_NT_Loop0_TestCase1, YES, 1694)
(FSE_Bitvector_Mode_Signed_Overflow_Error_2_NT_Loop0_TestCase2, YES, 1768)
(FSE_Bitvector_Mode_Signed_Overflow_Error_2_NT_Loop0_TestCase3, YES, 1737)
(FSE_Bitvector_Mode_Signed_Overflow_Error_2_NT_Loop0_TestCase7, TIMEOUT, 301600)
(FSE_Bitvector_Mode_Signed_Overflow_Error_2_NT_Loop0_TestCase6, NO, 1712)
(FSE_Bitvector_Mode_Signed_Overflow_Error_2_NT_Loop0_TestCase4, YES, 2016)
(FSE_Bitvector_Mode_Signed_Overflow_Error_2_NT_Loop0_TestCase5, YES, 1840)
(FSE_Bitvector_Mode_Signed_Overflow_Error_2_NT_Loop0_TestCase10, TIMEOUT, 301592)
(FSE_Bitvector_Mode_Signed_Overflow_Error_2_NT_Loop0_TestCase8, TIMEOUT, 301667)
(FSE_Bitvector_Mode_Signed_Overflow_Error_2_NT_Loop0_TestCase9, TIMEOUT, 301609)</v>
      </c>
      <c r="Z66" s="142" t="str">
        <v>correct</v>
      </c>
      <c r="AA66" s="80">
        <v>1</v>
      </c>
      <c r="AB66" s="1" t="str">
        <v>5/5</v>
      </c>
      <c r="AC66" s="80">
        <v>0.2</v>
      </c>
      <c r="AD66" s="1" t="str">
        <v>1/5</v>
      </c>
      <c r="AE66" s="143">
        <v>0.6</v>
      </c>
      <c r="AF66" s="1" t="str">
        <v>6/10</v>
      </c>
      <c r="AG66" s="142">
        <v>10767</v>
      </c>
      <c r="AH66" s="150">
        <v>1794.5</v>
      </c>
      <c r="AI66" s="142">
        <v>1752.5</v>
      </c>
      <c r="AJ66" s="14" t="str" cm="1">
        <f t="array" ref="AJ66:AT66">_xlfn.LET(
  _xlpm.program_isNT, RIGHT(Athena_BV!B66,5)="_NT.c",
  _xlpm.program_isT,  RIGHT(Athena_BV!B66,4)="_T.c",
  _xlpm.bv_isCorrect, LOWER(Athena_BV!AK66)="correct",
  _xlpm.ma_isCorrect, LOWER(Athena_MA!AK66)="correct",
  _xlpm.mi_isCorrect, LOWER(Athena_MI!AK66)="correct",
  _xlpm.bv_column, IF(_xlpm.program_isNT, Athena_BV!AN66, IF(_xlpm.program_isT, Athena_BV!AL66, "")),
  _xlpm.ma_column, IF(_xlpm.program_isNT, Athena_MA!AN66, IF(_xlpm.program_isT, Athena_MA!AL66, "")),
  _xlpm.mi_column, IF(_xlpm.program_isNT, Athena_MI!AN66, IF(_xlpm.program_isT, Athena_MI!AL66,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Athena_BV!AJ66:AT66,
    Athena_MA!AJ66:AT66,
    Athena_MI!AJ66:AT66
  )
)</f>
        <v>(FSE_Bitvector_Mode_Signed_Overflow_Error_2_NT_Loop15_TestCase4, YES, 1964)
(FSE_Bitvector_Mode_Signed_Overflow_Error_2_NT_Loop15_TestCase5, YES, 1919)
(FSE_Bitvector_Mode_Signed_Overflow_Error_2_NT_Loop15_TestCase7, NO, 100099)
(FSE_Bitvector_Mode_Signed_Overflow_Error_2_NT_Loop15_TestCase6, NO, 1728)
(FSE_Bitvector_Mode_Signed_Overflow_Error_2_NT_Loop15_TestCase2, YES, 1757)
(FSE_Bitvector_Mode_Signed_Overflow_Error_2_NT_Loop15_TestCase3, YES, 1786)
(FSE_Bitvector_Mode_Signed_Overflow_Error_2_NT_Loop15_TestCase1, YES, 1713)
(FSE_Bitvector_Mode_Signed_Overflow_Error_2_NT_Loop15_TestCase10, TIMEOUT, 302228)
(FSE_Bitvector_Mode_Signed_Overflow_Error_2_NT_Loop15_TestCase8, TIMEOUT, 301711)
(FSE_Bitvector_Mode_Signed_Overflow_Error_2_NT_Loop15_TestCase9, TIMEOUT, 301765)</v>
      </c>
      <c r="AK66" s="142" t="str">
        <v>correct</v>
      </c>
      <c r="AL66" s="80">
        <v>1</v>
      </c>
      <c r="AM66" s="1" t="str">
        <v>5/5</v>
      </c>
      <c r="AN66" s="80">
        <v>0.4</v>
      </c>
      <c r="AO66" s="1" t="str">
        <v>2/5</v>
      </c>
      <c r="AP66" s="143">
        <v>0.7</v>
      </c>
      <c r="AQ66" s="1" t="str">
        <v>7/10</v>
      </c>
      <c r="AR66" s="142">
        <v>110966</v>
      </c>
      <c r="AS66" s="150">
        <v>15852.29</v>
      </c>
      <c r="AT66" s="142">
        <v>1786</v>
      </c>
      <c r="AU66" s="4" t="s">
        <v>103</v>
      </c>
    </row>
    <row r="67" spans="1:47" x14ac:dyDescent="0.2">
      <c r="A67" s="174"/>
      <c r="B67" s="9" t="s">
        <v>3970</v>
      </c>
      <c r="C67" s="14" t="str" cm="1">
        <f t="array" ref="C67:M67">_xlfn.LET(
  _xlpm.program_isNT, RIGHT(Athena_BV!B67,5)="_NT.c",
  _xlpm.program_isT,  RIGHT(Athena_BV!B67,4)="_T.c",
  _xlpm.bv_isCorrect, LOWER(Athena_BV!D67)="correct",
  _xlpm.ma_isCorrect, LOWER(Athena_MA!D67)="correct",
  _xlpm.mi_isCorrect, LOWER(Athena_MI!D67)="correct",
  _xlpm.bv_column, IF(_xlpm.program_isNT, Athena_BV!G67, IF(_xlpm.program_isT, Athena_BV!E67, "")),
  _xlpm.ma_column, IF(_xlpm.program_isNT, Athena_MA!G67, IF(_xlpm.program_isT, Athena_MA!E67, "")),
  _xlpm.mi_column, IF(_xlpm.program_isNT, Athena_MI!G67, IF(_xlpm.program_isT, Athena_MI!E67,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Athena_BV!C67:M67,
    Athena_MA!C67:M67,
    Athena_MI!C67:M67
  )
)</f>
        <v>(FSE_Bitvector_Mode_Signed_Overflow_Error_2_T_Loop0_TestCase0, TIMEOUT, 301668)</v>
      </c>
      <c r="D67" s="142" t="str">
        <v>correct</v>
      </c>
      <c r="E67" s="80">
        <v>0</v>
      </c>
      <c r="F67" s="1" t="str">
        <v>0/1</v>
      </c>
      <c r="G67" s="80" t="str">
        <v/>
      </c>
      <c r="H67" s="1" t="str">
        <v/>
      </c>
      <c r="I67" s="143">
        <v>0</v>
      </c>
      <c r="J67" s="1" t="str">
        <v>0/1</v>
      </c>
      <c r="K67" s="142">
        <v>0</v>
      </c>
      <c r="L67" s="1">
        <v>0</v>
      </c>
      <c r="M67" s="140">
        <v>0</v>
      </c>
      <c r="N67" s="14" t="str" cm="1">
        <f t="array" ref="N67:X67">_xlfn.LET(
  _xlpm.program_isNT, RIGHT(Athena_BV!B67,5)="_NT.c",
  _xlpm.program_isT,  RIGHT(Athena_BV!B67,4)="_T.c",
  _xlpm.bv_isCorrect, LOWER(Athena_BV!O67)="correct",
  _xlpm.ma_isCorrect, LOWER(Athena_MA!O67)="correct",
  _xlpm.mi_isCorrect, LOWER(Athena_MI!O67)="correct",
  _xlpm.bv_column, IF(_xlpm.program_isNT, Athena_BV!R67, IF(_xlpm.program_isT, Athena_BV!P67, "")),
  _xlpm.ma_column, IF(_xlpm.program_isNT, Athena_MA!R67, IF(_xlpm.program_isT, Athena_MA!P67, "")),
  _xlpm.mi_column, IF(_xlpm.program_isNT, Athena_MI!R67, IF(_xlpm.program_isT, Athena_MI!P67,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Athena_BV!N67:X67,
    Athena_MA!N67:X67,
    Athena_MI!N67:X67
  )
)</f>
        <v>(FSE_Bitvector_Mode_Signed_Overflow_Error_2_T_Loop14_TestCase0, TIMEOUT, 301647)</v>
      </c>
      <c r="O67" s="142" t="str">
        <v>correct</v>
      </c>
      <c r="P67" s="80">
        <v>0</v>
      </c>
      <c r="Q67" s="1" t="str">
        <v>0/1</v>
      </c>
      <c r="R67" s="80" t="str">
        <v/>
      </c>
      <c r="S67" s="149" t="str">
        <v/>
      </c>
      <c r="T67" s="80">
        <v>0</v>
      </c>
      <c r="U67" s="1" t="str">
        <v>0/1</v>
      </c>
      <c r="V67" s="142">
        <v>0</v>
      </c>
      <c r="W67" s="150">
        <v>0</v>
      </c>
      <c r="X67" s="142">
        <v>0</v>
      </c>
      <c r="Y67" s="14" t="str" cm="1">
        <f t="array" ref="Y67:AI67">_xlfn.LET(
  _xlpm.program_isNT, RIGHT(Athena_BV!B67,5)="_NT.c",
  _xlpm.program_isT,  RIGHT(Athena_BV!B67,4)="_T.c",
  _xlpm.bv_isCorrect, LOWER(Athena_BV!Z67)="correct",
  _xlpm.ma_isCorrect, LOWER(Athena_MA!Z67)="correct",
  _xlpm.mi_isCorrect, LOWER(Athena_MI!Z67)="correct",
  _xlpm.bv_column, IF(_xlpm.program_isNT, Athena_BV!AC67, IF(_xlpm.program_isT, Athena_BV!AA67, "")),
  _xlpm.ma_column, IF(_xlpm.program_isNT, Athena_MA!AC67, IF(_xlpm.program_isT, Athena_MA!AA67, "")),
  _xlpm.mi_column, IF(_xlpm.program_isNT, Athena_MI!AC67, IF(_xlpm.program_isT, Athena_MI!AA67,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Athena_BV!Y67:AI67,
    Athena_MA!Y67:AI67,
    Athena_MI!Y67:AI67
  )
)</f>
        <v>(FSE_Bitvector_Mode_Signed_Overflow_Error_2_T_Loop0_TestCase9, TIMEOUT, 301665)
(FSE_Bitvector_Mode_Signed_Overflow_Error_2_T_Loop0_TestCase8, YES, 7669)
(FSE_Bitvector_Mode_Signed_Overflow_Error_2_T_Loop0_TestCase1, YES, 1722)
(FSE_Bitvector_Mode_Signed_Overflow_Error_2_T_Loop0_TestCase3, YES, 1692)
(FSE_Bitvector_Mode_Signed_Overflow_Error_2_T_Loop0_TestCase2, YES, 1707)
(FSE_Bitvector_Mode_Signed_Overflow_Error_2_T_Loop0_TestCase6, TIMEOUT, 301647)
(FSE_Bitvector_Mode_Signed_Overflow_Error_2_T_Loop0_TestCase10, TIMEOUT, 301632)
(FSE_Bitvector_Mode_Signed_Overflow_Error_2_T_Loop0_TestCase7, TIMEOUT, 301687)
(FSE_Bitvector_Mode_Signed_Overflow_Error_2_T_Loop0_TestCase5, YES, 1723)
(FSE_Bitvector_Mode_Signed_Overflow_Error_2_T_Loop0_TestCase4, YES, 1712)</v>
      </c>
      <c r="Z67" s="142" t="str">
        <v>correct</v>
      </c>
      <c r="AA67" s="80">
        <v>0.6</v>
      </c>
      <c r="AB67" s="1" t="str">
        <v>6/10</v>
      </c>
      <c r="AC67" s="80" t="str">
        <v/>
      </c>
      <c r="AD67" s="1" t="str">
        <v/>
      </c>
      <c r="AE67" s="143">
        <v>0.6</v>
      </c>
      <c r="AF67" s="1" t="str">
        <v>6/10</v>
      </c>
      <c r="AG67" s="142">
        <v>16225</v>
      </c>
      <c r="AH67" s="150">
        <v>2704.17</v>
      </c>
      <c r="AI67" s="142">
        <v>1717</v>
      </c>
      <c r="AJ67" s="14" t="str" cm="1">
        <f t="array" ref="AJ67:AT67">_xlfn.LET(
  _xlpm.program_isNT, RIGHT(Athena_BV!B67,5)="_NT.c",
  _xlpm.program_isT,  RIGHT(Athena_BV!B67,4)="_T.c",
  _xlpm.bv_isCorrect, LOWER(Athena_BV!AK67)="correct",
  _xlpm.ma_isCorrect, LOWER(Athena_MA!AK67)="correct",
  _xlpm.mi_isCorrect, LOWER(Athena_MI!AK67)="correct",
  _xlpm.bv_column, IF(_xlpm.program_isNT, Athena_BV!AN67, IF(_xlpm.program_isT, Athena_BV!AL67, "")),
  _xlpm.ma_column, IF(_xlpm.program_isNT, Athena_MA!AN67, IF(_xlpm.program_isT, Athena_MA!AL67, "")),
  _xlpm.mi_column, IF(_xlpm.program_isNT, Athena_MI!AN67, IF(_xlpm.program_isT, Athena_MI!AL67,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Athena_BV!AJ67:AT67,
    Athena_MA!AJ67:AT67,
    Athena_MI!AJ67:AT67
  )
)</f>
        <v>(FSE_Bitvector_Mode_Signed_Overflow_Error_2_T_Loop14_TestCase1, YES, 1757)
(FSE_Bitvector_Mode_Signed_Overflow_Error_2_T_Loop14_TestCase2, YES, 1726)
(FSE_Bitvector_Mode_Signed_Overflow_Error_2_T_Loop14_TestCase3, YES, 1778)
(FSE_Bitvector_Mode_Signed_Overflow_Error_2_T_Loop14_TestCase7, TIMEOUT, 301768)
(FSE_Bitvector_Mode_Signed_Overflow_Error_2_T_Loop14_TestCase6, TIMEOUT, 301752)
(FSE_Bitvector_Mode_Signed_Overflow_Error_2_T_Loop14_TestCase4, YES, 1838)
(FSE_Bitvector_Mode_Signed_Overflow_Error_2_T_Loop14_TestCase5, YES, 1771)
(FSE_Bitvector_Mode_Signed_Overflow_Error_2_T_Loop14_TestCase10, TIMEOUT, 301726)
(FSE_Bitvector_Mode_Signed_Overflow_Error_2_T_Loop14_TestCase8, YES, 3684)
(FSE_Bitvector_Mode_Signed_Overflow_Error_2_T_Loop14_TestCase9, TIMEOUT, 301752)</v>
      </c>
      <c r="AK67" s="142" t="str">
        <v>correct</v>
      </c>
      <c r="AL67" s="80">
        <v>0.6</v>
      </c>
      <c r="AM67" s="1" t="str">
        <v>6/10</v>
      </c>
      <c r="AN67" s="80" t="str">
        <v/>
      </c>
      <c r="AO67" s="1" t="str">
        <v/>
      </c>
      <c r="AP67" s="143">
        <v>0.6</v>
      </c>
      <c r="AQ67" s="1" t="str">
        <v>6/10</v>
      </c>
      <c r="AR67" s="142">
        <v>12554</v>
      </c>
      <c r="AS67" s="150">
        <v>2092.33</v>
      </c>
      <c r="AT67" s="142">
        <v>1774.5</v>
      </c>
      <c r="AU67" s="4" t="s">
        <v>103</v>
      </c>
    </row>
    <row r="68" spans="1:47" x14ac:dyDescent="0.2">
      <c r="A68" s="174"/>
      <c r="B68" s="9" t="s">
        <v>3971</v>
      </c>
      <c r="C68" s="14" t="str" cm="1">
        <f t="array" ref="C68:M68">_xlfn.LET(
  _xlpm.program_isNT, RIGHT(Athena_BV!B68,5)="_NT.c",
  _xlpm.program_isT,  RIGHT(Athena_BV!B68,4)="_T.c",
  _xlpm.bv_isCorrect, LOWER(Athena_BV!D68)="correct",
  _xlpm.ma_isCorrect, LOWER(Athena_MA!D68)="correct",
  _xlpm.mi_isCorrect, LOWER(Athena_MI!D68)="correct",
  _xlpm.bv_column, IF(_xlpm.program_isNT, Athena_BV!G68, IF(_xlpm.program_isT, Athena_BV!E68, "")),
  _xlpm.ma_column, IF(_xlpm.program_isNT, Athena_MA!G68, IF(_xlpm.program_isT, Athena_MA!E68, "")),
  _xlpm.mi_column, IF(_xlpm.program_isNT, Athena_MI!G68, IF(_xlpm.program_isT, Athena_MI!E68,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Athena_BV!C68:M68,
    Athena_MA!C68:M68,
    Athena_MI!C68:M68
  )
)</f>
        <v>(FSE_Bitvector_Mode_Signed_Overflow_Error_3_NT_Loop0_TestCase0, NO, 8477)</v>
      </c>
      <c r="D68" s="142" t="str">
        <v>correct</v>
      </c>
      <c r="E68" s="80">
        <v>0</v>
      </c>
      <c r="F68" s="1" t="str">
        <v>0/0</v>
      </c>
      <c r="G68" s="80">
        <v>1</v>
      </c>
      <c r="H68" s="1" t="str">
        <v>1/1</v>
      </c>
      <c r="I68" s="143">
        <v>1</v>
      </c>
      <c r="J68" s="1" t="str">
        <v>1/1</v>
      </c>
      <c r="K68" s="142">
        <v>8477</v>
      </c>
      <c r="L68" s="1">
        <v>8477</v>
      </c>
      <c r="M68" s="140">
        <v>8477</v>
      </c>
      <c r="N68" s="14" t="str" cm="1">
        <f t="array" ref="N68:X68">_xlfn.LET(
  _xlpm.program_isNT, RIGHT(Athena_BV!B68,5)="_NT.c",
  _xlpm.program_isT,  RIGHT(Athena_BV!B68,4)="_T.c",
  _xlpm.bv_isCorrect, LOWER(Athena_BV!O68)="correct",
  _xlpm.ma_isCorrect, LOWER(Athena_MA!O68)="correct",
  _xlpm.mi_isCorrect, LOWER(Athena_MI!O68)="correct",
  _xlpm.bv_column, IF(_xlpm.program_isNT, Athena_BV!R68, IF(_xlpm.program_isT, Athena_BV!P68, "")),
  _xlpm.ma_column, IF(_xlpm.program_isNT, Athena_MA!R68, IF(_xlpm.program_isT, Athena_MA!P68, "")),
  _xlpm.mi_column, IF(_xlpm.program_isNT, Athena_MI!R68, IF(_xlpm.program_isT, Athena_MI!P68,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Athena_BV!N68:X68,
    Athena_MA!N68:X68,
    Athena_MI!N68:X68
  )
)</f>
        <v>(FSE_Bitvector_Mode_Signed_Overflow_Error_3_NT_Loop15_TestCase0, NO, 7594)</v>
      </c>
      <c r="O68" s="142" t="str">
        <v>correct</v>
      </c>
      <c r="P68" s="80">
        <v>0</v>
      </c>
      <c r="Q68" s="1" t="str">
        <v>0/0</v>
      </c>
      <c r="R68" s="80">
        <v>1</v>
      </c>
      <c r="S68" s="149" t="str">
        <v>1/1</v>
      </c>
      <c r="T68" s="80">
        <v>1</v>
      </c>
      <c r="U68" s="1" t="str">
        <v>1/1</v>
      </c>
      <c r="V68" s="142">
        <v>7594</v>
      </c>
      <c r="W68" s="150">
        <v>7594</v>
      </c>
      <c r="X68" s="142">
        <v>7594</v>
      </c>
      <c r="Y68" s="14" t="str" cm="1">
        <f t="array" ref="Y68:AI68">_xlfn.LET(
  _xlpm.program_isNT, RIGHT(Athena_BV!B68,5)="_NT.c",
  _xlpm.program_isT,  RIGHT(Athena_BV!B68,4)="_T.c",
  _xlpm.bv_isCorrect, LOWER(Athena_BV!Z68)="correct",
  _xlpm.ma_isCorrect, LOWER(Athena_MA!Z68)="correct",
  _xlpm.mi_isCorrect, LOWER(Athena_MI!Z68)="correct",
  _xlpm.bv_column, IF(_xlpm.program_isNT, Athena_BV!AC68, IF(_xlpm.program_isT, Athena_BV!AA68, "")),
  _xlpm.ma_column, IF(_xlpm.program_isNT, Athena_MA!AC68, IF(_xlpm.program_isT, Athena_MA!AA68, "")),
  _xlpm.mi_column, IF(_xlpm.program_isNT, Athena_MI!AC68, IF(_xlpm.program_isT, Athena_MI!AA68,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Athena_BV!Y68:AI68,
    Athena_MA!Y68:AI68,
    Athena_MI!Y68:AI68
  )
)</f>
        <v>(FSE_Bitvector_Mode_Signed_Overflow_Error_3_NT_Loop0_TestCase5, YES, 145599)
(FSE_Bitvector_Mode_Signed_Overflow_Error_3_NT_Loop0_TestCase4, YES, 5016)
(FSE_Bitvector_Mode_Signed_Overflow_Error_3_NT_Loop0_TestCase6, NO, 1826)
(FSE_Bitvector_Mode_Signed_Overflow_Error_3_NT_Loop0_TestCase7, TIMEOUT, 301636)
(FSE_Bitvector_Mode_Signed_Overflow_Error_3_NT_Loop0_TestCase3, YES, 1854)
(FSE_Bitvector_Mode_Signed_Overflow_Error_3_NT_Loop0_TestCase2, YES, 1709)
(FSE_Bitvector_Mode_Signed_Overflow_Error_3_NT_Loop0_TestCase1, MAYBE, 558)
(FSE_Bitvector_Mode_Signed_Overflow_Error_3_NT_Loop0_TestCase10, TIMEOUT, 301600)
(FSE_Bitvector_Mode_Signed_Overflow_Error_3_NT_Loop0_TestCase9, TIMEOUT, 301606)
(FSE_Bitvector_Mode_Signed_Overflow_Error_3_NT_Loop0_TestCase8, TIMEOUT, 301622)</v>
      </c>
      <c r="Z68" s="142" t="str">
        <v>correct</v>
      </c>
      <c r="AA68" s="80">
        <v>0.8</v>
      </c>
      <c r="AB68" s="1" t="str">
        <v>4/5</v>
      </c>
      <c r="AC68" s="80">
        <v>0.2</v>
      </c>
      <c r="AD68" s="1" t="str">
        <v>1/5</v>
      </c>
      <c r="AE68" s="143">
        <v>0.5</v>
      </c>
      <c r="AF68" s="1" t="str">
        <v>5/10</v>
      </c>
      <c r="AG68" s="142">
        <v>156004</v>
      </c>
      <c r="AH68" s="150">
        <v>31200.799999999999</v>
      </c>
      <c r="AI68" s="142">
        <v>1854</v>
      </c>
      <c r="AJ68" s="14" t="str" cm="1">
        <f t="array" ref="AJ68:AT68">_xlfn.LET(
  _xlpm.program_isNT, RIGHT(Athena_BV!B68,5)="_NT.c",
  _xlpm.program_isT,  RIGHT(Athena_BV!B68,4)="_T.c",
  _xlpm.bv_isCorrect, LOWER(Athena_BV!AK68)="correct",
  _xlpm.ma_isCorrect, LOWER(Athena_MA!AK68)="correct",
  _xlpm.mi_isCorrect, LOWER(Athena_MI!AK68)="correct",
  _xlpm.bv_column, IF(_xlpm.program_isNT, Athena_BV!AN68, IF(_xlpm.program_isT, Athena_BV!AL68, "")),
  _xlpm.ma_column, IF(_xlpm.program_isNT, Athena_MA!AN68, IF(_xlpm.program_isT, Athena_MA!AL68, "")),
  _xlpm.mi_column, IF(_xlpm.program_isNT, Athena_MI!AN68, IF(_xlpm.program_isT, Athena_MI!AL68,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Athena_BV!AJ68:AT68,
    Athena_MA!AJ68:AT68,
    Athena_MI!AJ68:AT68
  )
)</f>
        <v>(FSE_Bitvector_Mode_Signed_Overflow_Error_3_NT_Loop15_TestCase9, TIMEOUT, 301699)
(FSE_Bitvector_Mode_Signed_Overflow_Error_3_NT_Loop15_TestCase8, TIMEOUT, 301729)
(FSE_Bitvector_Mode_Signed_Overflow_Error_3_NT_Loop15_TestCase1, MAYBE, 549)
(FSE_Bitvector_Mode_Signed_Overflow_Error_3_NT_Loop15_TestCase3, YES, 1723)
(FSE_Bitvector_Mode_Signed_Overflow_Error_3_NT_Loop15_TestCase2, YES, 1742)
(FSE_Bitvector_Mode_Signed_Overflow_Error_3_NT_Loop15_TestCase6, NO, 1830)
(FSE_Bitvector_Mode_Signed_Overflow_Error_3_NT_Loop15_TestCase10, TIMEOUT, 301744)
(FSE_Bitvector_Mode_Signed_Overflow_Error_3_NT_Loop15_TestCase7, TIMEOUT, 301687)
(FSE_Bitvector_Mode_Signed_Overflow_Error_3_NT_Loop15_TestCase5, YES, 2453)
(FSE_Bitvector_Mode_Signed_Overflow_Error_3_NT_Loop15_TestCase4, YES, 2011)</v>
      </c>
      <c r="AK68" s="142" t="str">
        <v>correct</v>
      </c>
      <c r="AL68" s="80">
        <v>0.8</v>
      </c>
      <c r="AM68" s="1" t="str">
        <v>4/5</v>
      </c>
      <c r="AN68" s="80">
        <v>0.2</v>
      </c>
      <c r="AO68" s="1" t="str">
        <v>1/5</v>
      </c>
      <c r="AP68" s="143">
        <v>0.5</v>
      </c>
      <c r="AQ68" s="1" t="str">
        <v>5/10</v>
      </c>
      <c r="AR68" s="142">
        <v>9759</v>
      </c>
      <c r="AS68" s="150">
        <v>1951.8</v>
      </c>
      <c r="AT68" s="142">
        <v>1830</v>
      </c>
      <c r="AU68" s="4" t="s">
        <v>102</v>
      </c>
    </row>
    <row r="69" spans="1:47" x14ac:dyDescent="0.2">
      <c r="A69" s="174"/>
      <c r="B69" s="9" t="s">
        <v>3972</v>
      </c>
      <c r="C69" s="14" t="str" cm="1">
        <f t="array" ref="C69:M69">_xlfn.LET(
  _xlpm.program_isNT, RIGHT(Athena_BV!B69,5)="_NT.c",
  _xlpm.program_isT,  RIGHT(Athena_BV!B69,4)="_T.c",
  _xlpm.bv_isCorrect, LOWER(Athena_BV!D69)="correct",
  _xlpm.ma_isCorrect, LOWER(Athena_MA!D69)="correct",
  _xlpm.mi_isCorrect, LOWER(Athena_MI!D69)="correct",
  _xlpm.bv_column, IF(_xlpm.program_isNT, Athena_BV!G69, IF(_xlpm.program_isT, Athena_BV!E69, "")),
  _xlpm.ma_column, IF(_xlpm.program_isNT, Athena_MA!G69, IF(_xlpm.program_isT, Athena_MA!E69, "")),
  _xlpm.mi_column, IF(_xlpm.program_isNT, Athena_MI!G69, IF(_xlpm.program_isT, Athena_MI!E69,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Athena_BV!C69:M69,
    Athena_MA!C69:M69,
    Athena_MI!C69:M69
  )
)</f>
        <v>(FSE_Bitvector_Mode_Signed_Overflow_Error_3_T_Loop0_TestCase0, YES, 2042)</v>
      </c>
      <c r="D69" s="142" t="str">
        <v>correct</v>
      </c>
      <c r="E69" s="80">
        <v>1</v>
      </c>
      <c r="F69" s="1" t="str">
        <v>1/1</v>
      </c>
      <c r="G69" s="80" t="str">
        <v/>
      </c>
      <c r="H69" s="1" t="str">
        <v/>
      </c>
      <c r="I69" s="143">
        <v>1</v>
      </c>
      <c r="J69" s="1" t="str">
        <v>1/1</v>
      </c>
      <c r="K69" s="142">
        <v>2042</v>
      </c>
      <c r="L69" s="1">
        <v>2042</v>
      </c>
      <c r="M69" s="140">
        <v>2042</v>
      </c>
      <c r="N69" s="14" t="str" cm="1">
        <f t="array" ref="N69:X69">_xlfn.LET(
  _xlpm.program_isNT, RIGHT(Athena_BV!B69,5)="_NT.c",
  _xlpm.program_isT,  RIGHT(Athena_BV!B69,4)="_T.c",
  _xlpm.bv_isCorrect, LOWER(Athena_BV!O69)="correct",
  _xlpm.ma_isCorrect, LOWER(Athena_MA!O69)="correct",
  _xlpm.mi_isCorrect, LOWER(Athena_MI!O69)="correct",
  _xlpm.bv_column, IF(_xlpm.program_isNT, Athena_BV!R69, IF(_xlpm.program_isT, Athena_BV!P69, "")),
  _xlpm.ma_column, IF(_xlpm.program_isNT, Athena_MA!R69, IF(_xlpm.program_isT, Athena_MA!P69, "")),
  _xlpm.mi_column, IF(_xlpm.program_isNT, Athena_MI!R69, IF(_xlpm.program_isT, Athena_MI!P69,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Athena_BV!N69:X69,
    Athena_MA!N69:X69,
    Athena_MI!N69:X69
  )
)</f>
        <v>(FSE_Bitvector_Mode_Signed_Overflow_Error_3_T_Loop14_TestCase0, YES, 1899)</v>
      </c>
      <c r="O69" s="142" t="str">
        <v>correct</v>
      </c>
      <c r="P69" s="80">
        <v>1</v>
      </c>
      <c r="Q69" s="1" t="str">
        <v>1/1</v>
      </c>
      <c r="R69" s="80" t="str">
        <v/>
      </c>
      <c r="S69" s="149" t="str">
        <v/>
      </c>
      <c r="T69" s="80">
        <v>1</v>
      </c>
      <c r="U69" s="1" t="str">
        <v>1/1</v>
      </c>
      <c r="V69" s="142">
        <v>1899</v>
      </c>
      <c r="W69" s="150">
        <v>1899</v>
      </c>
      <c r="X69" s="142">
        <v>1899</v>
      </c>
      <c r="Y69" s="14" t="str" cm="1">
        <f t="array" ref="Y69:AI69">_xlfn.LET(
  _xlpm.program_isNT, RIGHT(Athena_BV!B69,5)="_NT.c",
  _xlpm.program_isT,  RIGHT(Athena_BV!B69,4)="_T.c",
  _xlpm.bv_isCorrect, LOWER(Athena_BV!Z69)="correct",
  _xlpm.ma_isCorrect, LOWER(Athena_MA!Z69)="correct",
  _xlpm.mi_isCorrect, LOWER(Athena_MI!Z69)="correct",
  _xlpm.bv_column, IF(_xlpm.program_isNT, Athena_BV!AC69, IF(_xlpm.program_isT, Athena_BV!AA69, "")),
  _xlpm.ma_column, IF(_xlpm.program_isNT, Athena_MA!AC69, IF(_xlpm.program_isT, Athena_MA!AA69, "")),
  _xlpm.mi_column, IF(_xlpm.program_isNT, Athena_MI!AC69, IF(_xlpm.program_isT, Athena_MI!AA69,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Athena_BV!Y69:AI69,
    Athena_MA!Y69:AI69,
    Athena_MI!Y69:AI69
  )
)</f>
        <v>(FSE_Bitvector_Mode_Signed_Overflow_Error_3_T_Loop0_TestCase3, YES, 1701)
(FSE_Bitvector_Mode_Signed_Overflow_Error_3_T_Loop0_TestCase2, YES, 1672)
(FSE_Bitvector_Mode_Signed_Overflow_Error_3_T_Loop0_TestCase1, MAYBE, 553)
(FSE_Bitvector_Mode_Signed_Overflow_Error_3_T_Loop0_TestCase5, YES, 1916)
(FSE_Bitvector_Mode_Signed_Overflow_Error_3_T_Loop0_TestCase4, YES, 1805)
(FSE_Bitvector_Mode_Signed_Overflow_Error_3_T_Loop0_TestCase6, YES, 1902)
(FSE_Bitvector_Mode_Signed_Overflow_Error_3_T_Loop0_TestCase7, YES, 2158)
(FSE_Bitvector_Mode_Signed_Overflow_Error_3_T_Loop0_TestCase9, YES, 1938)
(FSE_Bitvector_Mode_Signed_Overflow_Error_3_T_Loop0_TestCase8, YES, 1938)
(FSE_Bitvector_Mode_Signed_Overflow_Error_3_T_Loop0_TestCase10, YES, 1984)</v>
      </c>
      <c r="Z69" s="142" t="str">
        <v>correct</v>
      </c>
      <c r="AA69" s="80">
        <v>0.9</v>
      </c>
      <c r="AB69" s="1" t="str">
        <v>9/10</v>
      </c>
      <c r="AC69" s="80" t="str">
        <v/>
      </c>
      <c r="AD69" s="1" t="str">
        <v/>
      </c>
      <c r="AE69" s="143">
        <v>0.9</v>
      </c>
      <c r="AF69" s="1" t="str">
        <v>9/10</v>
      </c>
      <c r="AG69" s="142">
        <v>17014</v>
      </c>
      <c r="AH69" s="150">
        <v>1890.44</v>
      </c>
      <c r="AI69" s="142">
        <v>1916</v>
      </c>
      <c r="AJ69" s="14" t="str" cm="1">
        <f t="array" ref="AJ69:AT69">_xlfn.LET(
  _xlpm.program_isNT, RIGHT(Athena_BV!B69,5)="_NT.c",
  _xlpm.program_isT,  RIGHT(Athena_BV!B69,4)="_T.c",
  _xlpm.bv_isCorrect, LOWER(Athena_BV!AK69)="correct",
  _xlpm.ma_isCorrect, LOWER(Athena_MA!AK69)="correct",
  _xlpm.mi_isCorrect, LOWER(Athena_MI!AK69)="correct",
  _xlpm.bv_column, IF(_xlpm.program_isNT, Athena_BV!AN69, IF(_xlpm.program_isT, Athena_BV!AL69, "")),
  _xlpm.ma_column, IF(_xlpm.program_isNT, Athena_MA!AN69, IF(_xlpm.program_isT, Athena_MA!AL69, "")),
  _xlpm.mi_column, IF(_xlpm.program_isNT, Athena_MI!AN69, IF(_xlpm.program_isT, Athena_MI!AL69,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Athena_BV!AJ69:AT69,
    Athena_MA!AJ69:AT69,
    Athena_MI!AJ69:AT69
  )
)</f>
        <v>(FSE_Bitvector_Mode_Signed_Overflow_Error_3_T_Loop14_TestCase10, YES, 1828)
(FSE_Bitvector_Mode_Signed_Overflow_Error_3_T_Loop14_TestCase5, YES, 1799)
(FSE_Bitvector_Mode_Signed_Overflow_Error_3_T_Loop14_TestCase4, YES, 1744)
(FSE_Bitvector_Mode_Signed_Overflow_Error_3_T_Loop14_TestCase6, YES, 1890)
(FSE_Bitvector_Mode_Signed_Overflow_Error_3_T_Loop14_TestCase7, YES, 1846)
(FSE_Bitvector_Mode_Signed_Overflow_Error_3_T_Loop14_TestCase3, YES, 1910)
(FSE_Bitvector_Mode_Signed_Overflow_Error_3_T_Loop14_TestCase2, YES, 4047)
(FSE_Bitvector_Mode_Signed_Overflow_Error_3_T_Loop14_TestCase1, MAYBE, 544)
(FSE_Bitvector_Mode_Signed_Overflow_Error_3_T_Loop14_TestCase9, YES, 1801)
(FSE_Bitvector_Mode_Signed_Overflow_Error_3_T_Loop14_TestCase8, YES, 1839)</v>
      </c>
      <c r="AK69" s="142" t="str">
        <v>correct</v>
      </c>
      <c r="AL69" s="80">
        <v>0.9</v>
      </c>
      <c r="AM69" s="1" t="str">
        <v>9/10</v>
      </c>
      <c r="AN69" s="80" t="str">
        <v/>
      </c>
      <c r="AO69" s="1" t="str">
        <v/>
      </c>
      <c r="AP69" s="143">
        <v>0.9</v>
      </c>
      <c r="AQ69" s="1" t="str">
        <v>9/10</v>
      </c>
      <c r="AR69" s="142">
        <v>18704</v>
      </c>
      <c r="AS69" s="150">
        <v>2078.2199999999998</v>
      </c>
      <c r="AT69" s="142">
        <v>1839</v>
      </c>
      <c r="AU69" s="4" t="s">
        <v>102</v>
      </c>
    </row>
    <row r="70" spans="1:47" x14ac:dyDescent="0.2">
      <c r="A70" s="174"/>
      <c r="B70" s="9" t="s">
        <v>70</v>
      </c>
      <c r="C70" s="14" t="str" cm="1">
        <f t="array" ref="C70:M70">_xlfn.LET(
  _xlpm.program_isNT, RIGHT(Athena_BV!B70,5)="_NT.c",
  _xlpm.program_isT,  RIGHT(Athena_BV!B70,4)="_T.c",
  _xlpm.bv_isCorrect, LOWER(Athena_BV!D70)="correct",
  _xlpm.ma_isCorrect, LOWER(Athena_MA!D70)="correct",
  _xlpm.mi_isCorrect, LOWER(Athena_MI!D70)="correct",
  _xlpm.bv_column, IF(_xlpm.program_isNT, Athena_BV!G70, IF(_xlpm.program_isT, Athena_BV!E70, "")),
  _xlpm.ma_column, IF(_xlpm.program_isNT, Athena_MA!G70, IF(_xlpm.program_isT, Athena_MA!E70, "")),
  _xlpm.mi_column, IF(_xlpm.program_isNT, Athena_MI!G70, IF(_xlpm.program_isT, Athena_MI!E70,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Athena_BV!C70:M70,
    Athena_MA!C70:M70,
    Athena_MI!C70:M70
  )
)</f>
        <v>(FSE_Bitvector_Mode_Type_Conversion_in_Assignment_1_NT_Loop0_TestCase0, NO, 2065)</v>
      </c>
      <c r="D70" s="142" t="str">
        <v>correct</v>
      </c>
      <c r="E70" s="80">
        <v>0</v>
      </c>
      <c r="F70" s="1" t="str">
        <v>0/0</v>
      </c>
      <c r="G70" s="80">
        <v>1</v>
      </c>
      <c r="H70" s="1" t="str">
        <v>1/1</v>
      </c>
      <c r="I70" s="143">
        <v>1</v>
      </c>
      <c r="J70" s="1" t="str">
        <v>1/1</v>
      </c>
      <c r="K70" s="142">
        <v>2065</v>
      </c>
      <c r="L70" s="1">
        <v>2065</v>
      </c>
      <c r="M70" s="140">
        <v>2065</v>
      </c>
      <c r="N70" s="14" t="str" cm="1">
        <f t="array" ref="N70:X70">_xlfn.LET(
  _xlpm.program_isNT, RIGHT(Athena_BV!B70,5)="_NT.c",
  _xlpm.program_isT,  RIGHT(Athena_BV!B70,4)="_T.c",
  _xlpm.bv_isCorrect, LOWER(Athena_BV!O70)="correct",
  _xlpm.ma_isCorrect, LOWER(Athena_MA!O70)="correct",
  _xlpm.mi_isCorrect, LOWER(Athena_MI!O70)="correct",
  _xlpm.bv_column, IF(_xlpm.program_isNT, Athena_BV!R70, IF(_xlpm.program_isT, Athena_BV!P70, "")),
  _xlpm.ma_column, IF(_xlpm.program_isNT, Athena_MA!R70, IF(_xlpm.program_isT, Athena_MA!P70, "")),
  _xlpm.mi_column, IF(_xlpm.program_isNT, Athena_MI!R70, IF(_xlpm.program_isT, Athena_MI!P70,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Athena_BV!N70:X70,
    Athena_MA!N70:X70,
    Athena_MI!N70:X70
  )
)</f>
        <v>(FSE_Bitvector_Mode_Type_Conversion_in_Assignment_1_NT_Loop27_TestCase0, MAYBE, 579)</v>
      </c>
      <c r="O70" s="142" t="str">
        <v>correct</v>
      </c>
      <c r="P70" s="80">
        <v>0</v>
      </c>
      <c r="Q70" s="1" t="str">
        <v>0/0</v>
      </c>
      <c r="R70" s="80">
        <v>0</v>
      </c>
      <c r="S70" s="149" t="str">
        <v>0/1</v>
      </c>
      <c r="T70" s="80">
        <v>0</v>
      </c>
      <c r="U70" s="1" t="str">
        <v>0/1</v>
      </c>
      <c r="V70" s="142">
        <v>0</v>
      </c>
      <c r="W70" s="150">
        <v>0</v>
      </c>
      <c r="X70" s="142">
        <v>0</v>
      </c>
      <c r="Y70" s="14" t="str" cm="1">
        <f t="array" ref="Y70:AI70">_xlfn.LET(
  _xlpm.program_isNT, RIGHT(Athena_BV!B70,5)="_NT.c",
  _xlpm.program_isT,  RIGHT(Athena_BV!B70,4)="_T.c",
  _xlpm.bv_isCorrect, LOWER(Athena_BV!Z70)="correct",
  _xlpm.ma_isCorrect, LOWER(Athena_MA!Z70)="correct",
  _xlpm.mi_isCorrect, LOWER(Athena_MI!Z70)="correct",
  _xlpm.bv_column, IF(_xlpm.program_isNT, Athena_BV!AC70, IF(_xlpm.program_isT, Athena_BV!AA70, "")),
  _xlpm.ma_column, IF(_xlpm.program_isNT, Athena_MA!AC70, IF(_xlpm.program_isT, Athena_MA!AA70, "")),
  _xlpm.mi_column, IF(_xlpm.program_isNT, Athena_MI!AC70, IF(_xlpm.program_isT, Athena_MI!AA70,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Athena_BV!Y70:AI70,
    Athena_MA!Y70:AI70,
    Athena_MI!Y70:AI70
  )
)</f>
        <v>(FSE_Bitvector_Mode_Type_Conversion_in_Assignment_1_NT_Loop0_TestCase5, YES, 1837)
(FSE_Bitvector_Mode_Type_Conversion_in_Assignment_1_NT_Loop0_TestCase4, YES, 1929)
(FSE_Bitvector_Mode_Type_Conversion_in_Assignment_1_NT_Loop0_TestCase6, NO, 1822)
(FSE_Bitvector_Mode_Type_Conversion_in_Assignment_1_NT_Loop0_TestCase7, NO, 1776)
(FSE_Bitvector_Mode_Type_Conversion_in_Assignment_1_NT_Loop0_TestCase3, YES, 1784)
(FSE_Bitvector_Mode_Type_Conversion_in_Assignment_1_NT_Loop0_TestCase2, YES, 1757)
(FSE_Bitvector_Mode_Type_Conversion_in_Assignment_1_NT_Loop0_TestCase1, YES, 1764)
(FSE_Bitvector_Mode_Type_Conversion_in_Assignment_1_NT_Loop0_TestCase10, NO, 1766)
(FSE_Bitvector_Mode_Type_Conversion_in_Assignment_1_NT_Loop0_TestCase9, NO, 1762)
(FSE_Bitvector_Mode_Type_Conversion_in_Assignment_1_NT_Loop0_TestCase8, NO, 1766)</v>
      </c>
      <c r="Z70" s="142" t="str">
        <v>correct</v>
      </c>
      <c r="AA70" s="80">
        <v>1</v>
      </c>
      <c r="AB70" s="1" t="str">
        <v>5/5</v>
      </c>
      <c r="AC70" s="80">
        <v>1</v>
      </c>
      <c r="AD70" s="1" t="str">
        <v>5/5</v>
      </c>
      <c r="AE70" s="143">
        <v>1</v>
      </c>
      <c r="AF70" s="1" t="str">
        <v>10/10</v>
      </c>
      <c r="AG70" s="142">
        <v>17963</v>
      </c>
      <c r="AH70" s="150">
        <v>1796.3</v>
      </c>
      <c r="AI70" s="142">
        <v>1771</v>
      </c>
      <c r="AJ70" s="14" t="str" cm="1">
        <f t="array" ref="AJ70:AT70">_xlfn.LET(
  _xlpm.program_isNT, RIGHT(Athena_BV!B70,5)="_NT.c",
  _xlpm.program_isT,  RIGHT(Athena_BV!B70,4)="_T.c",
  _xlpm.bv_isCorrect, LOWER(Athena_BV!AK70)="correct",
  _xlpm.ma_isCorrect, LOWER(Athena_MA!AK70)="correct",
  _xlpm.mi_isCorrect, LOWER(Athena_MI!AK70)="correct",
  _xlpm.bv_column, IF(_xlpm.program_isNT, Athena_BV!AN70, IF(_xlpm.program_isT, Athena_BV!AL70, "")),
  _xlpm.ma_column, IF(_xlpm.program_isNT, Athena_MA!AN70, IF(_xlpm.program_isT, Athena_MA!AL70, "")),
  _xlpm.mi_column, IF(_xlpm.program_isNT, Athena_MI!AN70, IF(_xlpm.program_isT, Athena_MI!AL70,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Athena_BV!AJ70:AT70,
    Athena_MA!AJ70:AT70,
    Athena_MI!AJ70:AT70
  )
)</f>
        <v>(FSE_Bitvector_Mode_Type_Conversion_in_Assignment_1_NT_Loop27_TestCase4, MAYBE, 578)
(FSE_Bitvector_Mode_Type_Conversion_in_Assignment_1_NT_Loop27_TestCase5, MAYBE, 574)
(FSE_Bitvector_Mode_Type_Conversion_in_Assignment_1_NT_Loop27_TestCase7, MAYBE, 590)
(FSE_Bitvector_Mode_Type_Conversion_in_Assignment_1_NT_Loop27_TestCase6, MAYBE, 580)
(FSE_Bitvector_Mode_Type_Conversion_in_Assignment_1_NT_Loop27_TestCase2, MAYBE, 588)
(FSE_Bitvector_Mode_Type_Conversion_in_Assignment_1_NT_Loop27_TestCase3, MAYBE, 578)
(FSE_Bitvector_Mode_Type_Conversion_in_Assignment_1_NT_Loop27_TestCase1, MAYBE, 614)
(FSE_Bitvector_Mode_Type_Conversion_in_Assignment_1_NT_Loop27_TestCase10, MAYBE, 575)
(FSE_Bitvector_Mode_Type_Conversion_in_Assignment_1_NT_Loop27_TestCase8, MAYBE, 588)
(FSE_Bitvector_Mode_Type_Conversion_in_Assignment_1_NT_Loop27_TestCase9, MAYBE, 569)</v>
      </c>
      <c r="AK70" s="142" t="str">
        <v>correct</v>
      </c>
      <c r="AL70" s="80">
        <v>0</v>
      </c>
      <c r="AM70" s="1" t="str">
        <v>0/5</v>
      </c>
      <c r="AN70" s="80">
        <v>0</v>
      </c>
      <c r="AO70" s="1" t="str">
        <v>0/5</v>
      </c>
      <c r="AP70" s="143">
        <v>0</v>
      </c>
      <c r="AQ70" s="1" t="str">
        <v>0/10</v>
      </c>
      <c r="AR70" s="142">
        <v>0</v>
      </c>
      <c r="AS70" s="150">
        <v>0</v>
      </c>
      <c r="AT70" s="142">
        <v>0</v>
      </c>
      <c r="AU70" s="4" t="s">
        <v>102</v>
      </c>
    </row>
    <row r="71" spans="1:47" x14ac:dyDescent="0.2">
      <c r="A71" s="174"/>
      <c r="B71" s="9" t="s">
        <v>71</v>
      </c>
      <c r="C71" s="14" t="str" cm="1">
        <f t="array" ref="C71:M71">_xlfn.LET(
  _xlpm.program_isNT, RIGHT(Athena_BV!B71,5)="_NT.c",
  _xlpm.program_isT,  RIGHT(Athena_BV!B71,4)="_T.c",
  _xlpm.bv_isCorrect, LOWER(Athena_BV!D71)="correct",
  _xlpm.ma_isCorrect, LOWER(Athena_MA!D71)="correct",
  _xlpm.mi_isCorrect, LOWER(Athena_MI!D71)="correct",
  _xlpm.bv_column, IF(_xlpm.program_isNT, Athena_BV!G71, IF(_xlpm.program_isT, Athena_BV!E71, "")),
  _xlpm.ma_column, IF(_xlpm.program_isNT, Athena_MA!G71, IF(_xlpm.program_isT, Athena_MA!E71, "")),
  _xlpm.mi_column, IF(_xlpm.program_isNT, Athena_MI!G71, IF(_xlpm.program_isT, Athena_MI!E71,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Athena_BV!C71:M71,
    Athena_MA!C71:M71,
    Athena_MI!C71:M71
  )
)</f>
        <v>(FSE_Bitvector_Mode_Type_Conversion_in_Assignment_1_T_Loop0_TestCase0, YES, 1829)</v>
      </c>
      <c r="D71" s="142" t="str">
        <v>correct</v>
      </c>
      <c r="E71" s="80">
        <v>1</v>
      </c>
      <c r="F71" s="1" t="str">
        <v>1/1</v>
      </c>
      <c r="G71" s="80" t="str">
        <v/>
      </c>
      <c r="H71" s="1" t="str">
        <v/>
      </c>
      <c r="I71" s="143">
        <v>1</v>
      </c>
      <c r="J71" s="1" t="str">
        <v>1/1</v>
      </c>
      <c r="K71" s="142">
        <v>1829</v>
      </c>
      <c r="L71" s="1">
        <v>1829</v>
      </c>
      <c r="M71" s="140">
        <v>1829</v>
      </c>
      <c r="N71" s="14" t="str" cm="1">
        <f t="array" ref="N71:X71">_xlfn.LET(
  _xlpm.program_isNT, RIGHT(Athena_BV!B71,5)="_NT.c",
  _xlpm.program_isT,  RIGHT(Athena_BV!B71,4)="_T.c",
  _xlpm.bv_isCorrect, LOWER(Athena_BV!O71)="correct",
  _xlpm.ma_isCorrect, LOWER(Athena_MA!O71)="correct",
  _xlpm.mi_isCorrect, LOWER(Athena_MI!O71)="correct",
  _xlpm.bv_column, IF(_xlpm.program_isNT, Athena_BV!R71, IF(_xlpm.program_isT, Athena_BV!P71, "")),
  _xlpm.ma_column, IF(_xlpm.program_isNT, Athena_MA!R71, IF(_xlpm.program_isT, Athena_MA!P71, "")),
  _xlpm.mi_column, IF(_xlpm.program_isNT, Athena_MI!R71, IF(_xlpm.program_isT, Athena_MI!P71,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Athena_BV!N71:X71,
    Athena_MA!N71:X71,
    Athena_MI!N71:X71
  )
)</f>
        <v>(FSE_Bitvector_Mode_Type_Conversion_in_Assignment_1_T_Loop26_TestCase0, MAYBE, 571)</v>
      </c>
      <c r="O71" s="142" t="str">
        <v>correct</v>
      </c>
      <c r="P71" s="80">
        <v>0</v>
      </c>
      <c r="Q71" s="1" t="str">
        <v>0/1</v>
      </c>
      <c r="R71" s="80" t="str">
        <v/>
      </c>
      <c r="S71" s="149" t="str">
        <v/>
      </c>
      <c r="T71" s="80">
        <v>0</v>
      </c>
      <c r="U71" s="1" t="str">
        <v>0/1</v>
      </c>
      <c r="V71" s="142">
        <v>0</v>
      </c>
      <c r="W71" s="150">
        <v>0</v>
      </c>
      <c r="X71" s="142">
        <v>0</v>
      </c>
      <c r="Y71" s="14" t="str" cm="1">
        <f t="array" ref="Y71:AI71">_xlfn.LET(
  _xlpm.program_isNT, RIGHT(Athena_BV!B71,5)="_NT.c",
  _xlpm.program_isT,  RIGHT(Athena_BV!B71,4)="_T.c",
  _xlpm.bv_isCorrect, LOWER(Athena_BV!Z71)="correct",
  _xlpm.ma_isCorrect, LOWER(Athena_MA!Z71)="correct",
  _xlpm.mi_isCorrect, LOWER(Athena_MI!Z71)="correct",
  _xlpm.bv_column, IF(_xlpm.program_isNT, Athena_BV!AC71, IF(_xlpm.program_isT, Athena_BV!AA71, "")),
  _xlpm.ma_column, IF(_xlpm.program_isNT, Athena_MA!AC71, IF(_xlpm.program_isT, Athena_MA!AA71, "")),
  _xlpm.mi_column, IF(_xlpm.program_isNT, Athena_MI!AC71, IF(_xlpm.program_isT, Athena_MI!AA71,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Athena_BV!Y71:AI71,
    Athena_MA!Y71:AI71,
    Athena_MI!Y71:AI71
  )
)</f>
        <v>(FSE_Bitvector_Mode_Type_Conversion_in_Assignment_1_T_Loop0_TestCase3, YES, 1753)
(FSE_Bitvector_Mode_Type_Conversion_in_Assignment_1_T_Loop0_TestCase2, YES, 1763)
(FSE_Bitvector_Mode_Type_Conversion_in_Assignment_1_T_Loop0_TestCase1, YES, 1743)
(FSE_Bitvector_Mode_Type_Conversion_in_Assignment_1_T_Loop0_TestCase5, YES, 1771)
(FSE_Bitvector_Mode_Type_Conversion_in_Assignment_1_T_Loop0_TestCase4, YES, 1749)
(FSE_Bitvector_Mode_Type_Conversion_in_Assignment_1_T_Loop0_TestCase6, YES, 1715)
(FSE_Bitvector_Mode_Type_Conversion_in_Assignment_1_T_Loop0_TestCase7, YES, 1728)
(FSE_Bitvector_Mode_Type_Conversion_in_Assignment_1_T_Loop0_TestCase9, YES, 1743)
(FSE_Bitvector_Mode_Type_Conversion_in_Assignment_1_T_Loop0_TestCase8, YES, 1739)
(FSE_Bitvector_Mode_Type_Conversion_in_Assignment_1_T_Loop0_TestCase10, YES, 1801)</v>
      </c>
      <c r="Z71" s="142" t="str">
        <v>correct</v>
      </c>
      <c r="AA71" s="80">
        <v>1</v>
      </c>
      <c r="AB71" s="1" t="str">
        <v>10/10</v>
      </c>
      <c r="AC71" s="80" t="str">
        <v/>
      </c>
      <c r="AD71" s="1" t="str">
        <v/>
      </c>
      <c r="AE71" s="143">
        <v>1</v>
      </c>
      <c r="AF71" s="1" t="str">
        <v>10/10</v>
      </c>
      <c r="AG71" s="142">
        <v>17505</v>
      </c>
      <c r="AH71" s="150">
        <v>1750.5</v>
      </c>
      <c r="AI71" s="142">
        <v>1746</v>
      </c>
      <c r="AJ71" s="14" t="str" cm="1">
        <f t="array" ref="AJ71:AT71">_xlfn.LET(
  _xlpm.program_isNT, RIGHT(Athena_BV!B71,5)="_NT.c",
  _xlpm.program_isT,  RIGHT(Athena_BV!B71,4)="_T.c",
  _xlpm.bv_isCorrect, LOWER(Athena_BV!AK71)="correct",
  _xlpm.ma_isCorrect, LOWER(Athena_MA!AK71)="correct",
  _xlpm.mi_isCorrect, LOWER(Athena_MI!AK71)="correct",
  _xlpm.bv_column, IF(_xlpm.program_isNT, Athena_BV!AN71, IF(_xlpm.program_isT, Athena_BV!AL71, "")),
  _xlpm.ma_column, IF(_xlpm.program_isNT, Athena_MA!AN71, IF(_xlpm.program_isT, Athena_MA!AL71, "")),
  _xlpm.mi_column, IF(_xlpm.program_isNT, Athena_MI!AN71, IF(_xlpm.program_isT, Athena_MI!AL71,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Athena_BV!AJ71:AT71,
    Athena_MA!AJ71:AT71,
    Athena_MI!AJ71:AT71
  )
)</f>
        <v>(FSE_Bitvector_Mode_Type_Conversion_in_Assignment_1_T_Loop26_TestCase9, MAYBE, 585)
(FSE_Bitvector_Mode_Type_Conversion_in_Assignment_1_T_Loop26_TestCase8, MAYBE, 862)
(FSE_Bitvector_Mode_Type_Conversion_in_Assignment_1_T_Loop26_TestCase6, MAYBE, 594)
(FSE_Bitvector_Mode_Type_Conversion_in_Assignment_1_T_Loop26_TestCase7, MAYBE, 579)
(FSE_Bitvector_Mode_Type_Conversion_in_Assignment_1_T_Loop26_TestCase5, MAYBE, 575)
(FSE_Bitvector_Mode_Type_Conversion_in_Assignment_1_T_Loop26_TestCase4, MAYBE, 571)
(FSE_Bitvector_Mode_Type_Conversion_in_Assignment_1_T_Loop26_TestCase1, MAYBE, 582)
(FSE_Bitvector_Mode_Type_Conversion_in_Assignment_1_T_Loop26_TestCase10, MAYBE, 586)
(FSE_Bitvector_Mode_Type_Conversion_in_Assignment_1_T_Loop26_TestCase3, MAYBE, 586)
(FSE_Bitvector_Mode_Type_Conversion_in_Assignment_1_T_Loop26_TestCase2, MAYBE, 571)</v>
      </c>
      <c r="AK71" s="142" t="str">
        <v>correct</v>
      </c>
      <c r="AL71" s="80">
        <v>0</v>
      </c>
      <c r="AM71" s="1" t="str">
        <v>0/10</v>
      </c>
      <c r="AN71" s="80" t="str">
        <v/>
      </c>
      <c r="AO71" s="1" t="str">
        <v/>
      </c>
      <c r="AP71" s="143">
        <v>0</v>
      </c>
      <c r="AQ71" s="1" t="str">
        <v>0/10</v>
      </c>
      <c r="AR71" s="142">
        <v>0</v>
      </c>
      <c r="AS71" s="150">
        <v>0</v>
      </c>
      <c r="AT71" s="142">
        <v>0</v>
      </c>
      <c r="AU71" s="4" t="s">
        <v>102</v>
      </c>
    </row>
    <row r="72" spans="1:47" x14ac:dyDescent="0.2">
      <c r="A72" s="174"/>
      <c r="B72" s="9" t="s">
        <v>72</v>
      </c>
      <c r="C72" s="14" t="str" cm="1">
        <f t="array" ref="C72:M72">_xlfn.LET(
  _xlpm.program_isNT, RIGHT(Athena_BV!B72,5)="_NT.c",
  _xlpm.program_isT,  RIGHT(Athena_BV!B72,4)="_T.c",
  _xlpm.bv_isCorrect, LOWER(Athena_BV!D72)="correct",
  _xlpm.ma_isCorrect, LOWER(Athena_MA!D72)="correct",
  _xlpm.mi_isCorrect, LOWER(Athena_MI!D72)="correct",
  _xlpm.bv_column, IF(_xlpm.program_isNT, Athena_BV!G72, IF(_xlpm.program_isT, Athena_BV!E72, "")),
  _xlpm.ma_column, IF(_xlpm.program_isNT, Athena_MA!G72, IF(_xlpm.program_isT, Athena_MA!E72, "")),
  _xlpm.mi_column, IF(_xlpm.program_isNT, Athena_MI!G72, IF(_xlpm.program_isT, Athena_MI!E72,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Athena_BV!C72:M72,
    Athena_MA!C72:M72,
    Athena_MI!C72:M72
  )
)</f>
        <v>(FSE_Bitvector_Mode_Type_Conversion_in_Comparison_1_NT_Loop0_TestCase0, NO, 2545)</v>
      </c>
      <c r="D72" s="142" t="str">
        <v>correct</v>
      </c>
      <c r="E72" s="80">
        <v>0</v>
      </c>
      <c r="F72" s="1" t="str">
        <v>0/0</v>
      </c>
      <c r="G72" s="80">
        <v>1</v>
      </c>
      <c r="H72" s="1" t="str">
        <v>1/1</v>
      </c>
      <c r="I72" s="143">
        <v>1</v>
      </c>
      <c r="J72" s="1" t="str">
        <v>1/1</v>
      </c>
      <c r="K72" s="142">
        <v>2545</v>
      </c>
      <c r="L72" s="1">
        <v>2545</v>
      </c>
      <c r="M72" s="140">
        <v>2545</v>
      </c>
      <c r="N72" s="14" t="str" cm="1">
        <f t="array" ref="N72:X72">_xlfn.LET(
  _xlpm.program_isNT, RIGHT(Athena_BV!B72,5)="_NT.c",
  _xlpm.program_isT,  RIGHT(Athena_BV!B72,4)="_T.c",
  _xlpm.bv_isCorrect, LOWER(Athena_BV!O72)="correct",
  _xlpm.ma_isCorrect, LOWER(Athena_MA!O72)="correct",
  _xlpm.mi_isCorrect, LOWER(Athena_MI!O72)="correct",
  _xlpm.bv_column, IF(_xlpm.program_isNT, Athena_BV!R72, IF(_xlpm.program_isT, Athena_BV!P72, "")),
  _xlpm.ma_column, IF(_xlpm.program_isNT, Athena_MA!R72, IF(_xlpm.program_isT, Athena_MA!P72, "")),
  _xlpm.mi_column, IF(_xlpm.program_isNT, Athena_MI!R72, IF(_xlpm.program_isT, Athena_MI!P72,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Athena_BV!N72:X72,
    Athena_MA!N72:X72,
    Athena_MI!N72:X72
  )
)</f>
        <v>(FSE_Bitvector_Mode_Type_Conversion_in_Comparison_1_NT_Loop16_TestCase0, NO, 3007)</v>
      </c>
      <c r="O72" s="142" t="str">
        <v>correct</v>
      </c>
      <c r="P72" s="80">
        <v>0</v>
      </c>
      <c r="Q72" s="1" t="str">
        <v>0/0</v>
      </c>
      <c r="R72" s="80">
        <v>1</v>
      </c>
      <c r="S72" s="149" t="str">
        <v>1/1</v>
      </c>
      <c r="T72" s="80">
        <v>1</v>
      </c>
      <c r="U72" s="1" t="str">
        <v>1/1</v>
      </c>
      <c r="V72" s="142">
        <v>3007</v>
      </c>
      <c r="W72" s="150">
        <v>3007</v>
      </c>
      <c r="X72" s="142">
        <v>3007</v>
      </c>
      <c r="Y72" s="14" t="str" cm="1">
        <f t="array" ref="Y72:AI72">_xlfn.LET(
  _xlpm.program_isNT, RIGHT(Athena_BV!B72,5)="_NT.c",
  _xlpm.program_isT,  RIGHT(Athena_BV!B72,4)="_T.c",
  _xlpm.bv_isCorrect, LOWER(Athena_BV!Z72)="correct",
  _xlpm.ma_isCorrect, LOWER(Athena_MA!Z72)="correct",
  _xlpm.mi_isCorrect, LOWER(Athena_MI!Z72)="correct",
  _xlpm.bv_column, IF(_xlpm.program_isNT, Athena_BV!AC72, IF(_xlpm.program_isT, Athena_BV!AA72, "")),
  _xlpm.ma_column, IF(_xlpm.program_isNT, Athena_MA!AC72, IF(_xlpm.program_isT, Athena_MA!AA72, "")),
  _xlpm.mi_column, IF(_xlpm.program_isNT, Athena_MI!AC72, IF(_xlpm.program_isT, Athena_MI!AA72,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Athena_BV!Y72:AI72,
    Athena_MA!Y72:AI72,
    Athena_MI!Y72:AI72
  )
)</f>
        <v>(FSE_Bitvector_Mode_Type_Conversion_in_Comparison_1_NT_Loop0_TestCase10, NO, 1668)
(FSE_Bitvector_Mode_Type_Conversion_in_Comparison_1_NT_Loop0_TestCase9, NO, 1678)
(FSE_Bitvector_Mode_Type_Conversion_in_Comparison_1_NT_Loop0_TestCase8, NO, 1697)
(FSE_Bitvector_Mode_Type_Conversion_in_Comparison_1_NT_Loop0_TestCase1, YES, 1691)
(FSE_Bitvector_Mode_Type_Conversion_in_Comparison_1_NT_Loop0_TestCase3, YES, 1778)
(FSE_Bitvector_Mode_Type_Conversion_in_Comparison_1_NT_Loop0_TestCase2, YES, 1806)
(FSE_Bitvector_Mode_Type_Conversion_in_Comparison_1_NT_Loop0_TestCase6, NO, 1698)
(FSE_Bitvector_Mode_Type_Conversion_in_Comparison_1_NT_Loop0_TestCase7, NO, 1695)
(FSE_Bitvector_Mode_Type_Conversion_in_Comparison_1_NT_Loop0_TestCase5, YES, 1818)
(FSE_Bitvector_Mode_Type_Conversion_in_Comparison_1_NT_Loop0_TestCase4, YES, 1796)</v>
      </c>
      <c r="Z72" s="142" t="str">
        <v>correct</v>
      </c>
      <c r="AA72" s="80">
        <v>1</v>
      </c>
      <c r="AB72" s="1" t="str">
        <v>5/5</v>
      </c>
      <c r="AC72" s="80">
        <v>1</v>
      </c>
      <c r="AD72" s="1" t="str">
        <v>5/5</v>
      </c>
      <c r="AE72" s="143">
        <v>1</v>
      </c>
      <c r="AF72" s="1" t="str">
        <v>10/10</v>
      </c>
      <c r="AG72" s="142">
        <v>17325</v>
      </c>
      <c r="AH72" s="150">
        <v>1732.5</v>
      </c>
      <c r="AI72" s="142">
        <v>1697.5</v>
      </c>
      <c r="AJ72" s="14" t="str" cm="1">
        <f t="array" ref="AJ72:AT72">_xlfn.LET(
  _xlpm.program_isNT, RIGHT(Athena_BV!B72,5)="_NT.c",
  _xlpm.program_isT,  RIGHT(Athena_BV!B72,4)="_T.c",
  _xlpm.bv_isCorrect, LOWER(Athena_BV!AK72)="correct",
  _xlpm.ma_isCorrect, LOWER(Athena_MA!AK72)="correct",
  _xlpm.mi_isCorrect, LOWER(Athena_MI!AK72)="correct",
  _xlpm.bv_column, IF(_xlpm.program_isNT, Athena_BV!AN72, IF(_xlpm.program_isT, Athena_BV!AL72, "")),
  _xlpm.ma_column, IF(_xlpm.program_isNT, Athena_MA!AN72, IF(_xlpm.program_isT, Athena_MA!AL72, "")),
  _xlpm.mi_column, IF(_xlpm.program_isNT, Athena_MI!AN72, IF(_xlpm.program_isT, Athena_MI!AL72,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Athena_BV!AJ72:AT72,
    Athena_MA!AJ72:AT72,
    Athena_MI!AJ72:AT72
  )
)</f>
        <v>(FSE_Bitvector_Mode_Type_Conversion_in_Comparison_1_NT_Loop16_TestCase1, YES, 1724)
(FSE_Bitvector_Mode_Type_Conversion_in_Comparison_1_NT_Loop16_TestCase3, YES, 1814)
(FSE_Bitvector_Mode_Type_Conversion_in_Comparison_1_NT_Loop16_TestCase2, YES, 1847)
(FSE_Bitvector_Mode_Type_Conversion_in_Comparison_1_NT_Loop16_TestCase6, NO, 1738)
(FSE_Bitvector_Mode_Type_Conversion_in_Comparison_1_NT_Loop16_TestCase10, NO, 1961)
(FSE_Bitvector_Mode_Type_Conversion_in_Comparison_1_NT_Loop16_TestCase7, NO, 1699)
(FSE_Bitvector_Mode_Type_Conversion_in_Comparison_1_NT_Loop16_TestCase5, YES, 3541)
(FSE_Bitvector_Mode_Type_Conversion_in_Comparison_1_NT_Loop16_TestCase4, YES, 1850)
(FSE_Bitvector_Mode_Type_Conversion_in_Comparison_1_NT_Loop16_TestCase9, NO, 1716)
(FSE_Bitvector_Mode_Type_Conversion_in_Comparison_1_NT_Loop16_TestCase8, NO, 1754)</v>
      </c>
      <c r="AK72" s="142" t="str">
        <v>correct</v>
      </c>
      <c r="AL72" s="80">
        <v>1</v>
      </c>
      <c r="AM72" s="1" t="str">
        <v>5/5</v>
      </c>
      <c r="AN72" s="80">
        <v>1</v>
      </c>
      <c r="AO72" s="1" t="str">
        <v>5/5</v>
      </c>
      <c r="AP72" s="143">
        <v>1</v>
      </c>
      <c r="AQ72" s="1" t="str">
        <v>10/10</v>
      </c>
      <c r="AR72" s="142">
        <v>19644</v>
      </c>
      <c r="AS72" s="150">
        <v>1964.4</v>
      </c>
      <c r="AT72" s="142">
        <v>1784</v>
      </c>
      <c r="AU72" s="4" t="s">
        <v>102</v>
      </c>
    </row>
    <row r="73" spans="1:47" x14ac:dyDescent="0.2">
      <c r="A73" s="174"/>
      <c r="B73" s="9" t="s">
        <v>73</v>
      </c>
      <c r="C73" s="14" t="str" cm="1">
        <f t="array" ref="C73:M73">_xlfn.LET(
  _xlpm.program_isNT, RIGHT(Athena_BV!B73,5)="_NT.c",
  _xlpm.program_isT,  RIGHT(Athena_BV!B73,4)="_T.c",
  _xlpm.bv_isCorrect, LOWER(Athena_BV!D73)="correct",
  _xlpm.ma_isCorrect, LOWER(Athena_MA!D73)="correct",
  _xlpm.mi_isCorrect, LOWER(Athena_MI!D73)="correct",
  _xlpm.bv_column, IF(_xlpm.program_isNT, Athena_BV!G73, IF(_xlpm.program_isT, Athena_BV!E73, "")),
  _xlpm.ma_column, IF(_xlpm.program_isNT, Athena_MA!G73, IF(_xlpm.program_isT, Athena_MA!E73, "")),
  _xlpm.mi_column, IF(_xlpm.program_isNT, Athena_MI!G73, IF(_xlpm.program_isT, Athena_MI!E73,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Athena_BV!C73:M73,
    Athena_MA!C73:M73,
    Athena_MI!C73:M73
  )
)</f>
        <v>(FSE_Bitvector_Mode_Type_Conversion_in_Comparison_1_T_Loop0_TestCase0, YES, 1868)</v>
      </c>
      <c r="D73" s="142" t="str">
        <v>correct</v>
      </c>
      <c r="E73" s="80">
        <v>1</v>
      </c>
      <c r="F73" s="1" t="str">
        <v>1/1</v>
      </c>
      <c r="G73" s="80" t="str">
        <v/>
      </c>
      <c r="H73" s="1" t="str">
        <v/>
      </c>
      <c r="I73" s="143">
        <v>1</v>
      </c>
      <c r="J73" s="1" t="str">
        <v>1/1</v>
      </c>
      <c r="K73" s="142">
        <v>1868</v>
      </c>
      <c r="L73" s="1">
        <v>1868</v>
      </c>
      <c r="M73" s="140">
        <v>1868</v>
      </c>
      <c r="N73" s="14" t="str" cm="1">
        <f t="array" ref="N73:X73">_xlfn.LET(
  _xlpm.program_isNT, RIGHT(Athena_BV!B73,5)="_NT.c",
  _xlpm.program_isT,  RIGHT(Athena_BV!B73,4)="_T.c",
  _xlpm.bv_isCorrect, LOWER(Athena_BV!O73)="correct",
  _xlpm.ma_isCorrect, LOWER(Athena_MA!O73)="correct",
  _xlpm.mi_isCorrect, LOWER(Athena_MI!O73)="correct",
  _xlpm.bv_column, IF(_xlpm.program_isNT, Athena_BV!R73, IF(_xlpm.program_isT, Athena_BV!P73, "")),
  _xlpm.ma_column, IF(_xlpm.program_isNT, Athena_MA!R73, IF(_xlpm.program_isT, Athena_MA!P73, "")),
  _xlpm.mi_column, IF(_xlpm.program_isNT, Athena_MI!R73, IF(_xlpm.program_isT, Athena_MI!P73,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Athena_BV!N73:X73,
    Athena_MA!N73:X73,
    Athena_MI!N73:X73
  )
)</f>
        <v>(FSE_Bitvector_Mode_Type_Conversion_in_Comparison_1_T_Loop18_TestCase0, YES, 1846)</v>
      </c>
      <c r="O73" s="142" t="str">
        <v>correct</v>
      </c>
      <c r="P73" s="80">
        <v>1</v>
      </c>
      <c r="Q73" s="1" t="str">
        <v>1/1</v>
      </c>
      <c r="R73" s="80" t="str">
        <v/>
      </c>
      <c r="S73" s="149" t="str">
        <v/>
      </c>
      <c r="T73" s="80">
        <v>1</v>
      </c>
      <c r="U73" s="1" t="str">
        <v>1/1</v>
      </c>
      <c r="V73" s="142">
        <v>1846</v>
      </c>
      <c r="W73" s="150">
        <v>1846</v>
      </c>
      <c r="X73" s="142">
        <v>1846</v>
      </c>
      <c r="Y73" s="14" t="str" cm="1">
        <f t="array" ref="Y73:AI73">_xlfn.LET(
  _xlpm.program_isNT, RIGHT(Athena_BV!B73,5)="_NT.c",
  _xlpm.program_isT,  RIGHT(Athena_BV!B73,4)="_T.c",
  _xlpm.bv_isCorrect, LOWER(Athena_BV!Z73)="correct",
  _xlpm.ma_isCorrect, LOWER(Athena_MA!Z73)="correct",
  _xlpm.mi_isCorrect, LOWER(Athena_MI!Z73)="correct",
  _xlpm.bv_column, IF(_xlpm.program_isNT, Athena_BV!AC73, IF(_xlpm.program_isT, Athena_BV!AA73, "")),
  _xlpm.ma_column, IF(_xlpm.program_isNT, Athena_MA!AC73, IF(_xlpm.program_isT, Athena_MA!AA73, "")),
  _xlpm.mi_column, IF(_xlpm.program_isNT, Athena_MI!AC73, IF(_xlpm.program_isT, Athena_MI!AA73,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Athena_BV!Y73:AI73,
    Athena_MA!Y73:AI73,
    Athena_MI!Y73:AI73
  )
)</f>
        <v>(FSE_Bitvector_Mode_Type_Conversion_in_Comparison_1_T_Loop0_TestCase10, YES, 1682)
(FSE_Bitvector_Mode_Type_Conversion_in_Comparison_1_T_Loop0_TestCase8, YES, 1902)
(FSE_Bitvector_Mode_Type_Conversion_in_Comparison_1_T_Loop0_TestCase9, YES, 1791)
(FSE_Bitvector_Mode_Type_Conversion_in_Comparison_1_T_Loop0_TestCase7, YES, 1800)
(FSE_Bitvector_Mode_Type_Conversion_in_Comparison_1_T_Loop0_TestCase6, YES, 1726)
(FSE_Bitvector_Mode_Type_Conversion_in_Comparison_1_T_Loop0_TestCase4, YES, 1784)
(FSE_Bitvector_Mode_Type_Conversion_in_Comparison_1_T_Loop0_TestCase5, YES, 1815)
(FSE_Bitvector_Mode_Type_Conversion_in_Comparison_1_T_Loop0_TestCase1, YES, 1664)
(FSE_Bitvector_Mode_Type_Conversion_in_Comparison_1_T_Loop0_TestCase2, YES, 1727)
(FSE_Bitvector_Mode_Type_Conversion_in_Comparison_1_T_Loop0_TestCase3, YES, 1805)</v>
      </c>
      <c r="Z73" s="142" t="str">
        <v>correct</v>
      </c>
      <c r="AA73" s="80">
        <v>1</v>
      </c>
      <c r="AB73" s="1" t="str">
        <v>10/10</v>
      </c>
      <c r="AC73" s="80" t="str">
        <v/>
      </c>
      <c r="AD73" s="1" t="str">
        <v/>
      </c>
      <c r="AE73" s="143">
        <v>1</v>
      </c>
      <c r="AF73" s="1" t="str">
        <v>10/10</v>
      </c>
      <c r="AG73" s="142">
        <v>17696</v>
      </c>
      <c r="AH73" s="150">
        <v>1769.6</v>
      </c>
      <c r="AI73" s="142">
        <v>1787.5</v>
      </c>
      <c r="AJ73" s="14" t="str" cm="1">
        <f t="array" ref="AJ73:AT73">_xlfn.LET(
  _xlpm.program_isNT, RIGHT(Athena_BV!B73,5)="_NT.c",
  _xlpm.program_isT,  RIGHT(Athena_BV!B73,4)="_T.c",
  _xlpm.bv_isCorrect, LOWER(Athena_BV!AK73)="correct",
  _xlpm.ma_isCorrect, LOWER(Athena_MA!AK73)="correct",
  _xlpm.mi_isCorrect, LOWER(Athena_MI!AK73)="correct",
  _xlpm.bv_column, IF(_xlpm.program_isNT, Athena_BV!AN73, IF(_xlpm.program_isT, Athena_BV!AL73, "")),
  _xlpm.ma_column, IF(_xlpm.program_isNT, Athena_MA!AN73, IF(_xlpm.program_isT, Athena_MA!AL73, "")),
  _xlpm.mi_column, IF(_xlpm.program_isNT, Athena_MI!AN73, IF(_xlpm.program_isT, Athena_MI!AL73,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Athena_BV!AJ73:AT73,
    Athena_MA!AJ73:AT73,
    Athena_MI!AJ73:AT73
  )
)</f>
        <v>(FSE_Bitvector_Mode_Type_Conversion_in_Comparison_1_T_Loop18_TestCase7, YES, 1664)
(FSE_Bitvector_Mode_Type_Conversion_in_Comparison_1_T_Loop18_TestCase6, YES, 4174)
(FSE_Bitvector_Mode_Type_Conversion_in_Comparison_1_T_Loop18_TestCase4, YES, 1810)
(FSE_Bitvector_Mode_Type_Conversion_in_Comparison_1_T_Loop18_TestCase5, YES, 1722)
(FSE_Bitvector_Mode_Type_Conversion_in_Comparison_1_T_Loop18_TestCase1, YES, 1727)
(FSE_Bitvector_Mode_Type_Conversion_in_Comparison_1_T_Loop18_TestCase2, YES, 1753)
(FSE_Bitvector_Mode_Type_Conversion_in_Comparison_1_T_Loop18_TestCase3, YES, 1734)
(FSE_Bitvector_Mode_Type_Conversion_in_Comparison_1_T_Loop18_TestCase8, YES, 1683)
(FSE_Bitvector_Mode_Type_Conversion_in_Comparison_1_T_Loop18_TestCase10, YES, 1731)
(FSE_Bitvector_Mode_Type_Conversion_in_Comparison_1_T_Loop18_TestCase9, YES, 1711)</v>
      </c>
      <c r="AK73" s="142" t="str">
        <v>correct</v>
      </c>
      <c r="AL73" s="80">
        <v>1</v>
      </c>
      <c r="AM73" s="1" t="str">
        <v>10/10</v>
      </c>
      <c r="AN73" s="80" t="str">
        <v/>
      </c>
      <c r="AO73" s="1" t="str">
        <v/>
      </c>
      <c r="AP73" s="143">
        <v>1</v>
      </c>
      <c r="AQ73" s="1" t="str">
        <v>10/10</v>
      </c>
      <c r="AR73" s="142">
        <v>19709</v>
      </c>
      <c r="AS73" s="150">
        <v>1970.9</v>
      </c>
      <c r="AT73" s="142">
        <v>1729</v>
      </c>
      <c r="AU73" s="4" t="s">
        <v>102</v>
      </c>
    </row>
    <row r="74" spans="1:47" x14ac:dyDescent="0.2">
      <c r="A74" s="174"/>
      <c r="B74" s="9" t="s">
        <v>74</v>
      </c>
      <c r="C74" s="14" t="str" cm="1">
        <f t="array" ref="C74:M74">_xlfn.LET(
  _xlpm.program_isNT, RIGHT(Athena_BV!B74,5)="_NT.c",
  _xlpm.program_isT,  RIGHT(Athena_BV!B74,4)="_T.c",
  _xlpm.bv_isCorrect, LOWER(Athena_BV!D74)="correct",
  _xlpm.ma_isCorrect, LOWER(Athena_MA!D74)="correct",
  _xlpm.mi_isCorrect, LOWER(Athena_MI!D74)="correct",
  _xlpm.bv_column, IF(_xlpm.program_isNT, Athena_BV!G74, IF(_xlpm.program_isT, Athena_BV!E74, "")),
  _xlpm.ma_column, IF(_xlpm.program_isNT, Athena_MA!G74, IF(_xlpm.program_isT, Athena_MA!E74, "")),
  _xlpm.mi_column, IF(_xlpm.program_isNT, Athena_MI!G74, IF(_xlpm.program_isT, Athena_MI!E74,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Athena_BV!C74:M74,
    Athena_MA!C74:M74,
    Athena_MI!C74:M74
  )
)</f>
        <v>(FSE_Bitvector_Mode_Type_Conversion_in_Comparison_2_NT_Loop0_TestCase0, NO, 1897)</v>
      </c>
      <c r="D74" s="142" t="str">
        <v>correct</v>
      </c>
      <c r="E74" s="80">
        <v>0</v>
      </c>
      <c r="F74" s="1" t="str">
        <v>0/0</v>
      </c>
      <c r="G74" s="80">
        <v>1</v>
      </c>
      <c r="H74" s="1" t="str">
        <v>1/1</v>
      </c>
      <c r="I74" s="143">
        <v>1</v>
      </c>
      <c r="J74" s="1" t="str">
        <v>1/1</v>
      </c>
      <c r="K74" s="142">
        <v>1897</v>
      </c>
      <c r="L74" s="1">
        <v>1897</v>
      </c>
      <c r="M74" s="140">
        <v>1897</v>
      </c>
      <c r="N74" s="14" t="str" cm="1">
        <f t="array" ref="N74:X74">_xlfn.LET(
  _xlpm.program_isNT, RIGHT(Athena_BV!B74,5)="_NT.c",
  _xlpm.program_isT,  RIGHT(Athena_BV!B74,4)="_T.c",
  _xlpm.bv_isCorrect, LOWER(Athena_BV!O74)="correct",
  _xlpm.ma_isCorrect, LOWER(Athena_MA!O74)="correct",
  _xlpm.mi_isCorrect, LOWER(Athena_MI!O74)="correct",
  _xlpm.bv_column, IF(_xlpm.program_isNT, Athena_BV!R74, IF(_xlpm.program_isT, Athena_BV!P74, "")),
  _xlpm.ma_column, IF(_xlpm.program_isNT, Athena_MA!R74, IF(_xlpm.program_isT, Athena_MA!P74, "")),
  _xlpm.mi_column, IF(_xlpm.program_isNT, Athena_MI!R74, IF(_xlpm.program_isT, Athena_MI!P74,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Athena_BV!N74:X74,
    Athena_MA!N74:X74,
    Athena_MI!N74:X74
  )
)</f>
        <v>(FSE_Bitvector_Mode_Type_Conversion_in_Comparison_2_NT_Loop17_TestCase0, NO, 1926)</v>
      </c>
      <c r="O74" s="142" t="str">
        <v>correct</v>
      </c>
      <c r="P74" s="80">
        <v>0</v>
      </c>
      <c r="Q74" s="1" t="str">
        <v>0/0</v>
      </c>
      <c r="R74" s="80">
        <v>1</v>
      </c>
      <c r="S74" s="149" t="str">
        <v>1/1</v>
      </c>
      <c r="T74" s="80">
        <v>1</v>
      </c>
      <c r="U74" s="1" t="str">
        <v>1/1</v>
      </c>
      <c r="V74" s="142">
        <v>1926</v>
      </c>
      <c r="W74" s="150">
        <v>1926</v>
      </c>
      <c r="X74" s="142">
        <v>1926</v>
      </c>
      <c r="Y74" s="14" t="str" cm="1">
        <f t="array" ref="Y74:AI74">_xlfn.LET(
  _xlpm.program_isNT, RIGHT(Athena_BV!B74,5)="_NT.c",
  _xlpm.program_isT,  RIGHT(Athena_BV!B74,4)="_T.c",
  _xlpm.bv_isCorrect, LOWER(Athena_BV!Z74)="correct",
  _xlpm.ma_isCorrect, LOWER(Athena_MA!Z74)="correct",
  _xlpm.mi_isCorrect, LOWER(Athena_MI!Z74)="correct",
  _xlpm.bv_column, IF(_xlpm.program_isNT, Athena_BV!AC74, IF(_xlpm.program_isT, Athena_BV!AA74, "")),
  _xlpm.ma_column, IF(_xlpm.program_isNT, Athena_MA!AC74, IF(_xlpm.program_isT, Athena_MA!AA74, "")),
  _xlpm.mi_column, IF(_xlpm.program_isNT, Athena_MI!AC74, IF(_xlpm.program_isT, Athena_MI!AA74,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Athena_BV!Y74:AI74,
    Athena_MA!Y74:AI74,
    Athena_MI!Y74:AI74
  )
)</f>
        <v>(FSE_Bitvector_Mode_Type_Conversion_in_Comparison_2_NT_Loop0_TestCase10, NO, 1710)
(FSE_Bitvector_Mode_Type_Conversion_in_Comparison_2_NT_Loop0_TestCase9, NO, 1690)
(FSE_Bitvector_Mode_Type_Conversion_in_Comparison_2_NT_Loop0_TestCase8, NO, 1717)
(FSE_Bitvector_Mode_Type_Conversion_in_Comparison_2_NT_Loop0_TestCase5, TIMEOUT, 301657)
(FSE_Bitvector_Mode_Type_Conversion_in_Comparison_2_NT_Loop0_TestCase4, YES, 1749)
(FSE_Bitvector_Mode_Type_Conversion_in_Comparison_2_NT_Loop0_TestCase6, NO, 1728)
(FSE_Bitvector_Mode_Type_Conversion_in_Comparison_2_NT_Loop0_TestCase7, NO, 1673)
(FSE_Bitvector_Mode_Type_Conversion_in_Comparison_2_NT_Loop0_TestCase3, YES, 1702)
(FSE_Bitvector_Mode_Type_Conversion_in_Comparison_2_NT_Loop0_TestCase2, YES, 2122)
(FSE_Bitvector_Mode_Type_Conversion_in_Comparison_2_NT_Loop0_TestCase1, YES, 1753)</v>
      </c>
      <c r="Z74" s="142" t="str">
        <v>correct</v>
      </c>
      <c r="AA74" s="80">
        <v>0.8</v>
      </c>
      <c r="AB74" s="1" t="str">
        <v>4/5</v>
      </c>
      <c r="AC74" s="80">
        <v>1</v>
      </c>
      <c r="AD74" s="1" t="str">
        <v>5/5</v>
      </c>
      <c r="AE74" s="143">
        <v>0.9</v>
      </c>
      <c r="AF74" s="1" t="str">
        <v>9/10</v>
      </c>
      <c r="AG74" s="142">
        <v>15844</v>
      </c>
      <c r="AH74" s="150">
        <v>1760.44</v>
      </c>
      <c r="AI74" s="142">
        <v>1717</v>
      </c>
      <c r="AJ74" s="14" t="str" cm="1">
        <f t="array" ref="AJ74:AT74">_xlfn.LET(
  _xlpm.program_isNT, RIGHT(Athena_BV!B74,5)="_NT.c",
  _xlpm.program_isT,  RIGHT(Athena_BV!B74,4)="_T.c",
  _xlpm.bv_isCorrect, LOWER(Athena_BV!AK74)="correct",
  _xlpm.ma_isCorrect, LOWER(Athena_MA!AK74)="correct",
  _xlpm.mi_isCorrect, LOWER(Athena_MI!AK74)="correct",
  _xlpm.bv_column, IF(_xlpm.program_isNT, Athena_BV!AN74, IF(_xlpm.program_isT, Athena_BV!AL74, "")),
  _xlpm.ma_column, IF(_xlpm.program_isNT, Athena_MA!AN74, IF(_xlpm.program_isT, Athena_MA!AL74, "")),
  _xlpm.mi_column, IF(_xlpm.program_isNT, Athena_MI!AN74, IF(_xlpm.program_isT, Athena_MI!AL74,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Athena_BV!AJ74:AT74,
    Athena_MA!AJ74:AT74,
    Athena_MI!AJ74:AT74
  )
)</f>
        <v>(FSE_Bitvector_Mode_Type_Conversion_in_Comparison_2_NT_Loop17_TestCase8, NO, 1704)
(FSE_Bitvector_Mode_Type_Conversion_in_Comparison_2_NT_Loop17_TestCase9, NO, 1728)
(FSE_Bitvector_Mode_Type_Conversion_in_Comparison_2_NT_Loop17_TestCase2, YES, 2165)
(FSE_Bitvector_Mode_Type_Conversion_in_Comparison_2_NT_Loop17_TestCase3, YES, 1767)
(FSE_Bitvector_Mode_Type_Conversion_in_Comparison_2_NT_Loop17_TestCase1, YES, 1725)
(FSE_Bitvector_Mode_Type_Conversion_in_Comparison_2_NT_Loop17_TestCase10, NO, 1890)
(FSE_Bitvector_Mode_Type_Conversion_in_Comparison_2_NT_Loop17_TestCase4, YES, 1749)
(FSE_Bitvector_Mode_Type_Conversion_in_Comparison_2_NT_Loop17_TestCase5, TIMEOUT, 301700)
(FSE_Bitvector_Mode_Type_Conversion_in_Comparison_2_NT_Loop17_TestCase7, NO, 1744)
(FSE_Bitvector_Mode_Type_Conversion_in_Comparison_2_NT_Loop17_TestCase6, NO, 1709)</v>
      </c>
      <c r="AK74" s="142" t="str">
        <v>correct</v>
      </c>
      <c r="AL74" s="80">
        <v>0.8</v>
      </c>
      <c r="AM74" s="1" t="str">
        <v>4/5</v>
      </c>
      <c r="AN74" s="80">
        <v>1</v>
      </c>
      <c r="AO74" s="1" t="str">
        <v>5/5</v>
      </c>
      <c r="AP74" s="143">
        <v>0.9</v>
      </c>
      <c r="AQ74" s="1" t="str">
        <v>9/10</v>
      </c>
      <c r="AR74" s="142">
        <v>16181</v>
      </c>
      <c r="AS74" s="150">
        <v>1797.89</v>
      </c>
      <c r="AT74" s="142">
        <v>1744</v>
      </c>
      <c r="AU74" s="4" t="s">
        <v>102</v>
      </c>
    </row>
    <row r="75" spans="1:47" x14ac:dyDescent="0.2">
      <c r="A75" s="174"/>
      <c r="B75" s="9" t="s">
        <v>75</v>
      </c>
      <c r="C75" s="14" t="str" cm="1">
        <f t="array" ref="C75:M75">_xlfn.LET(
  _xlpm.program_isNT, RIGHT(Athena_BV!B75,5)="_NT.c",
  _xlpm.program_isT,  RIGHT(Athena_BV!B75,4)="_T.c",
  _xlpm.bv_isCorrect, LOWER(Athena_BV!D75)="correct",
  _xlpm.ma_isCorrect, LOWER(Athena_MA!D75)="correct",
  _xlpm.mi_isCorrect, LOWER(Athena_MI!D75)="correct",
  _xlpm.bv_column, IF(_xlpm.program_isNT, Athena_BV!G75, IF(_xlpm.program_isT, Athena_BV!E75, "")),
  _xlpm.ma_column, IF(_xlpm.program_isNT, Athena_MA!G75, IF(_xlpm.program_isT, Athena_MA!E75, "")),
  _xlpm.mi_column, IF(_xlpm.program_isNT, Athena_MI!G75, IF(_xlpm.program_isT, Athena_MI!E75,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Athena_BV!C75:M75,
    Athena_MA!C75:M75,
    Athena_MI!C75:M75
  )
)</f>
        <v>(FSE_Bitvector_Mode_Type_Conversion_in_Comparison_2_T_Loop0_TestCase0, TIMEOUT, 301741)</v>
      </c>
      <c r="D75" s="142" t="str">
        <v>correct</v>
      </c>
      <c r="E75" s="80">
        <v>0</v>
      </c>
      <c r="F75" s="1" t="str">
        <v>0/1</v>
      </c>
      <c r="G75" s="80" t="str">
        <v/>
      </c>
      <c r="H75" s="1" t="str">
        <v/>
      </c>
      <c r="I75" s="143">
        <v>0</v>
      </c>
      <c r="J75" s="1" t="str">
        <v>0/1</v>
      </c>
      <c r="K75" s="142">
        <v>0</v>
      </c>
      <c r="L75" s="1">
        <v>0</v>
      </c>
      <c r="M75" s="140">
        <v>0</v>
      </c>
      <c r="N75" s="14" t="str" cm="1">
        <f t="array" ref="N75:X75">_xlfn.LET(
  _xlpm.program_isNT, RIGHT(Athena_BV!B75,5)="_NT.c",
  _xlpm.program_isT,  RIGHT(Athena_BV!B75,4)="_T.c",
  _xlpm.bv_isCorrect, LOWER(Athena_BV!O75)="correct",
  _xlpm.ma_isCorrect, LOWER(Athena_MA!O75)="correct",
  _xlpm.mi_isCorrect, LOWER(Athena_MI!O75)="correct",
  _xlpm.bv_column, IF(_xlpm.program_isNT, Athena_BV!R75, IF(_xlpm.program_isT, Athena_BV!P75, "")),
  _xlpm.ma_column, IF(_xlpm.program_isNT, Athena_MA!R75, IF(_xlpm.program_isT, Athena_MA!P75, "")),
  _xlpm.mi_column, IF(_xlpm.program_isNT, Athena_MI!R75, IF(_xlpm.program_isT, Athena_MI!P75,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Athena_BV!N75:X75,
    Athena_MA!N75:X75,
    Athena_MI!N75:X75
  )
)</f>
        <v>(FSE_Bitvector_Mode_Type_Conversion_in_Comparison_2_T_Loop16_TestCase0, TIMEOUT, 301744)</v>
      </c>
      <c r="O75" s="142" t="str">
        <v>correct</v>
      </c>
      <c r="P75" s="80">
        <v>0</v>
      </c>
      <c r="Q75" s="1" t="str">
        <v>0/1</v>
      </c>
      <c r="R75" s="80" t="str">
        <v/>
      </c>
      <c r="S75" s="149" t="str">
        <v/>
      </c>
      <c r="T75" s="80">
        <v>0</v>
      </c>
      <c r="U75" s="1" t="str">
        <v>0/1</v>
      </c>
      <c r="V75" s="142">
        <v>0</v>
      </c>
      <c r="W75" s="150">
        <v>0</v>
      </c>
      <c r="X75" s="142">
        <v>0</v>
      </c>
      <c r="Y75" s="14" t="str" cm="1">
        <f t="array" ref="Y75:AI75">_xlfn.LET(
  _xlpm.program_isNT, RIGHT(Athena_BV!B75,5)="_NT.c",
  _xlpm.program_isT,  RIGHT(Athena_BV!B75,4)="_T.c",
  _xlpm.bv_isCorrect, LOWER(Athena_BV!Z75)="correct",
  _xlpm.ma_isCorrect, LOWER(Athena_MA!Z75)="correct",
  _xlpm.mi_isCorrect, LOWER(Athena_MI!Z75)="correct",
  _xlpm.bv_column, IF(_xlpm.program_isNT, Athena_BV!AC75, IF(_xlpm.program_isT, Athena_BV!AA75, "")),
  _xlpm.ma_column, IF(_xlpm.program_isNT, Athena_MA!AC75, IF(_xlpm.program_isT, Athena_MA!AA75, "")),
  _xlpm.mi_column, IF(_xlpm.program_isNT, Athena_MI!AC75, IF(_xlpm.program_isT, Athena_MI!AA75,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Athena_BV!Y75:AI75,
    Athena_MA!Y75:AI75,
    Athena_MI!Y75:AI75
  )
)</f>
        <v>(FSE_Modulo_Arithmetic_Mode_Type_Conversion_in_Comparison_2_T_Loop0_TestCase7, YES, 3752)
(FSE_Modulo_Arithmetic_Mode_Type_Conversion_in_Comparison_2_T_Loop0_TestCase6, YES, 3922)
(FSE_Modulo_Arithmetic_Mode_Type_Conversion_in_Comparison_2_T_Loop0_TestCase10, YES, 4109)
(FSE_Modulo_Arithmetic_Mode_Type_Conversion_in_Comparison_2_T_Loop0_TestCase4, YES, 3981)
(FSE_Modulo_Arithmetic_Mode_Type_Conversion_in_Comparison_2_T_Loop0_TestCase5, YES, 4099)
(FSE_Modulo_Arithmetic_Mode_Type_Conversion_in_Comparison_2_T_Loop0_TestCase1, YES, 3899)
(FSE_Modulo_Arithmetic_Mode_Type_Conversion_in_Comparison_2_T_Loop0_TestCase2, YES, 4010)
(FSE_Modulo_Arithmetic_Mode_Type_Conversion_in_Comparison_2_T_Loop0_TestCase3, YES, 3889)
(FSE_Modulo_Arithmetic_Mode_Type_Conversion_in_Comparison_2_T_Loop0_TestCase8, YES, 4163)
(FSE_Modulo_Arithmetic_Mode_Type_Conversion_in_Comparison_2_T_Loop0_TestCase9, YES, 3881)</v>
      </c>
      <c r="Z75" s="142" t="str">
        <v>correct</v>
      </c>
      <c r="AA75" s="80">
        <v>1</v>
      </c>
      <c r="AB75" s="1" t="str">
        <v>10/10</v>
      </c>
      <c r="AC75" s="80" t="str">
        <v/>
      </c>
      <c r="AD75" s="1" t="str">
        <v/>
      </c>
      <c r="AE75" s="143">
        <v>1</v>
      </c>
      <c r="AF75" s="1" t="str">
        <v>10/10</v>
      </c>
      <c r="AG75" s="142">
        <v>39705</v>
      </c>
      <c r="AH75" s="150">
        <v>3970.5</v>
      </c>
      <c r="AI75" s="142">
        <v>3951.5</v>
      </c>
      <c r="AJ75" s="14" t="str" cm="1">
        <f t="array" ref="AJ75:AT75">_xlfn.LET(
  _xlpm.program_isNT, RIGHT(Athena_BV!B75,5)="_NT.c",
  _xlpm.program_isT,  RIGHT(Athena_BV!B75,4)="_T.c",
  _xlpm.bv_isCorrect, LOWER(Athena_BV!AK75)="correct",
  _xlpm.ma_isCorrect, LOWER(Athena_MA!AK75)="correct",
  _xlpm.mi_isCorrect, LOWER(Athena_MI!AK75)="correct",
  _xlpm.bv_column, IF(_xlpm.program_isNT, Athena_BV!AN75, IF(_xlpm.program_isT, Athena_BV!AL75, "")),
  _xlpm.ma_column, IF(_xlpm.program_isNT, Athena_MA!AN75, IF(_xlpm.program_isT, Athena_MA!AL75, "")),
  _xlpm.mi_column, IF(_xlpm.program_isNT, Athena_MI!AN75, IF(_xlpm.program_isT, Athena_MI!AL75,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Athena_BV!AJ75:AT75,
    Athena_MA!AJ75:AT75,
    Athena_MI!AJ75:AT75
  )
)</f>
        <v>(FSE_Bitvector_Mode_Type_Conversion_in_Comparison_2_T_Loop16_TestCase7, YES, 1866)
(FSE_Bitvector_Mode_Type_Conversion_in_Comparison_2_T_Loop16_TestCase6, YES, 1794)
(FSE_Bitvector_Mode_Type_Conversion_in_Comparison_2_T_Loop16_TestCase4, YES, 1861)
(FSE_Bitvector_Mode_Type_Conversion_in_Comparison_2_T_Loop16_TestCase5, TIMEOUT, 301783)
(FSE_Bitvector_Mode_Type_Conversion_in_Comparison_2_T_Loop16_TestCase1, YES, 1733)
(FSE_Bitvector_Mode_Type_Conversion_in_Comparison_2_T_Loop16_TestCase2, YES, 2177)
(FSE_Bitvector_Mode_Type_Conversion_in_Comparison_2_T_Loop16_TestCase3, YES, 1737)
(FSE_Bitvector_Mode_Type_Conversion_in_Comparison_2_T_Loop16_TestCase8, TIMEOUT, 301733)
(FSE_Bitvector_Mode_Type_Conversion_in_Comparison_2_T_Loop16_TestCase9, TIMEOUT, 303317)
(FSE_Bitvector_Mode_Type_Conversion_in_Comparison_2_T_Loop16_TestCase10, TIMEOUT, 301726)</v>
      </c>
      <c r="AK75" s="142" t="str">
        <v>correct</v>
      </c>
      <c r="AL75" s="80">
        <v>0.6</v>
      </c>
      <c r="AM75" s="1" t="str">
        <v>6/10</v>
      </c>
      <c r="AN75" s="80" t="str">
        <v/>
      </c>
      <c r="AO75" s="1" t="str">
        <v/>
      </c>
      <c r="AP75" s="143">
        <v>0.6</v>
      </c>
      <c r="AQ75" s="1" t="str">
        <v>6/10</v>
      </c>
      <c r="AR75" s="142">
        <v>11168</v>
      </c>
      <c r="AS75" s="150">
        <v>1861.33</v>
      </c>
      <c r="AT75" s="142">
        <v>1827.5</v>
      </c>
      <c r="AU75" s="4" t="s">
        <v>102</v>
      </c>
    </row>
    <row r="76" spans="1:47" x14ac:dyDescent="0.2">
      <c r="A76" s="174"/>
      <c r="B76" s="9" t="s">
        <v>160</v>
      </c>
      <c r="C76" s="14" t="str" cm="1">
        <f t="array" ref="C76:M76">_xlfn.LET(
  _xlpm.program_isNT, RIGHT(Athena_BV!B76,5)="_NT.c",
  _xlpm.program_isT,  RIGHT(Athena_BV!B76,4)="_T.c",
  _xlpm.bv_isCorrect, LOWER(Athena_BV!D76)="correct",
  _xlpm.ma_isCorrect, LOWER(Athena_MA!D76)="correct",
  _xlpm.mi_isCorrect, LOWER(Athena_MI!D76)="correct",
  _xlpm.bv_column, IF(_xlpm.program_isNT, Athena_BV!G76, IF(_xlpm.program_isT, Athena_BV!E76, "")),
  _xlpm.ma_column, IF(_xlpm.program_isNT, Athena_MA!G76, IF(_xlpm.program_isT, Athena_MA!E76, "")),
  _xlpm.mi_column, IF(_xlpm.program_isNT, Athena_MI!G76, IF(_xlpm.program_isT, Athena_MI!E76,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Athena_BV!C76:M76,
    Athena_MA!C76:M76,
    Athena_MI!C76:M76
  )
)</f>
        <v>(FSE_Bitvector_Mode_Undefined_Behavior_1_Loop0_TestCase0, YES, 1866)</v>
      </c>
      <c r="D76" s="142" t="str">
        <v>correct</v>
      </c>
      <c r="E76" s="80">
        <v>1</v>
      </c>
      <c r="F76" s="1" t="str">
        <v>1/1</v>
      </c>
      <c r="G76" s="80" t="str">
        <v/>
      </c>
      <c r="H76" s="1" t="str">
        <v/>
      </c>
      <c r="I76" s="143">
        <v>1</v>
      </c>
      <c r="J76" s="1" t="str">
        <v>1/1</v>
      </c>
      <c r="K76" s="142">
        <v>1866</v>
      </c>
      <c r="L76" s="1">
        <v>1866</v>
      </c>
      <c r="M76" s="140">
        <v>1866</v>
      </c>
      <c r="N76" s="14" t="str" cm="1">
        <f t="array" ref="N76:X76">_xlfn.LET(
  _xlpm.program_isNT, RIGHT(Athena_BV!B76,5)="_NT.c",
  _xlpm.program_isT,  RIGHT(Athena_BV!B76,4)="_T.c",
  _xlpm.bv_isCorrect, LOWER(Athena_BV!O76)="correct",
  _xlpm.ma_isCorrect, LOWER(Athena_MA!O76)="correct",
  _xlpm.mi_isCorrect, LOWER(Athena_MI!O76)="correct",
  _xlpm.bv_column, IF(_xlpm.program_isNT, Athena_BV!R76, IF(_xlpm.program_isT, Athena_BV!P76, "")),
  _xlpm.ma_column, IF(_xlpm.program_isNT, Athena_MA!R76, IF(_xlpm.program_isT, Athena_MA!P76, "")),
  _xlpm.mi_column, IF(_xlpm.program_isNT, Athena_MI!R76, IF(_xlpm.program_isT, Athena_MI!P76,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Athena_BV!N76:X76,
    Athena_MA!N76:X76,
    Athena_MI!N76:X76
  )
)</f>
        <v>(FSE_Bitvector_Mode_Undefined_Behavior_1_Loop14_TestCase0, YES, 1870)</v>
      </c>
      <c r="O76" s="142" t="str">
        <v>correct</v>
      </c>
      <c r="P76" s="80">
        <v>1</v>
      </c>
      <c r="Q76" s="1" t="str">
        <v>1/1</v>
      </c>
      <c r="R76" s="80" t="str">
        <v/>
      </c>
      <c r="S76" s="149" t="str">
        <v/>
      </c>
      <c r="T76" s="80">
        <v>1</v>
      </c>
      <c r="U76" s="1" t="str">
        <v>1/1</v>
      </c>
      <c r="V76" s="142">
        <v>1870</v>
      </c>
      <c r="W76" s="150">
        <v>1870</v>
      </c>
      <c r="X76" s="142">
        <v>1870</v>
      </c>
      <c r="Y76" s="14" t="str" cm="1">
        <f t="array" ref="Y76:AI76">_xlfn.LET(
  _xlpm.program_isNT, RIGHT(Athena_BV!B76,5)="_NT.c",
  _xlpm.program_isT,  RIGHT(Athena_BV!B76,4)="_T.c",
  _xlpm.bv_isCorrect, LOWER(Athena_BV!Z76)="correct",
  _xlpm.ma_isCorrect, LOWER(Athena_MA!Z76)="correct",
  _xlpm.mi_isCorrect, LOWER(Athena_MI!Z76)="correct",
  _xlpm.bv_column, IF(_xlpm.program_isNT, Athena_BV!AC76, IF(_xlpm.program_isT, Athena_BV!AA76, "")),
  _xlpm.ma_column, IF(_xlpm.program_isNT, Athena_MA!AC76, IF(_xlpm.program_isT, Athena_MA!AA76, "")),
  _xlpm.mi_column, IF(_xlpm.program_isNT, Athena_MI!AC76, IF(_xlpm.program_isT, Athena_MI!AA76,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Athena_BV!Y76:AI76,
    Athena_MA!Y76:AI76,
    Athena_MI!Y76:AI76
  )
)</f>
        <v>(FSE_Bitvector_Mode_Undefined_Behavior_1_Loop0_TestCase8, YES, 1742)
(FSE_Bitvector_Mode_Undefined_Behavior_1_Loop0_TestCase9, YES, 1715)
(FSE_Bitvector_Mode_Undefined_Behavior_1_Loop0_TestCase10, YES, 1714)
(FSE_Bitvector_Mode_Undefined_Behavior_1_Loop0_TestCase7, YES, 1712)
(FSE_Bitvector_Mode_Undefined_Behavior_1_Loop0_TestCase6, YES, 1729)
(FSE_Bitvector_Mode_Undefined_Behavior_1_Loop0_TestCase4, YES, 1727)
(FSE_Bitvector_Mode_Undefined_Behavior_1_Loop0_TestCase5, YES, 1729)
(FSE_Bitvector_Mode_Undefined_Behavior_1_Loop0_TestCase1, YES, 1704)
(FSE_Bitvector_Mode_Undefined_Behavior_1_Loop0_TestCase2, YES, 1707)
(FSE_Bitvector_Mode_Undefined_Behavior_1_Loop0_TestCase3, YES, 1720)</v>
      </c>
      <c r="Z76" s="142" t="str">
        <v>correct</v>
      </c>
      <c r="AA76" s="80">
        <v>1</v>
      </c>
      <c r="AB76" s="1" t="str">
        <v>10/10</v>
      </c>
      <c r="AC76" s="80" t="str">
        <v/>
      </c>
      <c r="AD76" s="1" t="str">
        <v/>
      </c>
      <c r="AE76" s="143">
        <v>1</v>
      </c>
      <c r="AF76" s="1" t="str">
        <v>10/10</v>
      </c>
      <c r="AG76" s="142">
        <v>17199</v>
      </c>
      <c r="AH76" s="150">
        <v>1719.9</v>
      </c>
      <c r="AI76" s="142">
        <v>1717.5</v>
      </c>
      <c r="AJ76" s="14" t="str" cm="1">
        <f t="array" ref="AJ76:AT76">_xlfn.LET(
  _xlpm.program_isNT, RIGHT(Athena_BV!B76,5)="_NT.c",
  _xlpm.program_isT,  RIGHT(Athena_BV!B76,4)="_T.c",
  _xlpm.bv_isCorrect, LOWER(Athena_BV!AK76)="correct",
  _xlpm.ma_isCorrect, LOWER(Athena_MA!AK76)="correct",
  _xlpm.mi_isCorrect, LOWER(Athena_MI!AK76)="correct",
  _xlpm.bv_column, IF(_xlpm.program_isNT, Athena_BV!AN76, IF(_xlpm.program_isT, Athena_BV!AL76, "")),
  _xlpm.ma_column, IF(_xlpm.program_isNT, Athena_MA!AN76, IF(_xlpm.program_isT, Athena_MA!AL76, "")),
  _xlpm.mi_column, IF(_xlpm.program_isNT, Athena_MI!AN76, IF(_xlpm.program_isT, Athena_MI!AL76,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Athena_BV!AJ76:AT76,
    Athena_MA!AJ76:AT76,
    Athena_MI!AJ76:AT76
  )
)</f>
        <v>(FSE_Bitvector_Mode_Undefined_Behavior_1_Loop14_TestCase10, YES, 1733)
(FSE_Bitvector_Mode_Undefined_Behavior_1_Loop14_TestCase6, YES, 1720)
(FSE_Bitvector_Mode_Undefined_Behavior_1_Loop14_TestCase7, YES, 1723)
(FSE_Bitvector_Mode_Undefined_Behavior_1_Loop14_TestCase5, YES, 1736)
(FSE_Bitvector_Mode_Undefined_Behavior_1_Loop14_TestCase4, YES, 1735)
(FSE_Bitvector_Mode_Undefined_Behavior_1_Loop14_TestCase1, YES, 1726)
(FSE_Bitvector_Mode_Undefined_Behavior_1_Loop14_TestCase3, YES, 1888)
(FSE_Bitvector_Mode_Undefined_Behavior_1_Loop14_TestCase2, YES, 1728)
(FSE_Bitvector_Mode_Undefined_Behavior_1_Loop14_TestCase9, YES, 1764)
(FSE_Bitvector_Mode_Undefined_Behavior_1_Loop14_TestCase8, YES, 1687)</v>
      </c>
      <c r="AK76" s="142" t="str">
        <v>correct</v>
      </c>
      <c r="AL76" s="80">
        <v>1</v>
      </c>
      <c r="AM76" s="1" t="str">
        <v>10/10</v>
      </c>
      <c r="AN76" s="80" t="str">
        <v/>
      </c>
      <c r="AO76" s="1" t="str">
        <v/>
      </c>
      <c r="AP76" s="143">
        <v>1</v>
      </c>
      <c r="AQ76" s="1" t="str">
        <v>10/10</v>
      </c>
      <c r="AR76" s="142">
        <v>17440</v>
      </c>
      <c r="AS76" s="150">
        <v>1744</v>
      </c>
      <c r="AT76" s="142">
        <v>1730.5</v>
      </c>
      <c r="AU76" s="4" t="s">
        <v>103</v>
      </c>
    </row>
    <row r="77" spans="1:47" x14ac:dyDescent="0.2">
      <c r="A77" s="174"/>
      <c r="B77" s="9" t="s">
        <v>76</v>
      </c>
      <c r="C77" s="14" t="str" cm="1">
        <f t="array" ref="C77:M77">_xlfn.LET(
  _xlpm.program_isNT, RIGHT(Athena_BV!B77,5)="_NT.c",
  _xlpm.program_isT,  RIGHT(Athena_BV!B77,4)="_T.c",
  _xlpm.bv_isCorrect, LOWER(Athena_BV!D77)="correct",
  _xlpm.ma_isCorrect, LOWER(Athena_MA!D77)="correct",
  _xlpm.mi_isCorrect, LOWER(Athena_MI!D77)="correct",
  _xlpm.bv_column, IF(_xlpm.program_isNT, Athena_BV!G77, IF(_xlpm.program_isT, Athena_BV!E77, "")),
  _xlpm.ma_column, IF(_xlpm.program_isNT, Athena_MA!G77, IF(_xlpm.program_isT, Athena_MA!E77, "")),
  _xlpm.mi_column, IF(_xlpm.program_isNT, Athena_MI!G77, IF(_xlpm.program_isT, Athena_MI!E77,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Athena_BV!C77:M77,
    Athena_MA!C77:M77,
    Athena_MI!C77:M77
  )
)</f>
        <v>(FSE_Bitvector_Mode_Undefined_Behavior_1_T_Loop0_TestCase0, YES, 1900)</v>
      </c>
      <c r="D77" s="142" t="str">
        <v>correct</v>
      </c>
      <c r="E77" s="80">
        <v>1</v>
      </c>
      <c r="F77" s="1" t="str">
        <v>1/1</v>
      </c>
      <c r="G77" s="80" t="str">
        <v/>
      </c>
      <c r="H77" s="1" t="str">
        <v/>
      </c>
      <c r="I77" s="143">
        <v>1</v>
      </c>
      <c r="J77" s="1" t="str">
        <v>1/1</v>
      </c>
      <c r="K77" s="142">
        <v>1900</v>
      </c>
      <c r="L77" s="1">
        <v>1900</v>
      </c>
      <c r="M77" s="140">
        <v>1900</v>
      </c>
      <c r="N77" s="14" t="str" cm="1">
        <f t="array" ref="N77:X77">_xlfn.LET(
  _xlpm.program_isNT, RIGHT(Athena_BV!B77,5)="_NT.c",
  _xlpm.program_isT,  RIGHT(Athena_BV!B77,4)="_T.c",
  _xlpm.bv_isCorrect, LOWER(Athena_BV!O77)="correct",
  _xlpm.ma_isCorrect, LOWER(Athena_MA!O77)="correct",
  _xlpm.mi_isCorrect, LOWER(Athena_MI!O77)="correct",
  _xlpm.bv_column, IF(_xlpm.program_isNT, Athena_BV!R77, IF(_xlpm.program_isT, Athena_BV!P77, "")),
  _xlpm.ma_column, IF(_xlpm.program_isNT, Athena_MA!R77, IF(_xlpm.program_isT, Athena_MA!P77, "")),
  _xlpm.mi_column, IF(_xlpm.program_isNT, Athena_MI!R77, IF(_xlpm.program_isT, Athena_MI!P77,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Athena_BV!N77:X77,
    Athena_MA!N77:X77,
    Athena_MI!N77:X77
  )
)</f>
        <v>(FSE_Bitvector_Mode_Undefined_Behavior_1_T_Loop15_TestCase0, YES, 1747)</v>
      </c>
      <c r="O77" s="142" t="str">
        <v>correct</v>
      </c>
      <c r="P77" s="80">
        <v>1</v>
      </c>
      <c r="Q77" s="1" t="str">
        <v>1/1</v>
      </c>
      <c r="R77" s="80" t="str">
        <v/>
      </c>
      <c r="S77" s="149" t="str">
        <v/>
      </c>
      <c r="T77" s="80">
        <v>1</v>
      </c>
      <c r="U77" s="1" t="str">
        <v>1/1</v>
      </c>
      <c r="V77" s="142">
        <v>1747</v>
      </c>
      <c r="W77" s="150">
        <v>1747</v>
      </c>
      <c r="X77" s="142">
        <v>1747</v>
      </c>
      <c r="Y77" s="14" t="str" cm="1">
        <f t="array" ref="Y77:AI77">_xlfn.LET(
  _xlpm.program_isNT, RIGHT(Athena_BV!B77,5)="_NT.c",
  _xlpm.program_isT,  RIGHT(Athena_BV!B77,4)="_T.c",
  _xlpm.bv_isCorrect, LOWER(Athena_BV!Z77)="correct",
  _xlpm.ma_isCorrect, LOWER(Athena_MA!Z77)="correct",
  _xlpm.mi_isCorrect, LOWER(Athena_MI!Z77)="correct",
  _xlpm.bv_column, IF(_xlpm.program_isNT, Athena_BV!AC77, IF(_xlpm.program_isT, Athena_BV!AA77, "")),
  _xlpm.ma_column, IF(_xlpm.program_isNT, Athena_MA!AC77, IF(_xlpm.program_isT, Athena_MA!AA77, "")),
  _xlpm.mi_column, IF(_xlpm.program_isNT, Athena_MI!AC77, IF(_xlpm.program_isT, Athena_MI!AA77,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Athena_BV!Y77:AI77,
    Athena_MA!Y77:AI77,
    Athena_MI!Y77:AI77
  )
)</f>
        <v>(FSE_Bitvector_Mode_Undefined_Behavior_1_T_Loop0_TestCase10, YES, 1713)
(FSE_Bitvector_Mode_Undefined_Behavior_1_T_Loop0_TestCase1, YES, 1786)
(FSE_Bitvector_Mode_Undefined_Behavior_1_T_Loop0_TestCase2, YES, 1741)
(FSE_Bitvector_Mode_Undefined_Behavior_1_T_Loop0_TestCase3, YES, 1744)
(FSE_Bitvector_Mode_Undefined_Behavior_1_T_Loop0_TestCase7, YES, 1823)
(FSE_Bitvector_Mode_Undefined_Behavior_1_T_Loop0_TestCase6, YES, 1816)
(FSE_Bitvector_Mode_Undefined_Behavior_1_T_Loop0_TestCase4, YES, 1800)
(FSE_Bitvector_Mode_Undefined_Behavior_1_T_Loop0_TestCase5, YES, 1710)
(FSE_Bitvector_Mode_Undefined_Behavior_1_T_Loop0_TestCase8, YES, 1809)
(FSE_Bitvector_Mode_Undefined_Behavior_1_T_Loop0_TestCase9, YES, 1817)</v>
      </c>
      <c r="Z77" s="142" t="str">
        <v>correct</v>
      </c>
      <c r="AA77" s="80">
        <v>1</v>
      </c>
      <c r="AB77" s="1" t="str">
        <v>10/10</v>
      </c>
      <c r="AC77" s="80" t="str">
        <v/>
      </c>
      <c r="AD77" s="1" t="str">
        <v/>
      </c>
      <c r="AE77" s="143">
        <v>1</v>
      </c>
      <c r="AF77" s="1" t="str">
        <v>10/10</v>
      </c>
      <c r="AG77" s="142">
        <v>17759</v>
      </c>
      <c r="AH77" s="150">
        <v>1775.9</v>
      </c>
      <c r="AI77" s="142">
        <v>1793</v>
      </c>
      <c r="AJ77" s="14" t="str" cm="1">
        <f t="array" ref="AJ77:AT77">_xlfn.LET(
  _xlpm.program_isNT, RIGHT(Athena_BV!B77,5)="_NT.c",
  _xlpm.program_isT,  RIGHT(Athena_BV!B77,4)="_T.c",
  _xlpm.bv_isCorrect, LOWER(Athena_BV!AK77)="correct",
  _xlpm.ma_isCorrect, LOWER(Athena_MA!AK77)="correct",
  _xlpm.mi_isCorrect, LOWER(Athena_MI!AK77)="correct",
  _xlpm.bv_column, IF(_xlpm.program_isNT, Athena_BV!AN77, IF(_xlpm.program_isT, Athena_BV!AL77, "")),
  _xlpm.ma_column, IF(_xlpm.program_isNT, Athena_MA!AN77, IF(_xlpm.program_isT, Athena_MA!AL77, "")),
  _xlpm.mi_column, IF(_xlpm.program_isNT, Athena_MI!AN77, IF(_xlpm.program_isT, Athena_MI!AL77,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Athena_BV!AJ77:AT77,
    Athena_MA!AJ77:AT77,
    Athena_MI!AJ77:AT77
  )
)</f>
        <v>(FSE_Bitvector_Mode_Undefined_Behavior_1_T_Loop15_TestCase7, YES, 4404)
(FSE_Bitvector_Mode_Undefined_Behavior_1_T_Loop15_TestCase6, YES, 1824)
(FSE_Bitvector_Mode_Undefined_Behavior_1_T_Loop15_TestCase4, YES, 1840)
(FSE_Bitvector_Mode_Undefined_Behavior_1_T_Loop15_TestCase5, YES, 1837)
(FSE_Bitvector_Mode_Undefined_Behavior_1_T_Loop15_TestCase1, YES, 1743)
(FSE_Bitvector_Mode_Undefined_Behavior_1_T_Loop15_TestCase2, YES, 1746)
(FSE_Bitvector_Mode_Undefined_Behavior_1_T_Loop15_TestCase3, YES, 1760)
(FSE_Bitvector_Mode_Undefined_Behavior_1_T_Loop15_TestCase8, YES, 1725)
(FSE_Bitvector_Mode_Undefined_Behavior_1_T_Loop15_TestCase9, YES, 1720)
(FSE_Bitvector_Mode_Undefined_Behavior_1_T_Loop15_TestCase10, YES, 1963)</v>
      </c>
      <c r="AK77" s="142" t="str">
        <v>correct</v>
      </c>
      <c r="AL77" s="80">
        <v>1</v>
      </c>
      <c r="AM77" s="1" t="str">
        <v>10/10</v>
      </c>
      <c r="AN77" s="80" t="str">
        <v/>
      </c>
      <c r="AO77" s="1" t="str">
        <v/>
      </c>
      <c r="AP77" s="143">
        <v>1</v>
      </c>
      <c r="AQ77" s="1" t="str">
        <v>10/10</v>
      </c>
      <c r="AR77" s="142">
        <v>20562</v>
      </c>
      <c r="AS77" s="150">
        <v>2056.1999999999998</v>
      </c>
      <c r="AT77" s="142">
        <v>1792</v>
      </c>
      <c r="AU77" s="4" t="s">
        <v>103</v>
      </c>
    </row>
    <row r="78" spans="1:47" x14ac:dyDescent="0.2">
      <c r="A78" s="174"/>
      <c r="B78" s="9" t="s">
        <v>161</v>
      </c>
      <c r="C78" s="14" t="str" cm="1">
        <f t="array" ref="C78:M78">_xlfn.LET(
  _xlpm.program_isNT, RIGHT(Athena_BV!B78,5)="_NT.c",
  _xlpm.program_isT,  RIGHT(Athena_BV!B78,4)="_T.c",
  _xlpm.bv_isCorrect, LOWER(Athena_BV!D78)="correct",
  _xlpm.ma_isCorrect, LOWER(Athena_MA!D78)="correct",
  _xlpm.mi_isCorrect, LOWER(Athena_MI!D78)="correct",
  _xlpm.bv_column, IF(_xlpm.program_isNT, Athena_BV!G78, IF(_xlpm.program_isT, Athena_BV!E78, "")),
  _xlpm.ma_column, IF(_xlpm.program_isNT, Athena_MA!G78, IF(_xlpm.program_isT, Athena_MA!E78, "")),
  _xlpm.mi_column, IF(_xlpm.program_isNT, Athena_MI!G78, IF(_xlpm.program_isT, Athena_MI!E78,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Athena_BV!C78:M78,
    Athena_MA!C78:M78,
    Athena_MI!C78:M78
  )
)</f>
        <v>(FSE_Bitvector_Mode_Undefined_Behavior_2_Loop0_TestCase0, TIMEOUT, 301762)</v>
      </c>
      <c r="D78" s="142" t="str">
        <v>correct</v>
      </c>
      <c r="E78" s="80">
        <v>0</v>
      </c>
      <c r="F78" s="1" t="str">
        <v>0/1</v>
      </c>
      <c r="G78" s="80" t="str">
        <v/>
      </c>
      <c r="H78" s="1" t="str">
        <v/>
      </c>
      <c r="I78" s="143">
        <v>0</v>
      </c>
      <c r="J78" s="1" t="str">
        <v>0/1</v>
      </c>
      <c r="K78" s="142">
        <v>0</v>
      </c>
      <c r="L78" s="1">
        <v>0</v>
      </c>
      <c r="M78" s="140">
        <v>0</v>
      </c>
      <c r="N78" s="14" t="str" cm="1">
        <f t="array" ref="N78:X78">_xlfn.LET(
  _xlpm.program_isNT, RIGHT(Athena_BV!B78,5)="_NT.c",
  _xlpm.program_isT,  RIGHT(Athena_BV!B78,4)="_T.c",
  _xlpm.bv_isCorrect, LOWER(Athena_BV!O78)="correct",
  _xlpm.ma_isCorrect, LOWER(Athena_MA!O78)="correct",
  _xlpm.mi_isCorrect, LOWER(Athena_MI!O78)="correct",
  _xlpm.bv_column, IF(_xlpm.program_isNT, Athena_BV!R78, IF(_xlpm.program_isT, Athena_BV!P78, "")),
  _xlpm.ma_column, IF(_xlpm.program_isNT, Athena_MA!R78, IF(_xlpm.program_isT, Athena_MA!P78, "")),
  _xlpm.mi_column, IF(_xlpm.program_isNT, Athena_MI!R78, IF(_xlpm.program_isT, Athena_MI!P78,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Athena_BV!N78:X78,
    Athena_MA!N78:X78,
    Athena_MI!N78:X78
  )
)</f>
        <v>(FSE_Bitvector_Mode_Undefined_Behavior_2_Loop24_TestCase0, TIMEOUT, 301870)
(FSE_Bitvector_Mode_Undefined_Behavior_2_Loop13_TestCase0, TIMEOUT, 301742)</v>
      </c>
      <c r="O78" s="142" t="str">
        <v>correct</v>
      </c>
      <c r="P78" s="80">
        <v>0</v>
      </c>
      <c r="Q78" s="1" t="str">
        <v>0/2</v>
      </c>
      <c r="R78" s="80" t="str">
        <v/>
      </c>
      <c r="S78" s="149" t="str">
        <v/>
      </c>
      <c r="T78" s="80">
        <v>0</v>
      </c>
      <c r="U78" s="1" t="str">
        <v>0/2</v>
      </c>
      <c r="V78" s="142">
        <v>0</v>
      </c>
      <c r="W78" s="150">
        <v>0</v>
      </c>
      <c r="X78" s="142">
        <v>0</v>
      </c>
      <c r="Y78" s="14" t="str" cm="1">
        <f t="array" ref="Y78:AI78">_xlfn.LET(
  _xlpm.program_isNT, RIGHT(Athena_BV!B78,5)="_NT.c",
  _xlpm.program_isT,  RIGHT(Athena_BV!B78,4)="_T.c",
  _xlpm.bv_isCorrect, LOWER(Athena_BV!Z78)="correct",
  _xlpm.ma_isCorrect, LOWER(Athena_MA!Z78)="correct",
  _xlpm.mi_isCorrect, LOWER(Athena_MI!Z78)="correct",
  _xlpm.bv_column, IF(_xlpm.program_isNT, Athena_BV!AC78, IF(_xlpm.program_isT, Athena_BV!AA78, "")),
  _xlpm.ma_column, IF(_xlpm.program_isNT, Athena_MA!AC78, IF(_xlpm.program_isT, Athena_MA!AA78, "")),
  _xlpm.mi_column, IF(_xlpm.program_isNT, Athena_MI!AC78, IF(_xlpm.program_isT, Athena_MI!AA78,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Athena_BV!Y78:AI78,
    Athena_MA!Y78:AI78,
    Athena_MI!Y78:AI78
  )
)</f>
        <v>(FSE_Bitvector_Mode_Undefined_Behavior_2_Loop0_TestCase9, TIMEOUT, 301670)
(FSE_Bitvector_Mode_Undefined_Behavior_2_Loop0_TestCase8, TIMEOUT, 301727)
(FSE_Bitvector_Mode_Undefined_Behavior_2_Loop0_TestCase10, TIMEOUT, 301842)
(FSE_Bitvector_Mode_Undefined_Behavior_2_Loop0_TestCase5, TIMEOUT, 301724)
(FSE_Bitvector_Mode_Undefined_Behavior_2_Loop0_TestCase4, TIMEOUT, 301741)
(FSE_Bitvector_Mode_Undefined_Behavior_2_Loop0_TestCase6, TIMEOUT, 301711)
(FSE_Bitvector_Mode_Undefined_Behavior_2_Loop0_TestCase7, TIMEOUT, 301750)
(FSE_Bitvector_Mode_Undefined_Behavior_2_Loop0_TestCase3, YES, 30351)
(FSE_Bitvector_Mode_Undefined_Behavior_2_Loop0_TestCase2, YES, 9451)
(FSE_Bitvector_Mode_Undefined_Behavior_2_Loop0_TestCase1, YES, 2324)</v>
      </c>
      <c r="Z78" s="142" t="str">
        <v>correct</v>
      </c>
      <c r="AA78" s="80">
        <v>0.3</v>
      </c>
      <c r="AB78" s="1" t="str">
        <v>3/10</v>
      </c>
      <c r="AC78" s="80" t="str">
        <v/>
      </c>
      <c r="AD78" s="1" t="str">
        <v/>
      </c>
      <c r="AE78" s="143">
        <v>0.3</v>
      </c>
      <c r="AF78" s="1" t="str">
        <v>3/10</v>
      </c>
      <c r="AG78" s="142">
        <v>42126</v>
      </c>
      <c r="AH78" s="150">
        <v>14042</v>
      </c>
      <c r="AI78" s="142">
        <v>9451</v>
      </c>
      <c r="AJ78" s="14" t="str" cm="1">
        <f t="array" ref="AJ78:AT78">_xlfn.LET(
  _xlpm.program_isNT, RIGHT(Athena_BV!B78,5)="_NT.c",
  _xlpm.program_isT,  RIGHT(Athena_BV!B78,4)="_T.c",
  _xlpm.bv_isCorrect, LOWER(Athena_BV!AK78)="correct",
  _xlpm.ma_isCorrect, LOWER(Athena_MA!AK78)="correct",
  _xlpm.mi_isCorrect, LOWER(Athena_MI!AK78)="correct",
  _xlpm.bv_column, IF(_xlpm.program_isNT, Athena_BV!AN78, IF(_xlpm.program_isT, Athena_BV!AL78, "")),
  _xlpm.ma_column, IF(_xlpm.program_isNT, Athena_MA!AN78, IF(_xlpm.program_isT, Athena_MA!AL78, "")),
  _xlpm.mi_column, IF(_xlpm.program_isNT, Athena_MI!AN78, IF(_xlpm.program_isT, Athena_MI!AL78,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Athena_BV!AJ78:AT78,
    Athena_MA!AJ78:AT78,
    Athena_MI!AJ78:AT78
  )
)</f>
        <v>(FSE_Bitvector_Mode_Undefined_Behavior_2_Loop24_TestCase10, TIMEOUT, 301890)
(FSE_Bitvector_Mode_Undefined_Behavior_2_Loop13_TestCase9, TIMEOUT, 301859)
(FSE_Bitvector_Mode_Undefined_Behavior_2_Loop13_TestCase8, TIMEOUT, 302044)
(FSE_Bitvector_Mode_Undefined_Behavior_2_Loop24_TestCase9, TIMEOUT, 301873)
(FSE_Bitvector_Mode_Undefined_Behavior_2_Loop24_TestCase8, TIMEOUT, 301775)
(FSE_Bitvector_Mode_Undefined_Behavior_2_Loop24_TestCase3, TIMEOUT, 301889)
(FSE_Bitvector_Mode_Undefined_Behavior_2_Loop24_TestCase2, YES, 10946)
(FSE_Bitvector_Mode_Undefined_Behavior_2_Loop24_TestCase1, YES, 2065)
(FSE_Bitvector_Mode_Undefined_Behavior_2_Loop24_TestCase5, TIMEOUT, 302070)
(FSE_Bitvector_Mode_Undefined_Behavior_2_Loop13_TestCase10, TIMEOUT, 301811)
(FSE_Bitvector_Mode_Undefined_Behavior_2_Loop24_TestCase4, TIMEOUT, 302229)
(FSE_Bitvector_Mode_Undefined_Behavior_2_Loop24_TestCase6, TIMEOUT, 301805)
(FSE_Bitvector_Mode_Undefined_Behavior_2_Loop24_TestCase7, TIMEOUT, 301807)
(FSE_Bitvector_Mode_Undefined_Behavior_2_Loop13_TestCase6, TIMEOUT, 301855)
(FSE_Bitvector_Mode_Undefined_Behavior_2_Loop13_TestCase7, TIMEOUT, 301853)
(FSE_Bitvector_Mode_Undefined_Behavior_2_Loop13_TestCase5, TIMEOUT, 301833)
(FSE_Bitvector_Mode_Undefined_Behavior_2_Loop13_TestCase4, TIMEOUT, 301887)
(FSE_Bitvector_Mode_Undefined_Behavior_2_Loop13_TestCase1, YES, 2363)
(FSE_Bitvector_Mode_Undefined_Behavior_2_Loop13_TestCase3, YES, 149789)
(FSE_Bitvector_Mode_Undefined_Behavior_2_Loop13_TestCase2, YES, 14547)</v>
      </c>
      <c r="AK78" s="142" t="str">
        <v>correct</v>
      </c>
      <c r="AL78" s="80">
        <v>0.25</v>
      </c>
      <c r="AM78" s="1" t="str">
        <v>5/20</v>
      </c>
      <c r="AN78" s="80" t="str">
        <v/>
      </c>
      <c r="AO78" s="1" t="str">
        <v/>
      </c>
      <c r="AP78" s="143">
        <v>0.25</v>
      </c>
      <c r="AQ78" s="1" t="str">
        <v>5/20</v>
      </c>
      <c r="AR78" s="142">
        <v>179710</v>
      </c>
      <c r="AS78" s="150">
        <v>35942</v>
      </c>
      <c r="AT78" s="142">
        <v>10946</v>
      </c>
      <c r="AU78" s="4" t="s">
        <v>103</v>
      </c>
    </row>
    <row r="79" spans="1:47" x14ac:dyDescent="0.2">
      <c r="A79" s="174"/>
      <c r="B79" s="9" t="s">
        <v>77</v>
      </c>
      <c r="C79" s="14" t="str" cm="1">
        <f t="array" ref="C79:M79">_xlfn.LET(
  _xlpm.program_isNT, RIGHT(Athena_BV!B79,5)="_NT.c",
  _xlpm.program_isT,  RIGHT(Athena_BV!B79,4)="_T.c",
  _xlpm.bv_isCorrect, LOWER(Athena_BV!D79)="correct",
  _xlpm.ma_isCorrect, LOWER(Athena_MA!D79)="correct",
  _xlpm.mi_isCorrect, LOWER(Athena_MI!D79)="correct",
  _xlpm.bv_column, IF(_xlpm.program_isNT, Athena_BV!G79, IF(_xlpm.program_isT, Athena_BV!E79, "")),
  _xlpm.ma_column, IF(_xlpm.program_isNT, Athena_MA!G79, IF(_xlpm.program_isT, Athena_MA!E79, "")),
  _xlpm.mi_column, IF(_xlpm.program_isNT, Athena_MI!G79, IF(_xlpm.program_isT, Athena_MI!E79,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Athena_BV!C79:M79,
    Athena_MA!C79:M79,
    Athena_MI!C79:M79
  )
)</f>
        <v>(FSE_Bitvector_Mode_Undefined_Behavior_2_T_Loop0_TestCase0, TIMEOUT, 301759)</v>
      </c>
      <c r="D79" s="142" t="str">
        <v>correct</v>
      </c>
      <c r="E79" s="80">
        <v>0</v>
      </c>
      <c r="F79" s="1" t="str">
        <v>0/1</v>
      </c>
      <c r="G79" s="80" t="str">
        <v/>
      </c>
      <c r="H79" s="1" t="str">
        <v/>
      </c>
      <c r="I79" s="143">
        <v>0</v>
      </c>
      <c r="J79" s="1" t="str">
        <v>0/1</v>
      </c>
      <c r="K79" s="142">
        <v>0</v>
      </c>
      <c r="L79" s="1">
        <v>0</v>
      </c>
      <c r="M79" s="140">
        <v>0</v>
      </c>
      <c r="N79" s="14" t="str" cm="1">
        <f t="array" ref="N79:X79">_xlfn.LET(
  _xlpm.program_isNT, RIGHT(Athena_BV!B79,5)="_NT.c",
  _xlpm.program_isT,  RIGHT(Athena_BV!B79,4)="_T.c",
  _xlpm.bv_isCorrect, LOWER(Athena_BV!O79)="correct",
  _xlpm.ma_isCorrect, LOWER(Athena_MA!O79)="correct",
  _xlpm.mi_isCorrect, LOWER(Athena_MI!O79)="correct",
  _xlpm.bv_column, IF(_xlpm.program_isNT, Athena_BV!R79, IF(_xlpm.program_isT, Athena_BV!P79, "")),
  _xlpm.ma_column, IF(_xlpm.program_isNT, Athena_MA!R79, IF(_xlpm.program_isT, Athena_MA!P79, "")),
  _xlpm.mi_column, IF(_xlpm.program_isNT, Athena_MI!R79, IF(_xlpm.program_isT, Athena_MI!P79,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Athena_BV!N79:X79,
    Athena_MA!N79:X79,
    Athena_MI!N79:X79
  )
)</f>
        <v>(FSE_Bitvector_Mode_Undefined_Behavior_2_T_Loop25_TestCase0, TIMEOUT, 301788)
(FSE_Bitvector_Mode_Undefined_Behavior_2_T_Loop14_TestCase0, TIMEOUT, 301754)</v>
      </c>
      <c r="O79" s="142" t="str">
        <v>correct</v>
      </c>
      <c r="P79" s="80">
        <v>0</v>
      </c>
      <c r="Q79" s="1" t="str">
        <v>0/2</v>
      </c>
      <c r="R79" s="80" t="str">
        <v/>
      </c>
      <c r="S79" s="149" t="str">
        <v/>
      </c>
      <c r="T79" s="80">
        <v>0</v>
      </c>
      <c r="U79" s="1" t="str">
        <v>0/2</v>
      </c>
      <c r="V79" s="142">
        <v>0</v>
      </c>
      <c r="W79" s="150">
        <v>0</v>
      </c>
      <c r="X79" s="142">
        <v>0</v>
      </c>
      <c r="Y79" s="14" t="str" cm="1">
        <f t="array" ref="Y79:AI79">_xlfn.LET(
  _xlpm.program_isNT, RIGHT(Athena_BV!B79,5)="_NT.c",
  _xlpm.program_isT,  RIGHT(Athena_BV!B79,4)="_T.c",
  _xlpm.bv_isCorrect, LOWER(Athena_BV!Z79)="correct",
  _xlpm.ma_isCorrect, LOWER(Athena_MA!Z79)="correct",
  _xlpm.mi_isCorrect, LOWER(Athena_MI!Z79)="correct",
  _xlpm.bv_column, IF(_xlpm.program_isNT, Athena_BV!AC79, IF(_xlpm.program_isT, Athena_BV!AA79, "")),
  _xlpm.ma_column, IF(_xlpm.program_isNT, Athena_MA!AC79, IF(_xlpm.program_isT, Athena_MA!AA79, "")),
  _xlpm.mi_column, IF(_xlpm.program_isNT, Athena_MI!AC79, IF(_xlpm.program_isT, Athena_MI!AA79,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Athena_BV!Y79:AI79,
    Athena_MA!Y79:AI79,
    Athena_MI!Y79:AI79
  )
)</f>
        <v>(FSE_Bitvector_Mode_Undefined_Behavior_2_T_Loop0_TestCase10, TIMEOUT, 301730)
(FSE_Bitvector_Mode_Undefined_Behavior_2_T_Loop0_TestCase9, TIMEOUT, 301760)
(FSE_Bitvector_Mode_Undefined_Behavior_2_T_Loop0_TestCase8, TIMEOUT, 301847)
(FSE_Bitvector_Mode_Undefined_Behavior_2_T_Loop0_TestCase5, TIMEOUT, 301810)
(FSE_Bitvector_Mode_Undefined_Behavior_2_T_Loop0_TestCase4, TIMEOUT, 301756)
(FSE_Bitvector_Mode_Undefined_Behavior_2_T_Loop0_TestCase6, TIMEOUT, 301710)
(FSE_Bitvector_Mode_Undefined_Behavior_2_T_Loop0_TestCase7, TIMEOUT, 301788)
(FSE_Bitvector_Mode_Undefined_Behavior_2_T_Loop0_TestCase3, YES, 90097)
(FSE_Bitvector_Mode_Undefined_Behavior_2_T_Loop0_TestCase2, YES, 12344)
(FSE_Bitvector_Mode_Undefined_Behavior_2_T_Loop0_TestCase1, YES, 2043)</v>
      </c>
      <c r="Z79" s="142" t="str">
        <v>correct</v>
      </c>
      <c r="AA79" s="80">
        <v>0.3</v>
      </c>
      <c r="AB79" s="1" t="str">
        <v>3/10</v>
      </c>
      <c r="AC79" s="80" t="str">
        <v/>
      </c>
      <c r="AD79" s="1" t="str">
        <v/>
      </c>
      <c r="AE79" s="143">
        <v>0.3</v>
      </c>
      <c r="AF79" s="1" t="str">
        <v>3/10</v>
      </c>
      <c r="AG79" s="142">
        <v>104484</v>
      </c>
      <c r="AH79" s="150">
        <v>34828</v>
      </c>
      <c r="AI79" s="142">
        <v>12344</v>
      </c>
      <c r="AJ79" s="14" t="str" cm="1">
        <f t="array" ref="AJ79:AT79">_xlfn.LET(
  _xlpm.program_isNT, RIGHT(Athena_BV!B79,5)="_NT.c",
  _xlpm.program_isT,  RIGHT(Athena_BV!B79,4)="_T.c",
  _xlpm.bv_isCorrect, LOWER(Athena_BV!AK79)="correct",
  _xlpm.ma_isCorrect, LOWER(Athena_MA!AK79)="correct",
  _xlpm.mi_isCorrect, LOWER(Athena_MI!AK79)="correct",
  _xlpm.bv_column, IF(_xlpm.program_isNT, Athena_BV!AN79, IF(_xlpm.program_isT, Athena_BV!AL79, "")),
  _xlpm.ma_column, IF(_xlpm.program_isNT, Athena_MA!AN79, IF(_xlpm.program_isT, Athena_MA!AL79, "")),
  _xlpm.mi_column, IF(_xlpm.program_isNT, Athena_MI!AN79, IF(_xlpm.program_isT, Athena_MI!AL79,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Athena_BV!AJ79:AT79,
    Athena_MA!AJ79:AT79,
    Athena_MI!AJ79:AT79
  )
)</f>
        <v>(FSE_Bitvector_Mode_Undefined_Behavior_2_T_Loop25_TestCase10, TIMEOUT, 301801)
(FSE_Bitvector_Mode_Undefined_Behavior_2_T_Loop25_TestCase3, YES, 21701)
(FSE_Bitvector_Mode_Undefined_Behavior_2_T_Loop25_TestCase2, YES, 3456)
(FSE_Bitvector_Mode_Undefined_Behavior_2_T_Loop25_TestCase1, YES, 1964)
(FSE_Bitvector_Mode_Undefined_Behavior_2_T_Loop25_TestCase5, TIMEOUT, 302094)
(FSE_Bitvector_Mode_Undefined_Behavior_2_T_Loop25_TestCase4, TIMEOUT, 301791)
(FSE_Bitvector_Mode_Undefined_Behavior_2_T_Loop25_TestCase6, TIMEOUT, 301847)
(FSE_Bitvector_Mode_Undefined_Behavior_2_T_Loop25_TestCase7, TIMEOUT, 301846)
(FSE_Bitvector_Mode_Undefined_Behavior_2_T_Loop14_TestCase9, TIMEOUT, 301909)
(FSE_Bitvector_Mode_Undefined_Behavior_2_T_Loop14_TestCase8, TIMEOUT, 301808)
(FSE_Bitvector_Mode_Undefined_Behavior_2_T_Loop14_TestCase5, TIMEOUT, 301838)
(FSE_Bitvector_Mode_Undefined_Behavior_2_T_Loop14_TestCase4, TIMEOUT, 301853)
(FSE_Bitvector_Mode_Undefined_Behavior_2_T_Loop14_TestCase10, TIMEOUT, 301818)
(FSE_Bitvector_Mode_Undefined_Behavior_2_T_Loop14_TestCase6, TIMEOUT, 301839)
(FSE_Bitvector_Mode_Undefined_Behavior_2_T_Loop14_TestCase7, TIMEOUT, 302130)
(FSE_Bitvector_Mode_Undefined_Behavior_2_T_Loop14_TestCase3, YES, 50189)
(FSE_Bitvector_Mode_Undefined_Behavior_2_T_Loop14_TestCase2, YES, 11990)
(FSE_Bitvector_Mode_Undefined_Behavior_2_T_Loop14_TestCase1, YES, 1972)
(FSE_Bitvector_Mode_Undefined_Behavior_2_T_Loop25_TestCase9, TIMEOUT, 301831)
(FSE_Bitvector_Mode_Undefined_Behavior_2_T_Loop25_TestCase8, TIMEOUT, 301798)</v>
      </c>
      <c r="AK79" s="142" t="str">
        <v>correct</v>
      </c>
      <c r="AL79" s="80">
        <v>0.3</v>
      </c>
      <c r="AM79" s="1" t="str">
        <v>6/20</v>
      </c>
      <c r="AN79" s="80" t="str">
        <v/>
      </c>
      <c r="AO79" s="1" t="str">
        <v/>
      </c>
      <c r="AP79" s="143">
        <v>0.3</v>
      </c>
      <c r="AQ79" s="1" t="str">
        <v>6/20</v>
      </c>
      <c r="AR79" s="142">
        <v>91272</v>
      </c>
      <c r="AS79" s="150">
        <v>15212</v>
      </c>
      <c r="AT79" s="142">
        <v>7723</v>
      </c>
      <c r="AU79" s="4" t="s">
        <v>103</v>
      </c>
    </row>
    <row r="80" spans="1:47" x14ac:dyDescent="0.2">
      <c r="A80" s="174"/>
      <c r="B80" s="9" t="s">
        <v>162</v>
      </c>
      <c r="C80" s="14" t="str" cm="1">
        <f t="array" ref="C80:M80">_xlfn.LET(
  _xlpm.program_isNT, RIGHT(Athena_BV!B80,5)="_NT.c",
  _xlpm.program_isT,  RIGHT(Athena_BV!B80,4)="_T.c",
  _xlpm.bv_isCorrect, LOWER(Athena_BV!D80)="correct",
  _xlpm.ma_isCorrect, LOWER(Athena_MA!D80)="correct",
  _xlpm.mi_isCorrect, LOWER(Athena_MI!D80)="correct",
  _xlpm.bv_column, IF(_xlpm.program_isNT, Athena_BV!G80, IF(_xlpm.program_isT, Athena_BV!E80, "")),
  _xlpm.ma_column, IF(_xlpm.program_isNT, Athena_MA!G80, IF(_xlpm.program_isT, Athena_MA!E80, "")),
  _xlpm.mi_column, IF(_xlpm.program_isNT, Athena_MI!G80, IF(_xlpm.program_isT, Athena_MI!E80,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Athena_BV!C80:M80,
    Athena_MA!C80:M80,
    Athena_MI!C80:M80
  )
)</f>
        <v>(FSE_Bitvector_Mode_Undefined_Behavior_3_Loop0_TestCase0, YES, 2047)</v>
      </c>
      <c r="D80" s="142" t="str">
        <v>correct</v>
      </c>
      <c r="E80" s="80">
        <v>1</v>
      </c>
      <c r="F80" s="1" t="str">
        <v>1/1</v>
      </c>
      <c r="G80" s="80" t="str">
        <v/>
      </c>
      <c r="H80" s="1" t="str">
        <v/>
      </c>
      <c r="I80" s="143">
        <v>1</v>
      </c>
      <c r="J80" s="1" t="str">
        <v>1/1</v>
      </c>
      <c r="K80" s="142">
        <v>2047</v>
      </c>
      <c r="L80" s="1">
        <v>2047</v>
      </c>
      <c r="M80" s="140">
        <v>2047</v>
      </c>
      <c r="N80" s="14" t="str" cm="1">
        <f t="array" ref="N80:X80">_xlfn.LET(
  _xlpm.program_isNT, RIGHT(Athena_BV!B80,5)="_NT.c",
  _xlpm.program_isT,  RIGHT(Athena_BV!B80,4)="_T.c",
  _xlpm.bv_isCorrect, LOWER(Athena_BV!O80)="correct",
  _xlpm.ma_isCorrect, LOWER(Athena_MA!O80)="correct",
  _xlpm.mi_isCorrect, LOWER(Athena_MI!O80)="correct",
  _xlpm.bv_column, IF(_xlpm.program_isNT, Athena_BV!R80, IF(_xlpm.program_isT, Athena_BV!P80, "")),
  _xlpm.ma_column, IF(_xlpm.program_isNT, Athena_MA!R80, IF(_xlpm.program_isT, Athena_MA!P80, "")),
  _xlpm.mi_column, IF(_xlpm.program_isNT, Athena_MI!R80, IF(_xlpm.program_isT, Athena_MI!P80,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Athena_BV!N80:X80,
    Athena_MA!N80:X80,
    Athena_MI!N80:X80
  )
)</f>
        <v>(FSE_Bitvector_Mode_Undefined_Behavior_3_Loop15_TestCase0, YES, 1843)</v>
      </c>
      <c r="O80" s="142" t="str">
        <v>correct</v>
      </c>
      <c r="P80" s="80">
        <v>1</v>
      </c>
      <c r="Q80" s="1" t="str">
        <v>1/1</v>
      </c>
      <c r="R80" s="80" t="str">
        <v/>
      </c>
      <c r="S80" s="149" t="str">
        <v/>
      </c>
      <c r="T80" s="80">
        <v>1</v>
      </c>
      <c r="U80" s="1" t="str">
        <v>1/1</v>
      </c>
      <c r="V80" s="142">
        <v>1843</v>
      </c>
      <c r="W80" s="150">
        <v>1843</v>
      </c>
      <c r="X80" s="142">
        <v>1843</v>
      </c>
      <c r="Y80" s="14" t="str" cm="1">
        <f t="array" ref="Y80:AI80">_xlfn.LET(
  _xlpm.program_isNT, RIGHT(Athena_BV!B80,5)="_NT.c",
  _xlpm.program_isT,  RIGHT(Athena_BV!B80,4)="_T.c",
  _xlpm.bv_isCorrect, LOWER(Athena_BV!Z80)="correct",
  _xlpm.ma_isCorrect, LOWER(Athena_MA!Z80)="correct",
  _xlpm.mi_isCorrect, LOWER(Athena_MI!Z80)="correct",
  _xlpm.bv_column, IF(_xlpm.program_isNT, Athena_BV!AC80, IF(_xlpm.program_isT, Athena_BV!AA80, "")),
  _xlpm.ma_column, IF(_xlpm.program_isNT, Athena_MA!AC80, IF(_xlpm.program_isT, Athena_MA!AA80, "")),
  _xlpm.mi_column, IF(_xlpm.program_isNT, Athena_MI!AC80, IF(_xlpm.program_isT, Athena_MI!AA80,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Athena_BV!Y80:AI80,
    Athena_MA!Y80:AI80,
    Athena_MI!Y80:AI80
  )
)</f>
        <v>(FSE_Bitvector_Mode_Undefined_Behavior_3_Loop0_TestCase10, YES, 1695)
(FSE_Bitvector_Mode_Undefined_Behavior_3_Loop0_TestCase8, YES, 1731)
(FSE_Bitvector_Mode_Undefined_Behavior_3_Loop0_TestCase9, YES, 1767)
(FSE_Bitvector_Mode_Undefined_Behavior_3_Loop0_TestCase4, YES, 1708)
(FSE_Bitvector_Mode_Undefined_Behavior_3_Loop0_TestCase5, YES, 1749)
(FSE_Bitvector_Mode_Undefined_Behavior_3_Loop0_TestCase7, YES, 1737)
(FSE_Bitvector_Mode_Undefined_Behavior_3_Loop0_TestCase6, YES, 1714)
(FSE_Bitvector_Mode_Undefined_Behavior_3_Loop0_TestCase2, YES, 1733)
(FSE_Bitvector_Mode_Undefined_Behavior_3_Loop0_TestCase3, YES, 1731)
(FSE_Bitvector_Mode_Undefined_Behavior_3_Loop0_TestCase1, YES, 1691)</v>
      </c>
      <c r="Z80" s="142" t="str">
        <v>correct</v>
      </c>
      <c r="AA80" s="80">
        <v>1</v>
      </c>
      <c r="AB80" s="1" t="str">
        <v>10/10</v>
      </c>
      <c r="AC80" s="80" t="str">
        <v/>
      </c>
      <c r="AD80" s="1" t="str">
        <v/>
      </c>
      <c r="AE80" s="143">
        <v>1</v>
      </c>
      <c r="AF80" s="1" t="str">
        <v>10/10</v>
      </c>
      <c r="AG80" s="142">
        <v>17256</v>
      </c>
      <c r="AH80" s="150">
        <v>1725.6</v>
      </c>
      <c r="AI80" s="142">
        <v>1731</v>
      </c>
      <c r="AJ80" s="14" t="str" cm="1">
        <f t="array" ref="AJ80:AT80">_xlfn.LET(
  _xlpm.program_isNT, RIGHT(Athena_BV!B80,5)="_NT.c",
  _xlpm.program_isT,  RIGHT(Athena_BV!B80,4)="_T.c",
  _xlpm.bv_isCorrect, LOWER(Athena_BV!AK80)="correct",
  _xlpm.ma_isCorrect, LOWER(Athena_MA!AK80)="correct",
  _xlpm.mi_isCorrect, LOWER(Athena_MI!AK80)="correct",
  _xlpm.bv_column, IF(_xlpm.program_isNT, Athena_BV!AN80, IF(_xlpm.program_isT, Athena_BV!AL80, "")),
  _xlpm.ma_column, IF(_xlpm.program_isNT, Athena_MA!AN80, IF(_xlpm.program_isT, Athena_MA!AL80, "")),
  _xlpm.mi_column, IF(_xlpm.program_isNT, Athena_MI!AN80, IF(_xlpm.program_isT, Athena_MI!AL80,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Athena_BV!AJ80:AT80,
    Athena_MA!AJ80:AT80,
    Athena_MI!AJ80:AT80
  )
)</f>
        <v>(FSE_Bitvector_Mode_Undefined_Behavior_3_Loop15_TestCase10, YES, 1747)
(FSE_Bitvector_Mode_Undefined_Behavior_3_Loop15_TestCase6, YES, 1741)
(FSE_Bitvector_Mode_Undefined_Behavior_3_Loop15_TestCase7, YES, 1755)
(FSE_Bitvector_Mode_Undefined_Behavior_3_Loop15_TestCase5, YES, 1774)
(FSE_Bitvector_Mode_Undefined_Behavior_3_Loop15_TestCase4, YES, 2094)
(FSE_Bitvector_Mode_Undefined_Behavior_3_Loop15_TestCase1, YES, 1745)
(FSE_Bitvector_Mode_Undefined_Behavior_3_Loop15_TestCase3, YES, 1755)
(FSE_Bitvector_Mode_Undefined_Behavior_3_Loop15_TestCase2, YES, 1750)
(FSE_Bitvector_Mode_Undefined_Behavior_3_Loop15_TestCase9, YES, 1766)
(FSE_Bitvector_Mode_Undefined_Behavior_3_Loop15_TestCase8, YES, 1767)</v>
      </c>
      <c r="AK80" s="142" t="str">
        <v>correct</v>
      </c>
      <c r="AL80" s="80">
        <v>1</v>
      </c>
      <c r="AM80" s="1" t="str">
        <v>10/10</v>
      </c>
      <c r="AN80" s="80" t="str">
        <v/>
      </c>
      <c r="AO80" s="1" t="str">
        <v/>
      </c>
      <c r="AP80" s="143">
        <v>1</v>
      </c>
      <c r="AQ80" s="1" t="str">
        <v>10/10</v>
      </c>
      <c r="AR80" s="142">
        <v>17894</v>
      </c>
      <c r="AS80" s="150">
        <v>1789.4</v>
      </c>
      <c r="AT80" s="142">
        <v>1755</v>
      </c>
      <c r="AU80" s="4" t="s">
        <v>103</v>
      </c>
    </row>
    <row r="81" spans="1:47" x14ac:dyDescent="0.2">
      <c r="A81" s="174"/>
      <c r="B81" s="9" t="s">
        <v>78</v>
      </c>
      <c r="C81" s="14" t="str" cm="1">
        <f t="array" ref="C81:M81">_xlfn.LET(
  _xlpm.program_isNT, RIGHT(Athena_BV!B81,5)="_NT.c",
  _xlpm.program_isT,  RIGHT(Athena_BV!B81,4)="_T.c",
  _xlpm.bv_isCorrect, LOWER(Athena_BV!D81)="correct",
  _xlpm.ma_isCorrect, LOWER(Athena_MA!D81)="correct",
  _xlpm.mi_isCorrect, LOWER(Athena_MI!D81)="correct",
  _xlpm.bv_column, IF(_xlpm.program_isNT, Athena_BV!G81, IF(_xlpm.program_isT, Athena_BV!E81, "")),
  _xlpm.ma_column, IF(_xlpm.program_isNT, Athena_MA!G81, IF(_xlpm.program_isT, Athena_MA!E81, "")),
  _xlpm.mi_column, IF(_xlpm.program_isNT, Athena_MI!G81, IF(_xlpm.program_isT, Athena_MI!E81,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Athena_BV!C81:M81,
    Athena_MA!C81:M81,
    Athena_MI!C81:M81
  )
)</f>
        <v>(FSE_Bitvector_Mode_Undefined_Behavior_3_T_Loop0_TestCase0, YES, 1811)</v>
      </c>
      <c r="D81" s="142" t="str">
        <v>correct</v>
      </c>
      <c r="E81" s="80">
        <v>1</v>
      </c>
      <c r="F81" s="1" t="str">
        <v>1/1</v>
      </c>
      <c r="G81" s="80" t="str">
        <v/>
      </c>
      <c r="H81" s="1" t="str">
        <v/>
      </c>
      <c r="I81" s="143">
        <v>1</v>
      </c>
      <c r="J81" s="1" t="str">
        <v>1/1</v>
      </c>
      <c r="K81" s="142">
        <v>1811</v>
      </c>
      <c r="L81" s="1">
        <v>1811</v>
      </c>
      <c r="M81" s="140">
        <v>1811</v>
      </c>
      <c r="N81" s="14" t="str" cm="1">
        <f t="array" ref="N81:X81">_xlfn.LET(
  _xlpm.program_isNT, RIGHT(Athena_BV!B81,5)="_NT.c",
  _xlpm.program_isT,  RIGHT(Athena_BV!B81,4)="_T.c",
  _xlpm.bv_isCorrect, LOWER(Athena_BV!O81)="correct",
  _xlpm.ma_isCorrect, LOWER(Athena_MA!O81)="correct",
  _xlpm.mi_isCorrect, LOWER(Athena_MI!O81)="correct",
  _xlpm.bv_column, IF(_xlpm.program_isNT, Athena_BV!R81, IF(_xlpm.program_isT, Athena_BV!P81, "")),
  _xlpm.ma_column, IF(_xlpm.program_isNT, Athena_MA!R81, IF(_xlpm.program_isT, Athena_MA!P81, "")),
  _xlpm.mi_column, IF(_xlpm.program_isNT, Athena_MI!R81, IF(_xlpm.program_isT, Athena_MI!P81,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Athena_BV!N81:X81,
    Athena_MA!N81:X81,
    Athena_MI!N81:X81
  )
)</f>
        <v>(FSE_Bitvector_Mode_Undefined_Behavior_3_T_Loop15_TestCase0, YES, 1875)</v>
      </c>
      <c r="O81" s="142" t="str">
        <v>correct</v>
      </c>
      <c r="P81" s="80">
        <v>1</v>
      </c>
      <c r="Q81" s="1" t="str">
        <v>1/1</v>
      </c>
      <c r="R81" s="80" t="str">
        <v/>
      </c>
      <c r="S81" s="149" t="str">
        <v/>
      </c>
      <c r="T81" s="80">
        <v>1</v>
      </c>
      <c r="U81" s="1" t="str">
        <v>1/1</v>
      </c>
      <c r="V81" s="142">
        <v>1875</v>
      </c>
      <c r="W81" s="150">
        <v>1875</v>
      </c>
      <c r="X81" s="142">
        <v>1875</v>
      </c>
      <c r="Y81" s="14" t="str" cm="1">
        <f t="array" ref="Y81:AI81">_xlfn.LET(
  _xlpm.program_isNT, RIGHT(Athena_BV!B81,5)="_NT.c",
  _xlpm.program_isT,  RIGHT(Athena_BV!B81,4)="_T.c",
  _xlpm.bv_isCorrect, LOWER(Athena_BV!Z81)="correct",
  _xlpm.ma_isCorrect, LOWER(Athena_MA!Z81)="correct",
  _xlpm.mi_isCorrect, LOWER(Athena_MI!Z81)="correct",
  _xlpm.bv_column, IF(_xlpm.program_isNT, Athena_BV!AC81, IF(_xlpm.program_isT, Athena_BV!AA81, "")),
  _xlpm.ma_column, IF(_xlpm.program_isNT, Athena_MA!AC81, IF(_xlpm.program_isT, Athena_MA!AA81, "")),
  _xlpm.mi_column, IF(_xlpm.program_isNT, Athena_MI!AC81, IF(_xlpm.program_isT, Athena_MI!AA81,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Athena_BV!Y81:AI81,
    Athena_MA!Y81:AI81,
    Athena_MI!Y81:AI81
  )
)</f>
        <v>(FSE_Bitvector_Mode_Undefined_Behavior_3_T_Loop0_TestCase6, YES, 1738)
(FSE_Bitvector_Mode_Undefined_Behavior_3_T_Loop0_TestCase7, YES, 1781)
(FSE_Bitvector_Mode_Undefined_Behavior_3_T_Loop0_TestCase5, YES, 1707)
(FSE_Bitvector_Mode_Undefined_Behavior_3_T_Loop0_TestCase4, YES, 1702)
(FSE_Bitvector_Mode_Undefined_Behavior_3_T_Loop0_TestCase10, YES, 1785)
(FSE_Bitvector_Mode_Undefined_Behavior_3_T_Loop0_TestCase1, YES, 1742)
(FSE_Bitvector_Mode_Undefined_Behavior_3_T_Loop0_TestCase3, YES, 1752)
(FSE_Bitvector_Mode_Undefined_Behavior_3_T_Loop0_TestCase2, YES, 1792)
(FSE_Bitvector_Mode_Undefined_Behavior_3_T_Loop0_TestCase9, YES, 1790)
(FSE_Bitvector_Mode_Undefined_Behavior_3_T_Loop0_TestCase8, YES, 1923)</v>
      </c>
      <c r="Z81" s="142" t="str">
        <v>correct</v>
      </c>
      <c r="AA81" s="80">
        <v>1</v>
      </c>
      <c r="AB81" s="1" t="str">
        <v>10/10</v>
      </c>
      <c r="AC81" s="80" t="str">
        <v/>
      </c>
      <c r="AD81" s="1" t="str">
        <v/>
      </c>
      <c r="AE81" s="143">
        <v>1</v>
      </c>
      <c r="AF81" s="1" t="str">
        <v>10/10</v>
      </c>
      <c r="AG81" s="142">
        <v>17712</v>
      </c>
      <c r="AH81" s="150">
        <v>1771.2</v>
      </c>
      <c r="AI81" s="142">
        <v>1766.5</v>
      </c>
      <c r="AJ81" s="14" t="str" cm="1">
        <f t="array" ref="AJ81:AT81">_xlfn.LET(
  _xlpm.program_isNT, RIGHT(Athena_BV!B81,5)="_NT.c",
  _xlpm.program_isT,  RIGHT(Athena_BV!B81,4)="_T.c",
  _xlpm.bv_isCorrect, LOWER(Athena_BV!AK81)="correct",
  _xlpm.ma_isCorrect, LOWER(Athena_MA!AK81)="correct",
  _xlpm.mi_isCorrect, LOWER(Athena_MI!AK81)="correct",
  _xlpm.bv_column, IF(_xlpm.program_isNT, Athena_BV!AN81, IF(_xlpm.program_isT, Athena_BV!AL81, "")),
  _xlpm.ma_column, IF(_xlpm.program_isNT, Athena_MA!AN81, IF(_xlpm.program_isT, Athena_MA!AL81, "")),
  _xlpm.mi_column, IF(_xlpm.program_isNT, Athena_MI!AN81, IF(_xlpm.program_isT, Athena_MI!AL81,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Athena_BV!AJ81:AT81,
    Athena_MA!AJ81:AT81,
    Athena_MI!AJ81:AT81
  )
)</f>
        <v>(FSE_Bitvector_Mode_Undefined_Behavior_3_T_Loop15_TestCase6, YES, 1722)
(FSE_Bitvector_Mode_Undefined_Behavior_3_T_Loop15_TestCase7, YES, 1790)
(FSE_Bitvector_Mode_Undefined_Behavior_3_T_Loop15_TestCase10, YES, 1757)
(FSE_Bitvector_Mode_Undefined_Behavior_3_T_Loop15_TestCase5, YES, 1768)
(FSE_Bitvector_Mode_Undefined_Behavior_3_T_Loop15_TestCase4, YES, 1823)
(FSE_Bitvector_Mode_Undefined_Behavior_3_T_Loop15_TestCase1, YES, 1736)
(FSE_Bitvector_Mode_Undefined_Behavior_3_T_Loop15_TestCase3, YES, 1976)
(FSE_Bitvector_Mode_Undefined_Behavior_3_T_Loop15_TestCase2, YES, 1769)
(FSE_Bitvector_Mode_Undefined_Behavior_3_T_Loop15_TestCase9, YES, 1762)
(FSE_Bitvector_Mode_Undefined_Behavior_3_T_Loop15_TestCase8, YES, 1756)</v>
      </c>
      <c r="AK81" s="142" t="str">
        <v>correct</v>
      </c>
      <c r="AL81" s="80">
        <v>1</v>
      </c>
      <c r="AM81" s="1" t="str">
        <v>10/10</v>
      </c>
      <c r="AN81" s="80" t="str">
        <v/>
      </c>
      <c r="AO81" s="1" t="str">
        <v/>
      </c>
      <c r="AP81" s="143">
        <v>1</v>
      </c>
      <c r="AQ81" s="1" t="str">
        <v>10/10</v>
      </c>
      <c r="AR81" s="142">
        <v>17859</v>
      </c>
      <c r="AS81" s="150">
        <v>1785.9</v>
      </c>
      <c r="AT81" s="142">
        <v>1765</v>
      </c>
      <c r="AU81" s="4" t="s">
        <v>103</v>
      </c>
    </row>
    <row r="82" spans="1:47" x14ac:dyDescent="0.2">
      <c r="A82" s="174"/>
      <c r="B82" s="9" t="s">
        <v>79</v>
      </c>
      <c r="C82" s="14" t="str" cm="1">
        <f t="array" ref="C82:M82">_xlfn.LET(
  _xlpm.program_isNT, RIGHT(Athena_BV!B82,5)="_NT.c",
  _xlpm.program_isT,  RIGHT(Athena_BV!B82,4)="_T.c",
  _xlpm.bv_isCorrect, LOWER(Athena_BV!D82)="correct",
  _xlpm.ma_isCorrect, LOWER(Athena_MA!D82)="correct",
  _xlpm.mi_isCorrect, LOWER(Athena_MI!D82)="correct",
  _xlpm.bv_column, IF(_xlpm.program_isNT, Athena_BV!G82, IF(_xlpm.program_isT, Athena_BV!E82, "")),
  _xlpm.ma_column, IF(_xlpm.program_isNT, Athena_MA!G82, IF(_xlpm.program_isT, Athena_MA!E82, "")),
  _xlpm.mi_column, IF(_xlpm.program_isNT, Athena_MI!G82, IF(_xlpm.program_isT, Athena_MI!E82,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Athena_BV!C82:M82,
    Athena_MA!C82:M82,
    Athena_MI!C82:M82
  )
)</f>
        <v>(FSE_Bitvector_Mode_Unsigned_Wraparound_Error_1_NT_Loop0_TestCase0, NO, 29534)</v>
      </c>
      <c r="D82" s="142" t="str">
        <v>correct</v>
      </c>
      <c r="E82" s="80">
        <v>0</v>
      </c>
      <c r="F82" s="1" t="str">
        <v>0/0</v>
      </c>
      <c r="G82" s="80">
        <v>1</v>
      </c>
      <c r="H82" s="1" t="str">
        <v>1/1</v>
      </c>
      <c r="I82" s="143">
        <v>1</v>
      </c>
      <c r="J82" s="1" t="str">
        <v>1/1</v>
      </c>
      <c r="K82" s="142">
        <v>29534</v>
      </c>
      <c r="L82" s="1">
        <v>29534</v>
      </c>
      <c r="M82" s="140">
        <v>29534</v>
      </c>
      <c r="N82" s="14" t="str" cm="1">
        <f t="array" ref="N82:X82">_xlfn.LET(
  _xlpm.program_isNT, RIGHT(Athena_BV!B82,5)="_NT.c",
  _xlpm.program_isT,  RIGHT(Athena_BV!B82,4)="_T.c",
  _xlpm.bv_isCorrect, LOWER(Athena_BV!O82)="correct",
  _xlpm.ma_isCorrect, LOWER(Athena_MA!O82)="correct",
  _xlpm.mi_isCorrect, LOWER(Athena_MI!O82)="correct",
  _xlpm.bv_column, IF(_xlpm.program_isNT, Athena_BV!R82, IF(_xlpm.program_isT, Athena_BV!P82, "")),
  _xlpm.ma_column, IF(_xlpm.program_isNT, Athena_MA!R82, IF(_xlpm.program_isT, Athena_MA!P82, "")),
  _xlpm.mi_column, IF(_xlpm.program_isNT, Athena_MI!R82, IF(_xlpm.program_isT, Athena_MI!P82,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Athena_BV!N82:X82,
    Athena_MA!N82:X82,
    Athena_MI!N82:X82
  )
)</f>
        <v>(FSE_Bitvector_Mode_Unsigned_Wraparound_Error_1_NT_Loop22_TestCase0, NO, 12146)</v>
      </c>
      <c r="O82" s="142" t="str">
        <v>correct</v>
      </c>
      <c r="P82" s="80">
        <v>0</v>
      </c>
      <c r="Q82" s="1" t="str">
        <v>0/0</v>
      </c>
      <c r="R82" s="80">
        <v>1</v>
      </c>
      <c r="S82" s="149" t="str">
        <v>1/1</v>
      </c>
      <c r="T82" s="80">
        <v>1</v>
      </c>
      <c r="U82" s="1" t="str">
        <v>1/1</v>
      </c>
      <c r="V82" s="142">
        <v>12146</v>
      </c>
      <c r="W82" s="150">
        <v>12146</v>
      </c>
      <c r="X82" s="142">
        <v>12146</v>
      </c>
      <c r="Y82" s="14" t="str" cm="1">
        <f t="array" ref="Y82:AI82">_xlfn.LET(
  _xlpm.program_isNT, RIGHT(Athena_BV!B82,5)="_NT.c",
  _xlpm.program_isT,  RIGHT(Athena_BV!B82,4)="_T.c",
  _xlpm.bv_isCorrect, LOWER(Athena_BV!Z82)="correct",
  _xlpm.ma_isCorrect, LOWER(Athena_MA!Z82)="correct",
  _xlpm.mi_isCorrect, LOWER(Athena_MI!Z82)="correct",
  _xlpm.bv_column, IF(_xlpm.program_isNT, Athena_BV!AC82, IF(_xlpm.program_isT, Athena_BV!AA82, "")),
  _xlpm.ma_column, IF(_xlpm.program_isNT, Athena_MA!AC82, IF(_xlpm.program_isT, Athena_MA!AA82, "")),
  _xlpm.mi_column, IF(_xlpm.program_isNT, Athena_MI!AC82, IF(_xlpm.program_isT, Athena_MI!AA82,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Athena_BV!Y82:AI82,
    Athena_MA!Y82:AI82,
    Athena_MI!Y82:AI82
  )
)</f>
        <v>(FSE_Modulo_Arithmetic_Mode_Unsigned_Wraparound_Error_1_NT_Loop0_TestCase10, NO, 3843)
(FSE_Modulo_Arithmetic_Mode_Unsigned_Wraparound_Error_1_NT_Loop0_TestCase9, NO, 3786)
(FSE_Modulo_Arithmetic_Mode_Unsigned_Wraparound_Error_1_NT_Loop0_TestCase8, NO, 3786)
(FSE_Modulo_Arithmetic_Mode_Unsigned_Wraparound_Error_1_NT_Loop0_TestCase5, YES, 3751)
(FSE_Modulo_Arithmetic_Mode_Unsigned_Wraparound_Error_1_NT_Loop0_TestCase4, YES, 3799)
(FSE_Modulo_Arithmetic_Mode_Unsigned_Wraparound_Error_1_NT_Loop0_TestCase6, NO, 3756)
(FSE_Modulo_Arithmetic_Mode_Unsigned_Wraparound_Error_1_NT_Loop0_TestCase7, NO, 3770)
(FSE_Modulo_Arithmetic_Mode_Unsigned_Wraparound_Error_1_NT_Loop0_TestCase3, YES, 3781)
(FSE_Modulo_Arithmetic_Mode_Unsigned_Wraparound_Error_1_NT_Loop0_TestCase2, YES, 1784)
(FSE_Modulo_Arithmetic_Mode_Unsigned_Wraparound_Error_1_NT_Loop0_TestCase1, YES, 1745)</v>
      </c>
      <c r="Z82" s="142" t="str">
        <v>correct</v>
      </c>
      <c r="AA82" s="80">
        <v>1</v>
      </c>
      <c r="AB82" s="1" t="str">
        <v>5/5</v>
      </c>
      <c r="AC82" s="80">
        <v>1</v>
      </c>
      <c r="AD82" s="1" t="str">
        <v>5/5</v>
      </c>
      <c r="AE82" s="143">
        <v>1</v>
      </c>
      <c r="AF82" s="1" t="str">
        <v>10/10</v>
      </c>
      <c r="AG82" s="142">
        <v>33801</v>
      </c>
      <c r="AH82" s="150">
        <v>3380.1</v>
      </c>
      <c r="AI82" s="142">
        <v>3775.5</v>
      </c>
      <c r="AJ82" s="14" t="str" cm="1">
        <f t="array" ref="AJ82:AT82">_xlfn.LET(
  _xlpm.program_isNT, RIGHT(Athena_BV!B82,5)="_NT.c",
  _xlpm.program_isT,  RIGHT(Athena_BV!B82,4)="_T.c",
  _xlpm.bv_isCorrect, LOWER(Athena_BV!AK82)="correct",
  _xlpm.ma_isCorrect, LOWER(Athena_MA!AK82)="correct",
  _xlpm.mi_isCorrect, LOWER(Athena_MI!AK82)="correct",
  _xlpm.bv_column, IF(_xlpm.program_isNT, Athena_BV!AN82, IF(_xlpm.program_isT, Athena_BV!AL82, "")),
  _xlpm.ma_column, IF(_xlpm.program_isNT, Athena_MA!AN82, IF(_xlpm.program_isT, Athena_MA!AL82, "")),
  _xlpm.mi_column, IF(_xlpm.program_isNT, Athena_MI!AN82, IF(_xlpm.program_isT, Athena_MI!AL82,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Athena_BV!AJ82:AT82,
    Athena_MA!AJ82:AT82,
    Athena_MI!AJ82:AT82
  )
)</f>
        <v>(FSE_Modulo_Arithmetic_Mode_Unsigned_Wraparound_Error_1_NT_Loop22_TestCase7, NO, 3809)
(FSE_Modulo_Arithmetic_Mode_Unsigned_Wraparound_Error_1_NT_Loop22_TestCase6, NO, 3783)
(FSE_Modulo_Arithmetic_Mode_Unsigned_Wraparound_Error_1_NT_Loop22_TestCase4, YES, 3808)
(FSE_Modulo_Arithmetic_Mode_Unsigned_Wraparound_Error_1_NT_Loop22_TestCase5, YES, 3779)
(FSE_Modulo_Arithmetic_Mode_Unsigned_Wraparound_Error_1_NT_Loop22_TestCase1, YES, 1760)
(FSE_Modulo_Arithmetic_Mode_Unsigned_Wraparound_Error_1_NT_Loop22_TestCase2, YES, 1756)
(FSE_Modulo_Arithmetic_Mode_Unsigned_Wraparound_Error_1_NT_Loop22_TestCase3, YES, 4150)
(FSE_Modulo_Arithmetic_Mode_Unsigned_Wraparound_Error_1_NT_Loop22_TestCase10, NO, 3813)
(FSE_Modulo_Arithmetic_Mode_Unsigned_Wraparound_Error_1_NT_Loop22_TestCase8, NO, 3774)
(FSE_Modulo_Arithmetic_Mode_Unsigned_Wraparound_Error_1_NT_Loop22_TestCase9, NO, 3884)</v>
      </c>
      <c r="AK82" s="142" t="str">
        <v>correct</v>
      </c>
      <c r="AL82" s="80">
        <v>1</v>
      </c>
      <c r="AM82" s="1" t="str">
        <v>5/5</v>
      </c>
      <c r="AN82" s="80">
        <v>1</v>
      </c>
      <c r="AO82" s="1" t="str">
        <v>5/5</v>
      </c>
      <c r="AP82" s="143">
        <v>1</v>
      </c>
      <c r="AQ82" s="1" t="str">
        <v>10/10</v>
      </c>
      <c r="AR82" s="142">
        <v>34316</v>
      </c>
      <c r="AS82" s="150">
        <v>3431.6</v>
      </c>
      <c r="AT82" s="142">
        <v>3795.5</v>
      </c>
      <c r="AU82" s="4" t="s">
        <v>102</v>
      </c>
    </row>
    <row r="83" spans="1:47" x14ac:dyDescent="0.2">
      <c r="A83" s="174"/>
      <c r="B83" s="9" t="s">
        <v>80</v>
      </c>
      <c r="C83" s="14" t="str" cm="1">
        <f t="array" ref="C83:M83">_xlfn.LET(
  _xlpm.program_isNT, RIGHT(Athena_BV!B83,5)="_NT.c",
  _xlpm.program_isT,  RIGHT(Athena_BV!B83,4)="_T.c",
  _xlpm.bv_isCorrect, LOWER(Athena_BV!D83)="correct",
  _xlpm.ma_isCorrect, LOWER(Athena_MA!D83)="correct",
  _xlpm.mi_isCorrect, LOWER(Athena_MI!D83)="correct",
  _xlpm.bv_column, IF(_xlpm.program_isNT, Athena_BV!G83, IF(_xlpm.program_isT, Athena_BV!E83, "")),
  _xlpm.ma_column, IF(_xlpm.program_isNT, Athena_MA!G83, IF(_xlpm.program_isT, Athena_MA!E83, "")),
  _xlpm.mi_column, IF(_xlpm.program_isNT, Athena_MI!G83, IF(_xlpm.program_isT, Athena_MI!E83,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Athena_BV!C83:M83,
    Athena_MA!C83:M83,
    Athena_MI!C83:M83
  )
)</f>
        <v>(FSE_Bitvector_Mode_Unsigned_Wraparound_Error_1_T_Loop0_TestCase0, YES, 15477)</v>
      </c>
      <c r="D83" s="142" t="str">
        <v>correct</v>
      </c>
      <c r="E83" s="80">
        <v>1</v>
      </c>
      <c r="F83" s="1" t="str">
        <v>1/1</v>
      </c>
      <c r="G83" s="80" t="str">
        <v/>
      </c>
      <c r="H83" s="1" t="str">
        <v/>
      </c>
      <c r="I83" s="143">
        <v>1</v>
      </c>
      <c r="J83" s="1" t="str">
        <v>1/1</v>
      </c>
      <c r="K83" s="142">
        <v>15477</v>
      </c>
      <c r="L83" s="1">
        <v>15477</v>
      </c>
      <c r="M83" s="140">
        <v>15477</v>
      </c>
      <c r="N83" s="14" t="str" cm="1">
        <f t="array" ref="N83:X83">_xlfn.LET(
  _xlpm.program_isNT, RIGHT(Athena_BV!B83,5)="_NT.c",
  _xlpm.program_isT,  RIGHT(Athena_BV!B83,4)="_T.c",
  _xlpm.bv_isCorrect, LOWER(Athena_BV!O83)="correct",
  _xlpm.ma_isCorrect, LOWER(Athena_MA!O83)="correct",
  _xlpm.mi_isCorrect, LOWER(Athena_MI!O83)="correct",
  _xlpm.bv_column, IF(_xlpm.program_isNT, Athena_BV!R83, IF(_xlpm.program_isT, Athena_BV!P83, "")),
  _xlpm.ma_column, IF(_xlpm.program_isNT, Athena_MA!R83, IF(_xlpm.program_isT, Athena_MA!P83, "")),
  _xlpm.mi_column, IF(_xlpm.program_isNT, Athena_MI!R83, IF(_xlpm.program_isT, Athena_MI!P83,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Athena_BV!N83:X83,
    Athena_MA!N83:X83,
    Athena_MI!N83:X83
  )
)</f>
        <v>(FSE_Bitvector_Mode_Unsigned_Wraparound_Error_1_T_Loop22_TestCase0, YES, 18625)</v>
      </c>
      <c r="O83" s="142" t="str">
        <v>correct</v>
      </c>
      <c r="P83" s="80">
        <v>1</v>
      </c>
      <c r="Q83" s="1" t="str">
        <v>1/1</v>
      </c>
      <c r="R83" s="80" t="str">
        <v/>
      </c>
      <c r="S83" s="149" t="str">
        <v/>
      </c>
      <c r="T83" s="80">
        <v>1</v>
      </c>
      <c r="U83" s="1" t="str">
        <v>1/1</v>
      </c>
      <c r="V83" s="142">
        <v>18625</v>
      </c>
      <c r="W83" s="150">
        <v>18625</v>
      </c>
      <c r="X83" s="142">
        <v>18625</v>
      </c>
      <c r="Y83" s="14" t="str" cm="1">
        <f t="array" ref="Y83:AI83">_xlfn.LET(
  _xlpm.program_isNT, RIGHT(Athena_BV!B83,5)="_NT.c",
  _xlpm.program_isT,  RIGHT(Athena_BV!B83,4)="_T.c",
  _xlpm.bv_isCorrect, LOWER(Athena_BV!Z83)="correct",
  _xlpm.ma_isCorrect, LOWER(Athena_MA!Z83)="correct",
  _xlpm.mi_isCorrect, LOWER(Athena_MI!Z83)="correct",
  _xlpm.bv_column, IF(_xlpm.program_isNT, Athena_BV!AC83, IF(_xlpm.program_isT, Athena_BV!AA83, "")),
  _xlpm.ma_column, IF(_xlpm.program_isNT, Athena_MA!AC83, IF(_xlpm.program_isT, Athena_MA!AA83, "")),
  _xlpm.mi_column, IF(_xlpm.program_isNT, Athena_MI!AC83, IF(_xlpm.program_isT, Athena_MI!AA83,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Athena_BV!Y83:AI83,
    Athena_MA!Y83:AI83,
    Athena_MI!Y83:AI83
  )
)</f>
        <v>(FSE_Bitvector_Mode_Unsigned_Wraparound_Error_1_T_Loop0_TestCase1, YES, 1772)
(FSE_Bitvector_Mode_Unsigned_Wraparound_Error_1_T_Loop0_TestCase2, YES, 1684)
(FSE_Bitvector_Mode_Unsigned_Wraparound_Error_1_T_Loop0_TestCase3, YES, 1725)
(FSE_Bitvector_Mode_Unsigned_Wraparound_Error_1_T_Loop0_TestCase7, YES, 1728)
(FSE_Bitvector_Mode_Unsigned_Wraparound_Error_1_T_Loop0_TestCase6, YES, 1708)
(FSE_Bitvector_Mode_Unsigned_Wraparound_Error_1_T_Loop0_TestCase4, YES, 1698)
(FSE_Bitvector_Mode_Unsigned_Wraparound_Error_1_T_Loop0_TestCase5, YES, 1710)
(FSE_Bitvector_Mode_Unsigned_Wraparound_Error_1_T_Loop0_TestCase8, YES, 1697)
(FSE_Bitvector_Mode_Unsigned_Wraparound_Error_1_T_Loop0_TestCase9, YES, 1743)
(FSE_Bitvector_Mode_Unsigned_Wraparound_Error_1_T_Loop0_TestCase10, YES, 1695)</v>
      </c>
      <c r="Z83" s="142" t="str">
        <v>correct</v>
      </c>
      <c r="AA83" s="80">
        <v>1</v>
      </c>
      <c r="AB83" s="1" t="str">
        <v>10/10</v>
      </c>
      <c r="AC83" s="80" t="str">
        <v/>
      </c>
      <c r="AD83" s="1" t="str">
        <v/>
      </c>
      <c r="AE83" s="143">
        <v>1</v>
      </c>
      <c r="AF83" s="1" t="str">
        <v>10/10</v>
      </c>
      <c r="AG83" s="142">
        <v>17160</v>
      </c>
      <c r="AH83" s="150">
        <v>1716</v>
      </c>
      <c r="AI83" s="142">
        <v>1709</v>
      </c>
      <c r="AJ83" s="14" t="str" cm="1">
        <f t="array" ref="AJ83:AT83">_xlfn.LET(
  _xlpm.program_isNT, RIGHT(Athena_BV!B83,5)="_NT.c",
  _xlpm.program_isT,  RIGHT(Athena_BV!B83,4)="_T.c",
  _xlpm.bv_isCorrect, LOWER(Athena_BV!AK83)="correct",
  _xlpm.ma_isCorrect, LOWER(Athena_MA!AK83)="correct",
  _xlpm.mi_isCorrect, LOWER(Athena_MI!AK83)="correct",
  _xlpm.bv_column, IF(_xlpm.program_isNT, Athena_BV!AN83, IF(_xlpm.program_isT, Athena_BV!AL83, "")),
  _xlpm.ma_column, IF(_xlpm.program_isNT, Athena_MA!AN83, IF(_xlpm.program_isT, Athena_MA!AL83, "")),
  _xlpm.mi_column, IF(_xlpm.program_isNT, Athena_MI!AN83, IF(_xlpm.program_isT, Athena_MI!AL83,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Athena_BV!AJ83:AT83,
    Athena_MA!AJ83:AT83,
    Athena_MI!AJ83:AT83
  )
)</f>
        <v>(FSE_Bitvector_Mode_Unsigned_Wraparound_Error_1_T_Loop22_TestCase9, YES, 1772)
(FSE_Bitvector_Mode_Unsigned_Wraparound_Error_1_T_Loop22_TestCase8, YES, 1712)
(FSE_Bitvector_Mode_Unsigned_Wraparound_Error_1_T_Loop22_TestCase10, YES, 1741)
(FSE_Bitvector_Mode_Unsigned_Wraparound_Error_1_T_Loop22_TestCase6, YES, 1756)
(FSE_Bitvector_Mode_Unsigned_Wraparound_Error_1_T_Loop22_TestCase7, YES, 1754)
(FSE_Bitvector_Mode_Unsigned_Wraparound_Error_1_T_Loop22_TestCase5, YES, 1801)
(FSE_Bitvector_Mode_Unsigned_Wraparound_Error_1_T_Loop22_TestCase4, YES, 2847)
(FSE_Bitvector_Mode_Unsigned_Wraparound_Error_1_T_Loop22_TestCase1, YES, 1755)
(FSE_Bitvector_Mode_Unsigned_Wraparound_Error_1_T_Loop22_TestCase3, YES, 1776)
(FSE_Bitvector_Mode_Unsigned_Wraparound_Error_1_T_Loop22_TestCase2, YES, 1741)</v>
      </c>
      <c r="AK83" s="142" t="str">
        <v>correct</v>
      </c>
      <c r="AL83" s="80">
        <v>1</v>
      </c>
      <c r="AM83" s="1" t="str">
        <v>10/10</v>
      </c>
      <c r="AN83" s="80" t="str">
        <v/>
      </c>
      <c r="AO83" s="1" t="str">
        <v/>
      </c>
      <c r="AP83" s="143">
        <v>1</v>
      </c>
      <c r="AQ83" s="1" t="str">
        <v>10/10</v>
      </c>
      <c r="AR83" s="142">
        <v>18655</v>
      </c>
      <c r="AS83" s="150">
        <v>1865.5</v>
      </c>
      <c r="AT83" s="142">
        <v>1755.5</v>
      </c>
      <c r="AU83" s="4" t="s">
        <v>102</v>
      </c>
    </row>
    <row r="84" spans="1:47" x14ac:dyDescent="0.2">
      <c r="A84" s="174"/>
      <c r="B84" s="9" t="s">
        <v>81</v>
      </c>
      <c r="C84" s="14" t="str" cm="1">
        <f t="array" ref="C84:M84">_xlfn.LET(
  _xlpm.program_isNT, RIGHT(Athena_BV!B84,5)="_NT.c",
  _xlpm.program_isT,  RIGHT(Athena_BV!B84,4)="_T.c",
  _xlpm.bv_isCorrect, LOWER(Athena_BV!D84)="correct",
  _xlpm.ma_isCorrect, LOWER(Athena_MA!D84)="correct",
  _xlpm.mi_isCorrect, LOWER(Athena_MI!D84)="correct",
  _xlpm.bv_column, IF(_xlpm.program_isNT, Athena_BV!G84, IF(_xlpm.program_isT, Athena_BV!E84, "")),
  _xlpm.ma_column, IF(_xlpm.program_isNT, Athena_MA!G84, IF(_xlpm.program_isT, Athena_MA!E84, "")),
  _xlpm.mi_column, IF(_xlpm.program_isNT, Athena_MI!G84, IF(_xlpm.program_isT, Athena_MI!E84,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Athena_BV!C84:M84,
    Athena_MA!C84:M84,
    Athena_MI!C84:M84
  )
)</f>
        <v>(FSE_Bitvector_Mode_Unsigned_Wraparound_Error_2_NT_Loop0_TestCase0, NO, 10448)</v>
      </c>
      <c r="D84" s="142" t="str">
        <v>correct</v>
      </c>
      <c r="E84" s="80">
        <v>0</v>
      </c>
      <c r="F84" s="1" t="str">
        <v>0/0</v>
      </c>
      <c r="G84" s="80">
        <v>1</v>
      </c>
      <c r="H84" s="1" t="str">
        <v>1/1</v>
      </c>
      <c r="I84" s="143">
        <v>1</v>
      </c>
      <c r="J84" s="1" t="str">
        <v>1/1</v>
      </c>
      <c r="K84" s="142">
        <v>10448</v>
      </c>
      <c r="L84" s="1">
        <v>10448</v>
      </c>
      <c r="M84" s="140">
        <v>10448</v>
      </c>
      <c r="N84" s="14" t="str" cm="1">
        <f t="array" ref="N84:X84">_xlfn.LET(
  _xlpm.program_isNT, RIGHT(Athena_BV!B84,5)="_NT.c",
  _xlpm.program_isT,  RIGHT(Athena_BV!B84,4)="_T.c",
  _xlpm.bv_isCorrect, LOWER(Athena_BV!O84)="correct",
  _xlpm.ma_isCorrect, LOWER(Athena_MA!O84)="correct",
  _xlpm.mi_isCorrect, LOWER(Athena_MI!O84)="correct",
  _xlpm.bv_column, IF(_xlpm.program_isNT, Athena_BV!R84, IF(_xlpm.program_isT, Athena_BV!P84, "")),
  _xlpm.ma_column, IF(_xlpm.program_isNT, Athena_MA!R84, IF(_xlpm.program_isT, Athena_MA!P84, "")),
  _xlpm.mi_column, IF(_xlpm.program_isNT, Athena_MI!R84, IF(_xlpm.program_isT, Athena_MI!P84,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Athena_BV!N84:X84,
    Athena_MA!N84:X84,
    Athena_MI!N84:X84
  )
)</f>
        <v>(FSE_Bitvector_Mode_Unsigned_Wraparound_Error_2_NT_Loop18_TestCase0, NO, 10250)</v>
      </c>
      <c r="O84" s="142" t="str">
        <v>correct</v>
      </c>
      <c r="P84" s="80">
        <v>0</v>
      </c>
      <c r="Q84" s="1" t="str">
        <v>0/0</v>
      </c>
      <c r="R84" s="80">
        <v>1</v>
      </c>
      <c r="S84" s="149" t="str">
        <v>1/1</v>
      </c>
      <c r="T84" s="80">
        <v>1</v>
      </c>
      <c r="U84" s="1" t="str">
        <v>1/1</v>
      </c>
      <c r="V84" s="142">
        <v>10250</v>
      </c>
      <c r="W84" s="150">
        <v>10250</v>
      </c>
      <c r="X84" s="142">
        <v>10250</v>
      </c>
      <c r="Y84" s="14" t="str" cm="1">
        <f t="array" ref="Y84:AI84">_xlfn.LET(
  _xlpm.program_isNT, RIGHT(Athena_BV!B84,5)="_NT.c",
  _xlpm.program_isT,  RIGHT(Athena_BV!B84,4)="_T.c",
  _xlpm.bv_isCorrect, LOWER(Athena_BV!Z84)="correct",
  _xlpm.ma_isCorrect, LOWER(Athena_MA!Z84)="correct",
  _xlpm.mi_isCorrect, LOWER(Athena_MI!Z84)="correct",
  _xlpm.bv_column, IF(_xlpm.program_isNT, Athena_BV!AC84, IF(_xlpm.program_isT, Athena_BV!AA84, "")),
  _xlpm.ma_column, IF(_xlpm.program_isNT, Athena_MA!AC84, IF(_xlpm.program_isT, Athena_MA!AA84, "")),
  _xlpm.mi_column, IF(_xlpm.program_isNT, Athena_MI!AC84, IF(_xlpm.program_isT, Athena_MI!AA84,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Athena_BV!Y84:AI84,
    Athena_MA!Y84:AI84,
    Athena_MI!Y84:AI84
  )
)</f>
        <v>(FSE_Modulo_Arithmetic_Mode_Unsigned_Wraparound_Error_2_NT_Loop0_TestCase10, NO, 3774)
(FSE_Modulo_Arithmetic_Mode_Unsigned_Wraparound_Error_2_NT_Loop0_TestCase9, NO, 85734)
(FSE_Modulo_Arithmetic_Mode_Unsigned_Wraparound_Error_2_NT_Loop0_TestCase8, TIMEOUT, 301655)
(FSE_Modulo_Arithmetic_Mode_Unsigned_Wraparound_Error_2_NT_Loop0_TestCase1, YES, 2757)
(FSE_Modulo_Arithmetic_Mode_Unsigned_Wraparound_Error_2_NT_Loop0_TestCase3, YES, 3878)
(FSE_Modulo_Arithmetic_Mode_Unsigned_Wraparound_Error_2_NT_Loop0_TestCase2, YES, 3778)
(FSE_Modulo_Arithmetic_Mode_Unsigned_Wraparound_Error_2_NT_Loop0_TestCase6, NO, 3754)
(FSE_Modulo_Arithmetic_Mode_Unsigned_Wraparound_Error_2_NT_Loop0_TestCase7, TIMEOUT, 301663)
(FSE_Modulo_Arithmetic_Mode_Unsigned_Wraparound_Error_2_NT_Loop0_TestCase5, YES, 3816)
(FSE_Modulo_Arithmetic_Mode_Unsigned_Wraparound_Error_2_NT_Loop0_TestCase4, YES, 3809)</v>
      </c>
      <c r="Z84" s="142" t="str">
        <v>correct</v>
      </c>
      <c r="AA84" s="80">
        <v>1</v>
      </c>
      <c r="AB84" s="1" t="str">
        <v>5/5</v>
      </c>
      <c r="AC84" s="80">
        <v>0.6</v>
      </c>
      <c r="AD84" s="1" t="str">
        <v>3/5</v>
      </c>
      <c r="AE84" s="143">
        <v>0.8</v>
      </c>
      <c r="AF84" s="1" t="str">
        <v>8/10</v>
      </c>
      <c r="AG84" s="142">
        <v>111300</v>
      </c>
      <c r="AH84" s="150">
        <v>13912.5</v>
      </c>
      <c r="AI84" s="142">
        <v>3793.5</v>
      </c>
      <c r="AJ84" s="14" t="str" cm="1">
        <f t="array" ref="AJ84:AT84">_xlfn.LET(
  _xlpm.program_isNT, RIGHT(Athena_BV!B84,5)="_NT.c",
  _xlpm.program_isT,  RIGHT(Athena_BV!B84,4)="_T.c",
  _xlpm.bv_isCorrect, LOWER(Athena_BV!AK84)="correct",
  _xlpm.ma_isCorrect, LOWER(Athena_MA!AK84)="correct",
  _xlpm.mi_isCorrect, LOWER(Athena_MI!AK84)="correct",
  _xlpm.bv_column, IF(_xlpm.program_isNT, Athena_BV!AN84, IF(_xlpm.program_isT, Athena_BV!AL84, "")),
  _xlpm.ma_column, IF(_xlpm.program_isNT, Athena_MA!AN84, IF(_xlpm.program_isT, Athena_MA!AL84, "")),
  _xlpm.mi_column, IF(_xlpm.program_isNT, Athena_MI!AN84, IF(_xlpm.program_isT, Athena_MI!AL84,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Athena_BV!AJ84:AT84,
    Athena_MA!AJ84:AT84,
    Athena_MI!AJ84:AT84
  )
)</f>
        <v>(FSE_Modulo_Arithmetic_Mode_Unsigned_Wraparound_Error_2_NT_Loop18_TestCase7, TIMEOUT, 301957)
(FSE_Modulo_Arithmetic_Mode_Unsigned_Wraparound_Error_2_NT_Loop18_TestCase6, NO, 4588)
(FSE_Modulo_Arithmetic_Mode_Unsigned_Wraparound_Error_2_NT_Loop18_TestCase4, YES, 3784)
(FSE_Modulo_Arithmetic_Mode_Unsigned_Wraparound_Error_2_NT_Loop18_TestCase5, YES, 3777)
(FSE_Modulo_Arithmetic_Mode_Unsigned_Wraparound_Error_2_NT_Loop18_TestCase1, YES, 2800)
(FSE_Modulo_Arithmetic_Mode_Unsigned_Wraparound_Error_2_NT_Loop18_TestCase2, YES, 3864)
(FSE_Modulo_Arithmetic_Mode_Unsigned_Wraparound_Error_2_NT_Loop18_TestCase3, YES, 3875)
(FSE_Modulo_Arithmetic_Mode_Unsigned_Wraparound_Error_2_NT_Loop18_TestCase8, NO, 142540)
(FSE_Modulo_Arithmetic_Mode_Unsigned_Wraparound_Error_2_NT_Loop18_TestCase9, NO, 110437)
(FSE_Modulo_Arithmetic_Mode_Unsigned_Wraparound_Error_2_NT_Loop18_TestCase10, NO, 3835)</v>
      </c>
      <c r="AK84" s="142" t="str">
        <v>correct</v>
      </c>
      <c r="AL84" s="80">
        <v>1</v>
      </c>
      <c r="AM84" s="1" t="str">
        <v>5/5</v>
      </c>
      <c r="AN84" s="80">
        <v>0.8</v>
      </c>
      <c r="AO84" s="1" t="str">
        <v>4/5</v>
      </c>
      <c r="AP84" s="143">
        <v>0.9</v>
      </c>
      <c r="AQ84" s="1" t="str">
        <v>9/10</v>
      </c>
      <c r="AR84" s="142">
        <v>279500</v>
      </c>
      <c r="AS84" s="150">
        <v>31055.56</v>
      </c>
      <c r="AT84" s="142">
        <v>3864</v>
      </c>
      <c r="AU84" s="4" t="s">
        <v>102</v>
      </c>
    </row>
    <row r="85" spans="1:47" x14ac:dyDescent="0.2">
      <c r="A85" s="174"/>
      <c r="B85" s="9" t="s">
        <v>82</v>
      </c>
      <c r="C85" s="14" t="str" cm="1">
        <f t="array" ref="C85:M85">_xlfn.LET(
  _xlpm.program_isNT, RIGHT(Athena_BV!B85,5)="_NT.c",
  _xlpm.program_isT,  RIGHT(Athena_BV!B85,4)="_T.c",
  _xlpm.bv_isCorrect, LOWER(Athena_BV!D85)="correct",
  _xlpm.ma_isCorrect, LOWER(Athena_MA!D85)="correct",
  _xlpm.mi_isCorrect, LOWER(Athena_MI!D85)="correct",
  _xlpm.bv_column, IF(_xlpm.program_isNT, Athena_BV!G85, IF(_xlpm.program_isT, Athena_BV!E85, "")),
  _xlpm.ma_column, IF(_xlpm.program_isNT, Athena_MA!G85, IF(_xlpm.program_isT, Athena_MA!E85, "")),
  _xlpm.mi_column, IF(_xlpm.program_isNT, Athena_MI!G85, IF(_xlpm.program_isT, Athena_MI!E85,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Athena_BV!C85:M85,
    Athena_MA!C85:M85,
    Athena_MI!C85:M85
  )
)</f>
        <v>(FSE_Bitvector_Mode_Unsigned_Wraparound_Error_2_T_Loop0_TestCase0, YES, 1968)</v>
      </c>
      <c r="D85" s="142" t="str">
        <v>correct</v>
      </c>
      <c r="E85" s="80">
        <v>1</v>
      </c>
      <c r="F85" s="1" t="str">
        <v>1/1</v>
      </c>
      <c r="G85" s="80" t="str">
        <v/>
      </c>
      <c r="H85" s="1" t="str">
        <v/>
      </c>
      <c r="I85" s="143">
        <v>1</v>
      </c>
      <c r="J85" s="1" t="str">
        <v>1/1</v>
      </c>
      <c r="K85" s="142">
        <v>1968</v>
      </c>
      <c r="L85" s="1">
        <v>1968</v>
      </c>
      <c r="M85" s="140">
        <v>1968</v>
      </c>
      <c r="N85" s="14" t="str" cm="1">
        <f t="array" ref="N85:X85">_xlfn.LET(
  _xlpm.program_isNT, RIGHT(Athena_BV!B85,5)="_NT.c",
  _xlpm.program_isT,  RIGHT(Athena_BV!B85,4)="_T.c",
  _xlpm.bv_isCorrect, LOWER(Athena_BV!O85)="correct",
  _xlpm.ma_isCorrect, LOWER(Athena_MA!O85)="correct",
  _xlpm.mi_isCorrect, LOWER(Athena_MI!O85)="correct",
  _xlpm.bv_column, IF(_xlpm.program_isNT, Athena_BV!R85, IF(_xlpm.program_isT, Athena_BV!P85, "")),
  _xlpm.ma_column, IF(_xlpm.program_isNT, Athena_MA!R85, IF(_xlpm.program_isT, Athena_MA!P85, "")),
  _xlpm.mi_column, IF(_xlpm.program_isNT, Athena_MI!R85, IF(_xlpm.program_isT, Athena_MI!P85,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Athena_BV!N85:X85,
    Athena_MA!N85:X85,
    Athena_MI!N85:X85
  )
)</f>
        <v>(FSE_Bitvector_Mode_Unsigned_Wraparound_Error_2_T_Loop18_TestCase0, YES, 1847)</v>
      </c>
      <c r="O85" s="142" t="str">
        <v>correct</v>
      </c>
      <c r="P85" s="80">
        <v>1</v>
      </c>
      <c r="Q85" s="1" t="str">
        <v>1/1</v>
      </c>
      <c r="R85" s="80" t="str">
        <v/>
      </c>
      <c r="S85" s="149" t="str">
        <v/>
      </c>
      <c r="T85" s="80">
        <v>1</v>
      </c>
      <c r="U85" s="1" t="str">
        <v>1/1</v>
      </c>
      <c r="V85" s="142">
        <v>1847</v>
      </c>
      <c r="W85" s="150">
        <v>1847</v>
      </c>
      <c r="X85" s="142">
        <v>1847</v>
      </c>
      <c r="Y85" s="14" t="str" cm="1">
        <f t="array" ref="Y85:AI85">_xlfn.LET(
  _xlpm.program_isNT, RIGHT(Athena_BV!B85,5)="_NT.c",
  _xlpm.program_isT,  RIGHT(Athena_BV!B85,4)="_T.c",
  _xlpm.bv_isCorrect, LOWER(Athena_BV!Z85)="correct",
  _xlpm.ma_isCorrect, LOWER(Athena_MA!Z85)="correct",
  _xlpm.mi_isCorrect, LOWER(Athena_MI!Z85)="correct",
  _xlpm.bv_column, IF(_xlpm.program_isNT, Athena_BV!AC85, IF(_xlpm.program_isT, Athena_BV!AA85, "")),
  _xlpm.ma_column, IF(_xlpm.program_isNT, Athena_MA!AC85, IF(_xlpm.program_isT, Athena_MA!AA85, "")),
  _xlpm.mi_column, IF(_xlpm.program_isNT, Athena_MI!AC85, IF(_xlpm.program_isT, Athena_MI!AA85,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Athena_BV!Y85:AI85,
    Athena_MA!Y85:AI85,
    Athena_MI!Y85:AI85
  )
)</f>
        <v>(FSE_Bitvector_Mode_Unsigned_Wraparound_Error_2_T_Loop0_TestCase9, YES, 1820)
(FSE_Bitvector_Mode_Unsigned_Wraparound_Error_2_T_Loop0_TestCase8, YES, 1701)
(FSE_Bitvector_Mode_Unsigned_Wraparound_Error_2_T_Loop0_TestCase5, YES, 1801)
(FSE_Bitvector_Mode_Unsigned_Wraparound_Error_2_T_Loop0_TestCase4, YES, 1728)
(FSE_Bitvector_Mode_Unsigned_Wraparound_Error_2_T_Loop0_TestCase6, YES, 1738)
(FSE_Bitvector_Mode_Unsigned_Wraparound_Error_2_T_Loop0_TestCase7, YES, 1722)
(FSE_Bitvector_Mode_Unsigned_Wraparound_Error_2_T_Loop0_TestCase10, YES, 1703)
(FSE_Bitvector_Mode_Unsigned_Wraparound_Error_2_T_Loop0_TestCase3, YES, 1819)
(FSE_Bitvector_Mode_Unsigned_Wraparound_Error_2_T_Loop0_TestCase2, YES, 1814)
(FSE_Bitvector_Mode_Unsigned_Wraparound_Error_2_T_Loop0_TestCase1, YES, 1701)</v>
      </c>
      <c r="Z85" s="142" t="str">
        <v>correct</v>
      </c>
      <c r="AA85" s="80">
        <v>1</v>
      </c>
      <c r="AB85" s="1" t="str">
        <v>10/10</v>
      </c>
      <c r="AC85" s="80" t="str">
        <v/>
      </c>
      <c r="AD85" s="1" t="str">
        <v/>
      </c>
      <c r="AE85" s="143">
        <v>1</v>
      </c>
      <c r="AF85" s="1" t="str">
        <v>10/10</v>
      </c>
      <c r="AG85" s="142">
        <v>17547</v>
      </c>
      <c r="AH85" s="150">
        <v>1754.7</v>
      </c>
      <c r="AI85" s="142">
        <v>1733</v>
      </c>
      <c r="AJ85" s="14" t="str" cm="1">
        <f t="array" ref="AJ85:AT85">_xlfn.LET(
  _xlpm.program_isNT, RIGHT(Athena_BV!B85,5)="_NT.c",
  _xlpm.program_isT,  RIGHT(Athena_BV!B85,4)="_T.c",
  _xlpm.bv_isCorrect, LOWER(Athena_BV!AK85)="correct",
  _xlpm.ma_isCorrect, LOWER(Athena_MA!AK85)="correct",
  _xlpm.mi_isCorrect, LOWER(Athena_MI!AK85)="correct",
  _xlpm.bv_column, IF(_xlpm.program_isNT, Athena_BV!AN85, IF(_xlpm.program_isT, Athena_BV!AL85, "")),
  _xlpm.ma_column, IF(_xlpm.program_isNT, Athena_MA!AN85, IF(_xlpm.program_isT, Athena_MA!AL85, "")),
  _xlpm.mi_column, IF(_xlpm.program_isNT, Athena_MI!AN85, IF(_xlpm.program_isT, Athena_MI!AL85,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Athena_BV!AJ85:AT85,
    Athena_MA!AJ85:AT85,
    Athena_MI!AJ85:AT85
  )
)</f>
        <v>(FSE_Bitvector_Mode_Unsigned_Wraparound_Error_2_T_Loop18_TestCase10, YES, 1871)
(FSE_Bitvector_Mode_Unsigned_Wraparound_Error_2_T_Loop18_TestCase9, YES, 1853)
(FSE_Bitvector_Mode_Unsigned_Wraparound_Error_2_T_Loop18_TestCase8, YES, 1740)
(FSE_Bitvector_Mode_Unsigned_Wraparound_Error_2_T_Loop18_TestCase6, YES, 1732)
(FSE_Bitvector_Mode_Unsigned_Wraparound_Error_2_T_Loop18_TestCase7, YES, 1760)
(FSE_Bitvector_Mode_Unsigned_Wraparound_Error_2_T_Loop18_TestCase5, YES, 1823)
(FSE_Bitvector_Mode_Unsigned_Wraparound_Error_2_T_Loop18_TestCase4, YES, 1773)
(FSE_Bitvector_Mode_Unsigned_Wraparound_Error_2_T_Loop18_TestCase1, YES, 2168)
(FSE_Bitvector_Mode_Unsigned_Wraparound_Error_2_T_Loop18_TestCase3, YES, 1851)
(FSE_Bitvector_Mode_Unsigned_Wraparound_Error_2_T_Loop18_TestCase2, YES, 1845)</v>
      </c>
      <c r="AK85" s="142" t="str">
        <v>correct</v>
      </c>
      <c r="AL85" s="80">
        <v>1</v>
      </c>
      <c r="AM85" s="1" t="str">
        <v>10/10</v>
      </c>
      <c r="AN85" s="80" t="str">
        <v/>
      </c>
      <c r="AO85" s="1" t="str">
        <v/>
      </c>
      <c r="AP85" s="143">
        <v>1</v>
      </c>
      <c r="AQ85" s="1" t="str">
        <v>10/10</v>
      </c>
      <c r="AR85" s="142">
        <v>18416</v>
      </c>
      <c r="AS85" s="150">
        <v>1841.6</v>
      </c>
      <c r="AT85" s="142">
        <v>1834</v>
      </c>
      <c r="AU85" s="4" t="s">
        <v>102</v>
      </c>
    </row>
    <row r="86" spans="1:47" x14ac:dyDescent="0.2">
      <c r="A86" s="174"/>
      <c r="B86" s="9" t="s">
        <v>83</v>
      </c>
      <c r="C86" s="14" t="str" cm="1">
        <f t="array" ref="C86:M86">_xlfn.LET(
  _xlpm.program_isNT, RIGHT(Athena_BV!B86,5)="_NT.c",
  _xlpm.program_isT,  RIGHT(Athena_BV!B86,4)="_T.c",
  _xlpm.bv_isCorrect, LOWER(Athena_BV!D86)="correct",
  _xlpm.ma_isCorrect, LOWER(Athena_MA!D86)="correct",
  _xlpm.mi_isCorrect, LOWER(Athena_MI!D86)="correct",
  _xlpm.bv_column, IF(_xlpm.program_isNT, Athena_BV!G86, IF(_xlpm.program_isT, Athena_BV!E86, "")),
  _xlpm.ma_column, IF(_xlpm.program_isNT, Athena_MA!G86, IF(_xlpm.program_isT, Athena_MA!E86, "")),
  _xlpm.mi_column, IF(_xlpm.program_isNT, Athena_MI!G86, IF(_xlpm.program_isT, Athena_MI!E86,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Athena_BV!C86:M86,
    Athena_MA!C86:M86,
    Athena_MI!C86:M86
  )
)</f>
        <v>(FSE_Mathematical_Integer_Mode_Unsigned_Wraparound_Error_3_NT_Loop0_TestCase0, NO, 1944)</v>
      </c>
      <c r="D86" s="142" t="str">
        <v>correct</v>
      </c>
      <c r="E86" s="80">
        <v>0</v>
      </c>
      <c r="F86" s="1" t="str">
        <v>0/0</v>
      </c>
      <c r="G86" s="80">
        <v>1</v>
      </c>
      <c r="H86" s="1" t="str">
        <v>1/1</v>
      </c>
      <c r="I86" s="143">
        <v>1</v>
      </c>
      <c r="J86" s="1" t="str">
        <v>1/1</v>
      </c>
      <c r="K86" s="142">
        <v>1944</v>
      </c>
      <c r="L86" s="1">
        <v>1944</v>
      </c>
      <c r="M86" s="140">
        <v>1944</v>
      </c>
      <c r="N86" s="14" t="str" cm="1">
        <f t="array" ref="N86:X86">_xlfn.LET(
  _xlpm.program_isNT, RIGHT(Athena_BV!B86,5)="_NT.c",
  _xlpm.program_isT,  RIGHT(Athena_BV!B86,4)="_T.c",
  _xlpm.bv_isCorrect, LOWER(Athena_BV!O86)="correct",
  _xlpm.ma_isCorrect, LOWER(Athena_MA!O86)="correct",
  _xlpm.mi_isCorrect, LOWER(Athena_MI!O86)="correct",
  _xlpm.bv_column, IF(_xlpm.program_isNT, Athena_BV!R86, IF(_xlpm.program_isT, Athena_BV!P86, "")),
  _xlpm.ma_column, IF(_xlpm.program_isNT, Athena_MA!R86, IF(_xlpm.program_isT, Athena_MA!P86, "")),
  _xlpm.mi_column, IF(_xlpm.program_isNT, Athena_MI!R86, IF(_xlpm.program_isT, Athena_MI!P86,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Athena_BV!N86:X86,
    Athena_MA!N86:X86,
    Athena_MI!N86:X86
  )
)</f>
        <v>(FSE_Mathematical_Integer_Mode_Unsigned_Wraparound_Error_3_NT_Loop20_TestCase0, NO, 1785)</v>
      </c>
      <c r="O86" s="142" t="str">
        <v>correct</v>
      </c>
      <c r="P86" s="80">
        <v>0</v>
      </c>
      <c r="Q86" s="1" t="str">
        <v>0/0</v>
      </c>
      <c r="R86" s="80">
        <v>1</v>
      </c>
      <c r="S86" s="149" t="str">
        <v>1/1</v>
      </c>
      <c r="T86" s="80">
        <v>1</v>
      </c>
      <c r="U86" s="1" t="str">
        <v>1/1</v>
      </c>
      <c r="V86" s="142">
        <v>1785</v>
      </c>
      <c r="W86" s="150">
        <v>1785</v>
      </c>
      <c r="X86" s="142">
        <v>1785</v>
      </c>
      <c r="Y86" s="14" t="str" cm="1">
        <f t="array" ref="Y86:AI86">_xlfn.LET(
  _xlpm.program_isNT, RIGHT(Athena_BV!B86,5)="_NT.c",
  _xlpm.program_isT,  RIGHT(Athena_BV!B86,4)="_T.c",
  _xlpm.bv_isCorrect, LOWER(Athena_BV!Z86)="correct",
  _xlpm.ma_isCorrect, LOWER(Athena_MA!Z86)="correct",
  _xlpm.mi_isCorrect, LOWER(Athena_MI!Z86)="correct",
  _xlpm.bv_column, IF(_xlpm.program_isNT, Athena_BV!AC86, IF(_xlpm.program_isT, Athena_BV!AA86, "")),
  _xlpm.ma_column, IF(_xlpm.program_isNT, Athena_MA!AC86, IF(_xlpm.program_isT, Athena_MA!AA86, "")),
  _xlpm.mi_column, IF(_xlpm.program_isNT, Athena_MI!AC86, IF(_xlpm.program_isT, Athena_MI!AA86,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Athena_BV!Y86:AI86,
    Athena_MA!Y86:AI86,
    Athena_MI!Y86:AI86
  )
)</f>
        <v>(FSE_Bitvector_Mode_Unsigned_Wraparound_Error_3_NT_Loop0_TestCase5, YES, 1734)
(FSE_Bitvector_Mode_Unsigned_Wraparound_Error_3_NT_Loop0_TestCase4, YES, 1751)
(FSE_Bitvector_Mode_Unsigned_Wraparound_Error_3_NT_Loop0_TestCase6, NO, 2437)
(FSE_Bitvector_Mode_Unsigned_Wraparound_Error_3_NT_Loop0_TestCase7, NO, 71711)
(FSE_Bitvector_Mode_Unsigned_Wraparound_Error_3_NT_Loop0_TestCase3, YES, 1758)
(FSE_Bitvector_Mode_Unsigned_Wraparound_Error_3_NT_Loop0_TestCase2, YES, 1836)
(FSE_Bitvector_Mode_Unsigned_Wraparound_Error_3_NT_Loop0_TestCase1, YES, 2136)
(FSE_Bitvector_Mode_Unsigned_Wraparound_Error_3_NT_Loop0_TestCase10, TIMEOUT, 301626)
(FSE_Bitvector_Mode_Unsigned_Wraparound_Error_3_NT_Loop0_TestCase9, TIMEOUT, 301661)
(FSE_Bitvector_Mode_Unsigned_Wraparound_Error_3_NT_Loop0_TestCase8, TIMEOUT, 301654)</v>
      </c>
      <c r="Z86" s="142" t="str">
        <v>correct</v>
      </c>
      <c r="AA86" s="80">
        <v>1</v>
      </c>
      <c r="AB86" s="1" t="str">
        <v>5/5</v>
      </c>
      <c r="AC86" s="80">
        <v>0.4</v>
      </c>
      <c r="AD86" s="1" t="str">
        <v>2/5</v>
      </c>
      <c r="AE86" s="143">
        <v>0.7</v>
      </c>
      <c r="AF86" s="1" t="str">
        <v>7/10</v>
      </c>
      <c r="AG86" s="142">
        <v>83363</v>
      </c>
      <c r="AH86" s="150">
        <v>11909</v>
      </c>
      <c r="AI86" s="142">
        <v>1836</v>
      </c>
      <c r="AJ86" s="14" t="str" cm="1">
        <f t="array" ref="AJ86:AT86">_xlfn.LET(
  _xlpm.program_isNT, RIGHT(Athena_BV!B86,5)="_NT.c",
  _xlpm.program_isT,  RIGHT(Athena_BV!B86,4)="_T.c",
  _xlpm.bv_isCorrect, LOWER(Athena_BV!AK86)="correct",
  _xlpm.ma_isCorrect, LOWER(Athena_MA!AK86)="correct",
  _xlpm.mi_isCorrect, LOWER(Athena_MI!AK86)="correct",
  _xlpm.bv_column, IF(_xlpm.program_isNT, Athena_BV!AN86, IF(_xlpm.program_isT, Athena_BV!AL86, "")),
  _xlpm.ma_column, IF(_xlpm.program_isNT, Athena_MA!AN86, IF(_xlpm.program_isT, Athena_MA!AL86, "")),
  _xlpm.mi_column, IF(_xlpm.program_isNT, Athena_MI!AN86, IF(_xlpm.program_isT, Athena_MI!AL86,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Athena_BV!AJ86:AT86,
    Athena_MA!AJ86:AT86,
    Athena_MI!AJ86:AT86
  )
)</f>
        <v>(FSE_Bitvector_Mode_Unsigned_Wraparound_Error_3_NT_Loop20_TestCase9, TIMEOUT, 301780)
(FSE_Bitvector_Mode_Unsigned_Wraparound_Error_3_NT_Loop20_TestCase8, TIMEOUT, 301831)
(FSE_Bitvector_Mode_Unsigned_Wraparound_Error_3_NT_Loop20_TestCase6, NO, 2477)
(FSE_Bitvector_Mode_Unsigned_Wraparound_Error_3_NT_Loop20_TestCase7, NO, 64428)
(FSE_Bitvector_Mode_Unsigned_Wraparound_Error_3_NT_Loop20_TestCase5, YES, 1747)
(FSE_Bitvector_Mode_Unsigned_Wraparound_Error_3_NT_Loop20_TestCase4, YES, 1785)
(FSE_Bitvector_Mode_Unsigned_Wraparound_Error_3_NT_Loop20_TestCase1, YES, 2183)
(FSE_Bitvector_Mode_Unsigned_Wraparound_Error_3_NT_Loop20_TestCase3, YES, 1768)
(FSE_Bitvector_Mode_Unsigned_Wraparound_Error_3_NT_Loop20_TestCase2, YES, 1878)
(FSE_Bitvector_Mode_Unsigned_Wraparound_Error_3_NT_Loop20_TestCase10, TIMEOUT, 301738)</v>
      </c>
      <c r="AK86" s="142" t="str">
        <v>correct</v>
      </c>
      <c r="AL86" s="80">
        <v>1</v>
      </c>
      <c r="AM86" s="1" t="str">
        <v>5/5</v>
      </c>
      <c r="AN86" s="80">
        <v>0.4</v>
      </c>
      <c r="AO86" s="1" t="str">
        <v>2/5</v>
      </c>
      <c r="AP86" s="143">
        <v>0.7</v>
      </c>
      <c r="AQ86" s="1" t="str">
        <v>7/10</v>
      </c>
      <c r="AR86" s="142">
        <v>76266</v>
      </c>
      <c r="AS86" s="150">
        <v>10895.14</v>
      </c>
      <c r="AT86" s="142">
        <v>1878</v>
      </c>
      <c r="AU86" s="4" t="s">
        <v>102</v>
      </c>
    </row>
    <row r="87" spans="1:47" x14ac:dyDescent="0.2">
      <c r="A87" s="174"/>
      <c r="B87" s="9" t="s">
        <v>84</v>
      </c>
      <c r="C87" s="14" t="str" cm="1">
        <f t="array" ref="C87:M87">_xlfn.LET(
  _xlpm.program_isNT, RIGHT(Athena_BV!B87,5)="_NT.c",
  _xlpm.program_isT,  RIGHT(Athena_BV!B87,4)="_T.c",
  _xlpm.bv_isCorrect, LOWER(Athena_BV!D87)="correct",
  _xlpm.ma_isCorrect, LOWER(Athena_MA!D87)="correct",
  _xlpm.mi_isCorrect, LOWER(Athena_MI!D87)="correct",
  _xlpm.bv_column, IF(_xlpm.program_isNT, Athena_BV!G87, IF(_xlpm.program_isT, Athena_BV!E87, "")),
  _xlpm.ma_column, IF(_xlpm.program_isNT, Athena_MA!G87, IF(_xlpm.program_isT, Athena_MA!E87, "")),
  _xlpm.mi_column, IF(_xlpm.program_isNT, Athena_MI!G87, IF(_xlpm.program_isT, Athena_MI!E87,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Athena_BV!C87:M87,
    Athena_MA!C87:M87,
    Athena_MI!C87:M87
  )
)</f>
        <v>(FSE_Bitvector_Mode_Unsigned_Wraparound_Error_3_T_Loop0_TestCase0, YES, 6500)</v>
      </c>
      <c r="D87" s="142" t="str">
        <v>correct</v>
      </c>
      <c r="E87" s="80">
        <v>1</v>
      </c>
      <c r="F87" s="1" t="str">
        <v>1/1</v>
      </c>
      <c r="G87" s="80" t="str">
        <v/>
      </c>
      <c r="H87" s="1" t="str">
        <v/>
      </c>
      <c r="I87" s="143">
        <v>1</v>
      </c>
      <c r="J87" s="1" t="str">
        <v>1/1</v>
      </c>
      <c r="K87" s="142">
        <v>6500</v>
      </c>
      <c r="L87" s="1">
        <v>6500</v>
      </c>
      <c r="M87" s="140">
        <v>6500</v>
      </c>
      <c r="N87" s="14" t="str" cm="1">
        <f t="array" ref="N87:X87">_xlfn.LET(
  _xlpm.program_isNT, RIGHT(Athena_BV!B87,5)="_NT.c",
  _xlpm.program_isT,  RIGHT(Athena_BV!B87,4)="_T.c",
  _xlpm.bv_isCorrect, LOWER(Athena_BV!O87)="correct",
  _xlpm.ma_isCorrect, LOWER(Athena_MA!O87)="correct",
  _xlpm.mi_isCorrect, LOWER(Athena_MI!O87)="correct",
  _xlpm.bv_column, IF(_xlpm.program_isNT, Athena_BV!R87, IF(_xlpm.program_isT, Athena_BV!P87, "")),
  _xlpm.ma_column, IF(_xlpm.program_isNT, Athena_MA!R87, IF(_xlpm.program_isT, Athena_MA!P87, "")),
  _xlpm.mi_column, IF(_xlpm.program_isNT, Athena_MI!R87, IF(_xlpm.program_isT, Athena_MI!P87,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Athena_BV!N87:X87,
    Athena_MA!N87:X87,
    Athena_MI!N87:X87
  )
)</f>
        <v>(FSE_Bitvector_Mode_Unsigned_Wraparound_Error_3_T_Loop19_TestCase0, YES, 7684)</v>
      </c>
      <c r="O87" s="142" t="str">
        <v>correct</v>
      </c>
      <c r="P87" s="80">
        <v>1</v>
      </c>
      <c r="Q87" s="1" t="str">
        <v>1/1</v>
      </c>
      <c r="R87" s="80" t="str">
        <v/>
      </c>
      <c r="S87" s="149" t="str">
        <v/>
      </c>
      <c r="T87" s="80">
        <v>1</v>
      </c>
      <c r="U87" s="1" t="str">
        <v>1/1</v>
      </c>
      <c r="V87" s="142">
        <v>7684</v>
      </c>
      <c r="W87" s="150">
        <v>7684</v>
      </c>
      <c r="X87" s="142">
        <v>7684</v>
      </c>
      <c r="Y87" s="14" t="str" cm="1">
        <f t="array" ref="Y87:AI87">_xlfn.LET(
  _xlpm.program_isNT, RIGHT(Athena_BV!B87,5)="_NT.c",
  _xlpm.program_isT,  RIGHT(Athena_BV!B87,4)="_T.c",
  _xlpm.bv_isCorrect, LOWER(Athena_BV!Z87)="correct",
  _xlpm.ma_isCorrect, LOWER(Athena_MA!Z87)="correct",
  _xlpm.mi_isCorrect, LOWER(Athena_MI!Z87)="correct",
  _xlpm.bv_column, IF(_xlpm.program_isNT, Athena_BV!AC87, IF(_xlpm.program_isT, Athena_BV!AA87, "")),
  _xlpm.ma_column, IF(_xlpm.program_isNT, Athena_MA!AC87, IF(_xlpm.program_isT, Athena_MA!AA87, "")),
  _xlpm.mi_column, IF(_xlpm.program_isNT, Athena_MI!AC87, IF(_xlpm.program_isT, Athena_MI!AA87,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Athena_BV!Y87:AI87,
    Athena_MA!Y87:AI87,
    Athena_MI!Y87:AI87
  )
)</f>
        <v>(FSE_Bitvector_Mode_Unsigned_Wraparound_Error_3_T_Loop0_TestCase6, YES, 3031)
(FSE_Bitvector_Mode_Unsigned_Wraparound_Error_3_T_Loop0_TestCase7, YES, 3585)
(FSE_Bitvector_Mode_Unsigned_Wraparound_Error_3_T_Loop0_TestCase5, YES, 1710)
(FSE_Bitvector_Mode_Unsigned_Wraparound_Error_3_T_Loop0_TestCase4, YES, 1918)
(FSE_Bitvector_Mode_Unsigned_Wraparound_Error_3_T_Loop0_TestCase1, YES, 2133)
(FSE_Bitvector_Mode_Unsigned_Wraparound_Error_3_T_Loop0_TestCase3, YES, 1732)
(FSE_Bitvector_Mode_Unsigned_Wraparound_Error_3_T_Loop0_TestCase2, YES, 1719)
(FSE_Bitvector_Mode_Unsigned_Wraparound_Error_3_T_Loop0_TestCase10, YES, 3355)
(FSE_Bitvector_Mode_Unsigned_Wraparound_Error_3_T_Loop0_TestCase9, YES, 3368)
(FSE_Bitvector_Mode_Unsigned_Wraparound_Error_3_T_Loop0_TestCase8, YES, 3544)</v>
      </c>
      <c r="Z87" s="142" t="str">
        <v>correct</v>
      </c>
      <c r="AA87" s="80">
        <v>1</v>
      </c>
      <c r="AB87" s="1" t="str">
        <v>10/10</v>
      </c>
      <c r="AC87" s="80" t="str">
        <v/>
      </c>
      <c r="AD87" s="1" t="str">
        <v/>
      </c>
      <c r="AE87" s="143">
        <v>1</v>
      </c>
      <c r="AF87" s="1" t="str">
        <v>10/10</v>
      </c>
      <c r="AG87" s="142">
        <v>26095</v>
      </c>
      <c r="AH87" s="150">
        <v>2609.5</v>
      </c>
      <c r="AI87" s="142">
        <v>2582</v>
      </c>
      <c r="AJ87" s="14" t="str" cm="1">
        <f t="array" ref="AJ87:AT87">_xlfn.LET(
  _xlpm.program_isNT, RIGHT(Athena_BV!B87,5)="_NT.c",
  _xlpm.program_isT,  RIGHT(Athena_BV!B87,4)="_T.c",
  _xlpm.bv_isCorrect, LOWER(Athena_BV!AK87)="correct",
  _xlpm.ma_isCorrect, LOWER(Athena_MA!AK87)="correct",
  _xlpm.mi_isCorrect, LOWER(Athena_MI!AK87)="correct",
  _xlpm.bv_column, IF(_xlpm.program_isNT, Athena_BV!AN87, IF(_xlpm.program_isT, Athena_BV!AL87, "")),
  _xlpm.ma_column, IF(_xlpm.program_isNT, Athena_MA!AN87, IF(_xlpm.program_isT, Athena_MA!AL87, "")),
  _xlpm.mi_column, IF(_xlpm.program_isNT, Athena_MI!AN87, IF(_xlpm.program_isT, Athena_MI!AL87,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Athena_BV!AJ87:AT87,
    Athena_MA!AJ87:AT87,
    Athena_MI!AJ87:AT87
  )
)</f>
        <v>(FSE_Bitvector_Mode_Unsigned_Wraparound_Error_3_T_Loop19_TestCase5, YES, 1742)
(FSE_Bitvector_Mode_Unsigned_Wraparound_Error_3_T_Loop19_TestCase4, YES, 1752)
(FSE_Bitvector_Mode_Unsigned_Wraparound_Error_3_T_Loop19_TestCase6, YES, 3604)
(FSE_Bitvector_Mode_Unsigned_Wraparound_Error_3_T_Loop19_TestCase7, YES, 3374)
(FSE_Bitvector_Mode_Unsigned_Wraparound_Error_3_T_Loop19_TestCase3, YES, 1747)
(FSE_Bitvector_Mode_Unsigned_Wraparound_Error_3_T_Loop19_TestCase2, YES, 2326)
(FSE_Bitvector_Mode_Unsigned_Wraparound_Error_3_T_Loop19_TestCase1, YES, 2252)
(FSE_Bitvector_Mode_Unsigned_Wraparound_Error_3_T_Loop19_TestCase10, YES, 3731)
(FSE_Bitvector_Mode_Unsigned_Wraparound_Error_3_T_Loop19_TestCase9, YES, 3355)
(FSE_Bitvector_Mode_Unsigned_Wraparound_Error_3_T_Loop19_TestCase8, YES, 3359)</v>
      </c>
      <c r="AK87" s="142" t="str">
        <v>correct</v>
      </c>
      <c r="AL87" s="80">
        <v>1</v>
      </c>
      <c r="AM87" s="1" t="str">
        <v>10/10</v>
      </c>
      <c r="AN87" s="80" t="str">
        <v/>
      </c>
      <c r="AO87" s="1" t="str">
        <v/>
      </c>
      <c r="AP87" s="143">
        <v>1</v>
      </c>
      <c r="AQ87" s="1" t="str">
        <v>10/10</v>
      </c>
      <c r="AR87" s="142">
        <v>27242</v>
      </c>
      <c r="AS87" s="150">
        <v>2724.2</v>
      </c>
      <c r="AT87" s="142">
        <v>2840.5</v>
      </c>
      <c r="AU87" s="4" t="s">
        <v>102</v>
      </c>
    </row>
    <row r="88" spans="1:47" x14ac:dyDescent="0.2">
      <c r="A88" s="174"/>
      <c r="B88" s="9" t="s">
        <v>85</v>
      </c>
      <c r="C88" s="14" t="str" cm="1">
        <f t="array" ref="C88:M88">_xlfn.LET(
  _xlpm.program_isNT, RIGHT(Athena_BV!B88,5)="_NT.c",
  _xlpm.program_isT,  RIGHT(Athena_BV!B88,4)="_T.c",
  _xlpm.bv_isCorrect, LOWER(Athena_BV!D88)="correct",
  _xlpm.ma_isCorrect, LOWER(Athena_MA!D88)="correct",
  _xlpm.mi_isCorrect, LOWER(Athena_MI!D88)="correct",
  _xlpm.bv_column, IF(_xlpm.program_isNT, Athena_BV!G88, IF(_xlpm.program_isT, Athena_BV!E88, "")),
  _xlpm.ma_column, IF(_xlpm.program_isNT, Athena_MA!G88, IF(_xlpm.program_isT, Athena_MA!E88, "")),
  _xlpm.mi_column, IF(_xlpm.program_isNT, Athena_MI!G88, IF(_xlpm.program_isT, Athena_MI!E88,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Athena_BV!C88:M88,
    Athena_MA!C88:M88,
    Athena_MI!C88:M88
  )
)</f>
        <v>(FSE_Bitvector_Mode_Unsigned_Wraparound_Error_4_NT_Loop0_TestCase0, NO, 1777)</v>
      </c>
      <c r="D88" s="142" t="str">
        <v>correct</v>
      </c>
      <c r="E88" s="80">
        <v>0</v>
      </c>
      <c r="F88" s="1" t="str">
        <v>0/0</v>
      </c>
      <c r="G88" s="80">
        <v>1</v>
      </c>
      <c r="H88" s="1" t="str">
        <v>1/1</v>
      </c>
      <c r="I88" s="143">
        <v>1</v>
      </c>
      <c r="J88" s="1" t="str">
        <v>1/1</v>
      </c>
      <c r="K88" s="142">
        <v>1777</v>
      </c>
      <c r="L88" s="1">
        <v>1777</v>
      </c>
      <c r="M88" s="140">
        <v>1777</v>
      </c>
      <c r="N88" s="14" t="str" cm="1">
        <f t="array" ref="N88:X88">_xlfn.LET(
  _xlpm.program_isNT, RIGHT(Athena_BV!B88,5)="_NT.c",
  _xlpm.program_isT,  RIGHT(Athena_BV!B88,4)="_T.c",
  _xlpm.bv_isCorrect, LOWER(Athena_BV!O88)="correct",
  _xlpm.ma_isCorrect, LOWER(Athena_MA!O88)="correct",
  _xlpm.mi_isCorrect, LOWER(Athena_MI!O88)="correct",
  _xlpm.bv_column, IF(_xlpm.program_isNT, Athena_BV!R88, IF(_xlpm.program_isT, Athena_BV!P88, "")),
  _xlpm.ma_column, IF(_xlpm.program_isNT, Athena_MA!R88, IF(_xlpm.program_isT, Athena_MA!P88, "")),
  _xlpm.mi_column, IF(_xlpm.program_isNT, Athena_MI!R88, IF(_xlpm.program_isT, Athena_MI!P88,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Athena_BV!N88:X88,
    Athena_MA!N88:X88,
    Athena_MI!N88:X88
  )
)</f>
        <v>(FSE_Bitvector_Mode_Unsigned_Wraparound_Error_4_NT_Loop15_TestCase0, NO, 1789)</v>
      </c>
      <c r="O88" s="142" t="str">
        <v>correct</v>
      </c>
      <c r="P88" s="80">
        <v>0</v>
      </c>
      <c r="Q88" s="1" t="str">
        <v>0/0</v>
      </c>
      <c r="R88" s="80">
        <v>1</v>
      </c>
      <c r="S88" s="149" t="str">
        <v>1/1</v>
      </c>
      <c r="T88" s="80">
        <v>1</v>
      </c>
      <c r="U88" s="1" t="str">
        <v>1/1</v>
      </c>
      <c r="V88" s="142">
        <v>1789</v>
      </c>
      <c r="W88" s="150">
        <v>1789</v>
      </c>
      <c r="X88" s="142">
        <v>1789</v>
      </c>
      <c r="Y88" s="14" t="str" cm="1">
        <f t="array" ref="Y88:AI88">_xlfn.LET(
  _xlpm.program_isNT, RIGHT(Athena_BV!B88,5)="_NT.c",
  _xlpm.program_isT,  RIGHT(Athena_BV!B88,4)="_T.c",
  _xlpm.bv_isCorrect, LOWER(Athena_BV!Z88)="correct",
  _xlpm.ma_isCorrect, LOWER(Athena_MA!Z88)="correct",
  _xlpm.mi_isCorrect, LOWER(Athena_MI!Z88)="correct",
  _xlpm.bv_column, IF(_xlpm.program_isNT, Athena_BV!AC88, IF(_xlpm.program_isT, Athena_BV!AA88, "")),
  _xlpm.ma_column, IF(_xlpm.program_isNT, Athena_MA!AC88, IF(_xlpm.program_isT, Athena_MA!AA88, "")),
  _xlpm.mi_column, IF(_xlpm.program_isNT, Athena_MI!AC88, IF(_xlpm.program_isT, Athena_MI!AA88,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Athena_BV!Y88:AI88,
    Athena_MA!Y88:AI88,
    Athena_MI!Y88:AI88
  )
)</f>
        <v>(FSE_Bitvector_Mode_Unsigned_Wraparound_Error_4_NT_Loop0_TestCase6, NO, 1789)
(FSE_Bitvector_Mode_Unsigned_Wraparound_Error_4_NT_Loop0_TestCase7, NO, 1734)
(FSE_Bitvector_Mode_Unsigned_Wraparound_Error_4_NT_Loop0_TestCase5, TIMEOUT, 301634)
(FSE_Bitvector_Mode_Unsigned_Wraparound_Error_4_NT_Loop0_TestCase10, NO, 1740)
(FSE_Bitvector_Mode_Unsigned_Wraparound_Error_4_NT_Loop0_TestCase4, TIMEOUT, 301642)
(FSE_Bitvector_Mode_Unsigned_Wraparound_Error_4_NT_Loop0_TestCase1, YES, 1770)
(FSE_Bitvector_Mode_Unsigned_Wraparound_Error_4_NT_Loop0_TestCase3, YES, 1870)
(FSE_Bitvector_Mode_Unsigned_Wraparound_Error_4_NT_Loop0_TestCase2, YES, 1795)
(FSE_Bitvector_Mode_Unsigned_Wraparound_Error_4_NT_Loop0_TestCase9, TIMEOUT, 301769)
(FSE_Bitvector_Mode_Unsigned_Wraparound_Error_4_NT_Loop0_TestCase8, TIMEOUT, 301609)</v>
      </c>
      <c r="Z88" s="142" t="str">
        <v>correct</v>
      </c>
      <c r="AA88" s="80">
        <v>0.6</v>
      </c>
      <c r="AB88" s="1" t="str">
        <v>3/5</v>
      </c>
      <c r="AC88" s="80">
        <v>0.6</v>
      </c>
      <c r="AD88" s="1" t="str">
        <v>3/5</v>
      </c>
      <c r="AE88" s="143">
        <v>0.6</v>
      </c>
      <c r="AF88" s="1" t="str">
        <v>6/10</v>
      </c>
      <c r="AG88" s="142">
        <v>10698</v>
      </c>
      <c r="AH88" s="150">
        <v>1783</v>
      </c>
      <c r="AI88" s="142">
        <v>1779.5</v>
      </c>
      <c r="AJ88" s="14" t="str" cm="1">
        <f t="array" ref="AJ88:AT88">_xlfn.LET(
  _xlpm.program_isNT, RIGHT(Athena_BV!B88,5)="_NT.c",
  _xlpm.program_isT,  RIGHT(Athena_BV!B88,4)="_T.c",
  _xlpm.bv_isCorrect, LOWER(Athena_BV!AK88)="correct",
  _xlpm.ma_isCorrect, LOWER(Athena_MA!AK88)="correct",
  _xlpm.mi_isCorrect, LOWER(Athena_MI!AK88)="correct",
  _xlpm.bv_column, IF(_xlpm.program_isNT, Athena_BV!AN88, IF(_xlpm.program_isT, Athena_BV!AL88, "")),
  _xlpm.ma_column, IF(_xlpm.program_isNT, Athena_MA!AN88, IF(_xlpm.program_isT, Athena_MA!AL88, "")),
  _xlpm.mi_column, IF(_xlpm.program_isNT, Athena_MI!AN88, IF(_xlpm.program_isT, Athena_MI!AL88,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Athena_BV!AJ88:AT88,
    Athena_MA!AJ88:AT88,
    Athena_MI!AJ88:AT88
  )
)</f>
        <v>(FSE_Bitvector_Mode_Unsigned_Wraparound_Error_4_NT_Loop15_TestCase3, YES, 1750)
(FSE_Bitvector_Mode_Unsigned_Wraparound_Error_4_NT_Loop15_TestCase2, YES, 1793)
(FSE_Bitvector_Mode_Unsigned_Wraparound_Error_4_NT_Loop15_TestCase1, YES, 1756)
(FSE_Bitvector_Mode_Unsigned_Wraparound_Error_4_NT_Loop15_TestCase5, TIMEOUT, 301741)
(FSE_Bitvector_Mode_Unsigned_Wraparound_Error_4_NT_Loop15_TestCase4, TIMEOUT, 301733)
(FSE_Bitvector_Mode_Unsigned_Wraparound_Error_4_NT_Loop15_TestCase6, NO, 1810)
(FSE_Bitvector_Mode_Unsigned_Wraparound_Error_4_NT_Loop15_TestCase7, NO, 1786)
(FSE_Bitvector_Mode_Unsigned_Wraparound_Error_4_NT_Loop15_TestCase10, NO, 1725)
(FSE_Bitvector_Mode_Unsigned_Wraparound_Error_4_NT_Loop15_TestCase9, TIMEOUT, 301750)
(FSE_Bitvector_Mode_Unsigned_Wraparound_Error_4_NT_Loop15_TestCase8, TIMEOUT, 301719)</v>
      </c>
      <c r="AK88" s="142" t="str">
        <v>correct</v>
      </c>
      <c r="AL88" s="80">
        <v>0.6</v>
      </c>
      <c r="AM88" s="1" t="str">
        <v>3/5</v>
      </c>
      <c r="AN88" s="80">
        <v>0.6</v>
      </c>
      <c r="AO88" s="1" t="str">
        <v>3/5</v>
      </c>
      <c r="AP88" s="143">
        <v>0.6</v>
      </c>
      <c r="AQ88" s="1" t="str">
        <v>6/10</v>
      </c>
      <c r="AR88" s="142">
        <v>10620</v>
      </c>
      <c r="AS88" s="150">
        <v>1770</v>
      </c>
      <c r="AT88" s="142">
        <v>1771</v>
      </c>
      <c r="AU88" s="4" t="s">
        <v>102</v>
      </c>
    </row>
    <row r="89" spans="1:47" x14ac:dyDescent="0.2">
      <c r="A89" s="174"/>
      <c r="B89" s="9" t="s">
        <v>86</v>
      </c>
      <c r="C89" s="14" t="str" cm="1">
        <f t="array" ref="C89:M89">_xlfn.LET(
  _xlpm.program_isNT, RIGHT(Athena_BV!B89,5)="_NT.c",
  _xlpm.program_isT,  RIGHT(Athena_BV!B89,4)="_T.c",
  _xlpm.bv_isCorrect, LOWER(Athena_BV!D89)="correct",
  _xlpm.ma_isCorrect, LOWER(Athena_MA!D89)="correct",
  _xlpm.mi_isCorrect, LOWER(Athena_MI!D89)="correct",
  _xlpm.bv_column, IF(_xlpm.program_isNT, Athena_BV!G89, IF(_xlpm.program_isT, Athena_BV!E89, "")),
  _xlpm.ma_column, IF(_xlpm.program_isNT, Athena_MA!G89, IF(_xlpm.program_isT, Athena_MA!E89, "")),
  _xlpm.mi_column, IF(_xlpm.program_isNT, Athena_MI!G89, IF(_xlpm.program_isT, Athena_MI!E89,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Athena_BV!C89:M89,
    Athena_MA!C89:M89,
    Athena_MI!C89:M89
  )
)</f>
        <v>(FSE_Bitvector_Mode_Unsigned_Wraparound_Error_4_T_Loop0_TestCase0, YES, 3124)</v>
      </c>
      <c r="D89" s="142" t="str">
        <v>correct</v>
      </c>
      <c r="E89" s="80">
        <v>1</v>
      </c>
      <c r="F89" s="1" t="str">
        <v>1/1</v>
      </c>
      <c r="G89" s="80" t="str">
        <v/>
      </c>
      <c r="H89" s="1" t="str">
        <v/>
      </c>
      <c r="I89" s="143">
        <v>1</v>
      </c>
      <c r="J89" s="1" t="str">
        <v>1/1</v>
      </c>
      <c r="K89" s="142">
        <v>3124</v>
      </c>
      <c r="L89" s="1">
        <v>3124</v>
      </c>
      <c r="M89" s="140">
        <v>3124</v>
      </c>
      <c r="N89" s="14" t="str" cm="1">
        <f t="array" ref="N89:X89">_xlfn.LET(
  _xlpm.program_isNT, RIGHT(Athena_BV!B89,5)="_NT.c",
  _xlpm.program_isT,  RIGHT(Athena_BV!B89,4)="_T.c",
  _xlpm.bv_isCorrect, LOWER(Athena_BV!O89)="correct",
  _xlpm.ma_isCorrect, LOWER(Athena_MA!O89)="correct",
  _xlpm.mi_isCorrect, LOWER(Athena_MI!O89)="correct",
  _xlpm.bv_column, IF(_xlpm.program_isNT, Athena_BV!R89, IF(_xlpm.program_isT, Athena_BV!P89, "")),
  _xlpm.ma_column, IF(_xlpm.program_isNT, Athena_MA!R89, IF(_xlpm.program_isT, Athena_MA!P89, "")),
  _xlpm.mi_column, IF(_xlpm.program_isNT, Athena_MI!R89, IF(_xlpm.program_isT, Athena_MI!P89,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Athena_BV!N89:X89,
    Athena_MA!N89:X89,
    Athena_MI!N89:X89
  )
)</f>
        <v>(FSE_Bitvector_Mode_Unsigned_Wraparound_Error_4_T_Loop13_TestCase0, YES, 3731)</v>
      </c>
      <c r="O89" s="142" t="str">
        <v>correct</v>
      </c>
      <c r="P89" s="80">
        <v>1</v>
      </c>
      <c r="Q89" s="1" t="str">
        <v>1/1</v>
      </c>
      <c r="R89" s="80" t="str">
        <v/>
      </c>
      <c r="S89" s="149" t="str">
        <v/>
      </c>
      <c r="T89" s="80">
        <v>1</v>
      </c>
      <c r="U89" s="1" t="str">
        <v>1/1</v>
      </c>
      <c r="V89" s="142">
        <v>3731</v>
      </c>
      <c r="W89" s="150">
        <v>3731</v>
      </c>
      <c r="X89" s="142">
        <v>3731</v>
      </c>
      <c r="Y89" s="14" t="str" cm="1">
        <f t="array" ref="Y89:AI89">_xlfn.LET(
  _xlpm.program_isNT, RIGHT(Athena_BV!B89,5)="_NT.c",
  _xlpm.program_isT,  RIGHT(Athena_BV!B89,4)="_T.c",
  _xlpm.bv_isCorrect, LOWER(Athena_BV!Z89)="correct",
  _xlpm.ma_isCorrect, LOWER(Athena_MA!Z89)="correct",
  _xlpm.mi_isCorrect, LOWER(Athena_MI!Z89)="correct",
  _xlpm.bv_column, IF(_xlpm.program_isNT, Athena_BV!AC89, IF(_xlpm.program_isT, Athena_BV!AA89, "")),
  _xlpm.ma_column, IF(_xlpm.program_isNT, Athena_MA!AC89, IF(_xlpm.program_isT, Athena_MA!AA89, "")),
  _xlpm.mi_column, IF(_xlpm.program_isNT, Athena_MI!AC89, IF(_xlpm.program_isT, Athena_MI!AA89,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Athena_BV!Y89:AI89,
    Athena_MA!Y89:AI89,
    Athena_MI!Y89:AI89
  )
)</f>
        <v>(FSE_Bitvector_Mode_Unsigned_Wraparound_Error_4_T_Loop0_TestCase8, YES, 1841)
(FSE_Bitvector_Mode_Unsigned_Wraparound_Error_4_T_Loop0_TestCase9, YES, 1871)
(FSE_Bitvector_Mode_Unsigned_Wraparound_Error_4_T_Loop0_TestCase1, YES, 1701)
(FSE_Bitvector_Mode_Unsigned_Wraparound_Error_4_T_Loop0_TestCase10, YES, 2011)
(FSE_Bitvector_Mode_Unsigned_Wraparound_Error_4_T_Loop0_TestCase2, YES, 1736)
(FSE_Bitvector_Mode_Unsigned_Wraparound_Error_4_T_Loop0_TestCase3, YES, 1733)
(FSE_Bitvector_Mode_Unsigned_Wraparound_Error_4_T_Loop0_TestCase7, YES, 1732)
(FSE_Bitvector_Mode_Unsigned_Wraparound_Error_4_T_Loop0_TestCase6, YES, 1739)
(FSE_Bitvector_Mode_Unsigned_Wraparound_Error_4_T_Loop0_TestCase4, YES, 1821)
(FSE_Bitvector_Mode_Unsigned_Wraparound_Error_4_T_Loop0_TestCase5, YES, 4464)</v>
      </c>
      <c r="Z89" s="142" t="str">
        <v>correct</v>
      </c>
      <c r="AA89" s="80">
        <v>1</v>
      </c>
      <c r="AB89" s="1" t="str">
        <v>10/10</v>
      </c>
      <c r="AC89" s="80" t="str">
        <v/>
      </c>
      <c r="AD89" s="1" t="str">
        <v/>
      </c>
      <c r="AE89" s="143">
        <v>1</v>
      </c>
      <c r="AF89" s="1" t="str">
        <v>10/10</v>
      </c>
      <c r="AG89" s="142">
        <v>20649</v>
      </c>
      <c r="AH89" s="150">
        <v>2064.9</v>
      </c>
      <c r="AI89" s="142">
        <v>1780</v>
      </c>
      <c r="AJ89" s="14" t="str" cm="1">
        <f t="array" ref="AJ89:AT89">_xlfn.LET(
  _xlpm.program_isNT, RIGHT(Athena_BV!B89,5)="_NT.c",
  _xlpm.program_isT,  RIGHT(Athena_BV!B89,4)="_T.c",
  _xlpm.bv_isCorrect, LOWER(Athena_BV!AK89)="correct",
  _xlpm.ma_isCorrect, LOWER(Athena_MA!AK89)="correct",
  _xlpm.mi_isCorrect, LOWER(Athena_MI!AK89)="correct",
  _xlpm.bv_column, IF(_xlpm.program_isNT, Athena_BV!AN89, IF(_xlpm.program_isT, Athena_BV!AL89, "")),
  _xlpm.ma_column, IF(_xlpm.program_isNT, Athena_MA!AN89, IF(_xlpm.program_isT, Athena_MA!AL89, "")),
  _xlpm.mi_column, IF(_xlpm.program_isNT, Athena_MI!AN89, IF(_xlpm.program_isT, Athena_MI!AL89,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Athena_BV!AJ89:AT89,
    Athena_MA!AJ89:AT89,
    Athena_MI!AJ89:AT89
  )
)</f>
        <v>(FSE_Bitvector_Mode_Unsigned_Wraparound_Error_4_T_Loop13_TestCase2, YES, 1744)
(FSE_Bitvector_Mode_Unsigned_Wraparound_Error_4_T_Loop13_TestCase3, YES, 1764)
(FSE_Bitvector_Mode_Unsigned_Wraparound_Error_4_T_Loop13_TestCase1, YES, 1781)
(FSE_Bitvector_Mode_Unsigned_Wraparound_Error_4_T_Loop13_TestCase4, YES, 4643)
(FSE_Bitvector_Mode_Unsigned_Wraparound_Error_4_T_Loop13_TestCase5, YES, 3804)
(FSE_Bitvector_Mode_Unsigned_Wraparound_Error_4_T_Loop13_TestCase7, YES, 2065)
(FSE_Bitvector_Mode_Unsigned_Wraparound_Error_4_T_Loop13_TestCase6, YES, 1790)
(FSE_Bitvector_Mode_Unsigned_Wraparound_Error_4_T_Loop13_TestCase10, YES, 1849)
(FSE_Bitvector_Mode_Unsigned_Wraparound_Error_4_T_Loop13_TestCase8, YES, 1834)
(FSE_Bitvector_Mode_Unsigned_Wraparound_Error_4_T_Loop13_TestCase9, YES, 1827)</v>
      </c>
      <c r="AK89" s="142" t="str">
        <v>correct</v>
      </c>
      <c r="AL89" s="80">
        <v>1</v>
      </c>
      <c r="AM89" s="1" t="str">
        <v>10/10</v>
      </c>
      <c r="AN89" s="80" t="str">
        <v/>
      </c>
      <c r="AO89" s="1" t="str">
        <v/>
      </c>
      <c r="AP89" s="143">
        <v>1</v>
      </c>
      <c r="AQ89" s="1" t="str">
        <v>10/10</v>
      </c>
      <c r="AR89" s="142">
        <v>23101</v>
      </c>
      <c r="AS89" s="150">
        <v>2310.1</v>
      </c>
      <c r="AT89" s="142">
        <v>1830.5</v>
      </c>
      <c r="AU89" s="4" t="s">
        <v>102</v>
      </c>
    </row>
    <row r="90" spans="1:47" x14ac:dyDescent="0.2">
      <c r="A90" s="174"/>
      <c r="B90" s="9" t="s">
        <v>87</v>
      </c>
      <c r="C90" s="14" t="str" cm="1">
        <f t="array" ref="C90:M90">_xlfn.LET(
  _xlpm.program_isNT, RIGHT(Athena_BV!B90,5)="_NT.c",
  _xlpm.program_isT,  RIGHT(Athena_BV!B90,4)="_T.c",
  _xlpm.bv_isCorrect, LOWER(Athena_BV!D90)="correct",
  _xlpm.ma_isCorrect, LOWER(Athena_MA!D90)="correct",
  _xlpm.mi_isCorrect, LOWER(Athena_MI!D90)="correct",
  _xlpm.bv_column, IF(_xlpm.program_isNT, Athena_BV!G90, IF(_xlpm.program_isT, Athena_BV!E90, "")),
  _xlpm.ma_column, IF(_xlpm.program_isNT, Athena_MA!G90, IF(_xlpm.program_isT, Athena_MA!E90, "")),
  _xlpm.mi_column, IF(_xlpm.program_isNT, Athena_MI!G90, IF(_xlpm.program_isT, Athena_MI!E90,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Athena_BV!C90:M90,
    Athena_MA!C90:M90,
    Athena_MI!C90:M90
  )
)</f>
        <v>(FSE_Bitvector_Mode_Using_Erroneous_Condition_1_NT_Loop0_TestCase0, NO, 2951)</v>
      </c>
      <c r="D90" s="142" t="str">
        <v>correct</v>
      </c>
      <c r="E90" s="80">
        <v>0</v>
      </c>
      <c r="F90" s="1" t="str">
        <v>0/0</v>
      </c>
      <c r="G90" s="80">
        <v>1</v>
      </c>
      <c r="H90" s="1" t="str">
        <v>1/1</v>
      </c>
      <c r="I90" s="143">
        <v>1</v>
      </c>
      <c r="J90" s="1" t="str">
        <v>1/1</v>
      </c>
      <c r="K90" s="142">
        <v>2951</v>
      </c>
      <c r="L90" s="1">
        <v>2951</v>
      </c>
      <c r="M90" s="140">
        <v>2951</v>
      </c>
      <c r="N90" s="14" t="str" cm="1">
        <f t="array" ref="N90:X90">_xlfn.LET(
  _xlpm.program_isNT, RIGHT(Athena_BV!B90,5)="_NT.c",
  _xlpm.program_isT,  RIGHT(Athena_BV!B90,4)="_T.c",
  _xlpm.bv_isCorrect, LOWER(Athena_BV!O90)="correct",
  _xlpm.ma_isCorrect, LOWER(Athena_MA!O90)="correct",
  _xlpm.mi_isCorrect, LOWER(Athena_MI!O90)="correct",
  _xlpm.bv_column, IF(_xlpm.program_isNT, Athena_BV!R90, IF(_xlpm.program_isT, Athena_BV!P90, "")),
  _xlpm.ma_column, IF(_xlpm.program_isNT, Athena_MA!R90, IF(_xlpm.program_isT, Athena_MA!P90, "")),
  _xlpm.mi_column, IF(_xlpm.program_isNT, Athena_MI!R90, IF(_xlpm.program_isT, Athena_MI!P90,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Athena_BV!N90:X90,
    Athena_MA!N90:X90,
    Athena_MI!N90:X90
  )
)</f>
        <v>(FSE_Bitvector_Mode_Using_Erroneous_Condition_1_NT_Loop39_TestCase0, NO, 2490)</v>
      </c>
      <c r="O90" s="142" t="str">
        <v>correct</v>
      </c>
      <c r="P90" s="80">
        <v>0</v>
      </c>
      <c r="Q90" s="1" t="str">
        <v>0/0</v>
      </c>
      <c r="R90" s="80">
        <v>1</v>
      </c>
      <c r="S90" s="149" t="str">
        <v>1/1</v>
      </c>
      <c r="T90" s="80">
        <v>1</v>
      </c>
      <c r="U90" s="1" t="str">
        <v>1/1</v>
      </c>
      <c r="V90" s="142">
        <v>2490</v>
      </c>
      <c r="W90" s="150">
        <v>2490</v>
      </c>
      <c r="X90" s="142">
        <v>2490</v>
      </c>
      <c r="Y90" s="14" t="str" cm="1">
        <f t="array" ref="Y90:AI90">_xlfn.LET(
  _xlpm.program_isNT, RIGHT(Athena_BV!B90,5)="_NT.c",
  _xlpm.program_isT,  RIGHT(Athena_BV!B90,4)="_T.c",
  _xlpm.bv_isCorrect, LOWER(Athena_BV!Z90)="correct",
  _xlpm.ma_isCorrect, LOWER(Athena_MA!Z90)="correct",
  _xlpm.mi_isCorrect, LOWER(Athena_MI!Z90)="correct",
  _xlpm.bv_column, IF(_xlpm.program_isNT, Athena_BV!AC90, IF(_xlpm.program_isT, Athena_BV!AA90, "")),
  _xlpm.ma_column, IF(_xlpm.program_isNT, Athena_MA!AC90, IF(_xlpm.program_isT, Athena_MA!AA90, "")),
  _xlpm.mi_column, IF(_xlpm.program_isNT, Athena_MI!AC90, IF(_xlpm.program_isT, Athena_MI!AA90,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Athena_BV!Y90:AI90,
    Athena_MA!Y90:AI90,
    Athena_MI!Y90:AI90
  )
)</f>
        <v>(FSE_Bitvector_Mode_Using_Erroneous_Condition_1_NT_Loop0_TestCase10, NO, 3671)
(FSE_Bitvector_Mode_Using_Erroneous_Condition_1_NT_Loop0_TestCase9, NO, 3978)
(FSE_Bitvector_Mode_Using_Erroneous_Condition_1_NT_Loop0_TestCase8, NO, 7197)
(FSE_Bitvector_Mode_Using_Erroneous_Condition_1_NT_Loop0_TestCase5, YES, 255685)
(FSE_Bitvector_Mode_Using_Erroneous_Condition_1_NT_Loop0_TestCase4, YES, 4619)
(FSE_Bitvector_Mode_Using_Erroneous_Condition_1_NT_Loop0_TestCase6, NO, 3155)
(FSE_Bitvector_Mode_Using_Erroneous_Condition_1_NT_Loop0_TestCase7, NO, 4014)
(FSE_Bitvector_Mode_Using_Erroneous_Condition_1_NT_Loop0_TestCase3, YES, 67779)
(FSE_Bitvector_Mode_Using_Erroneous_Condition_1_NT_Loop0_TestCase2, YES, 3691)
(FSE_Bitvector_Mode_Using_Erroneous_Condition_1_NT_Loop0_TestCase1, YES, 1858)</v>
      </c>
      <c r="Z90" s="142" t="str">
        <v>correct</v>
      </c>
      <c r="AA90" s="80">
        <v>1</v>
      </c>
      <c r="AB90" s="1" t="str">
        <v>5/5</v>
      </c>
      <c r="AC90" s="80">
        <v>1</v>
      </c>
      <c r="AD90" s="1" t="str">
        <v>5/5</v>
      </c>
      <c r="AE90" s="143">
        <v>1</v>
      </c>
      <c r="AF90" s="1" t="str">
        <v>10/10</v>
      </c>
      <c r="AG90" s="142">
        <v>355647</v>
      </c>
      <c r="AH90" s="150">
        <v>35564.699999999997</v>
      </c>
      <c r="AI90" s="142">
        <v>3996</v>
      </c>
      <c r="AJ90" s="14" t="str" cm="1">
        <f t="array" ref="AJ90:AT90">_xlfn.LET(
  _xlpm.program_isNT, RIGHT(Athena_BV!B90,5)="_NT.c",
  _xlpm.program_isT,  RIGHT(Athena_BV!B90,4)="_T.c",
  _xlpm.bv_isCorrect, LOWER(Athena_BV!AK90)="correct",
  _xlpm.ma_isCorrect, LOWER(Athena_MA!AK90)="correct",
  _xlpm.mi_isCorrect, LOWER(Athena_MI!AK90)="correct",
  _xlpm.bv_column, IF(_xlpm.program_isNT, Athena_BV!AN90, IF(_xlpm.program_isT, Athena_BV!AL90, "")),
  _xlpm.ma_column, IF(_xlpm.program_isNT, Athena_MA!AN90, IF(_xlpm.program_isT, Athena_MA!AL90, "")),
  _xlpm.mi_column, IF(_xlpm.program_isNT, Athena_MI!AN90, IF(_xlpm.program_isT, Athena_MI!AL90,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Athena_BV!AJ90:AT90,
    Athena_MA!AJ90:AT90,
    Athena_MI!AJ90:AT90
  )
)</f>
        <v>(FSE_Bitvector_Mode_Using_Erroneous_Condition_1_NT_Loop39_TestCase8, NO, 8155)
(FSE_Bitvector_Mode_Using_Erroneous_Condition_1_NT_Loop39_TestCase9, NO, 5525)
(FSE_Bitvector_Mode_Using_Erroneous_Condition_1_NT_Loop39_TestCase2, YES, 4016)
(FSE_Bitvector_Mode_Using_Erroneous_Condition_1_NT_Loop39_TestCase3, YES, 46426)
(FSE_Bitvector_Mode_Using_Erroneous_Condition_1_NT_Loop39_TestCase1, YES, 2178)
(FSE_Bitvector_Mode_Using_Erroneous_Condition_1_NT_Loop39_TestCase4, YES, 25518)
(FSE_Bitvector_Mode_Using_Erroneous_Condition_1_NT_Loop39_TestCase5, YES, 221416)
(FSE_Bitvector_Mode_Using_Erroneous_Condition_1_NT_Loop39_TestCase7, NO, 3958)
(FSE_Bitvector_Mode_Using_Erroneous_Condition_1_NT_Loop39_TestCase6, NO, 3307)
(FSE_Bitvector_Mode_Using_Erroneous_Condition_1_NT_Loop39_TestCase10, NO, 4712)</v>
      </c>
      <c r="AK90" s="142" t="str">
        <v>correct</v>
      </c>
      <c r="AL90" s="80">
        <v>1</v>
      </c>
      <c r="AM90" s="1" t="str">
        <v>5/5</v>
      </c>
      <c r="AN90" s="80">
        <v>1</v>
      </c>
      <c r="AO90" s="1" t="str">
        <v>5/5</v>
      </c>
      <c r="AP90" s="143">
        <v>1</v>
      </c>
      <c r="AQ90" s="1" t="str">
        <v>10/10</v>
      </c>
      <c r="AR90" s="142">
        <v>325211</v>
      </c>
      <c r="AS90" s="150">
        <v>32521.1</v>
      </c>
      <c r="AT90" s="142">
        <v>5118.5</v>
      </c>
      <c r="AU90" s="4" t="s">
        <v>98</v>
      </c>
    </row>
    <row r="91" spans="1:47" x14ac:dyDescent="0.2">
      <c r="A91" s="174"/>
      <c r="B91" s="9" t="s">
        <v>88</v>
      </c>
      <c r="C91" s="14" t="str" cm="1">
        <f t="array" ref="C91:M91">_xlfn.LET(
  _xlpm.program_isNT, RIGHT(Athena_BV!B91,5)="_NT.c",
  _xlpm.program_isT,  RIGHT(Athena_BV!B91,4)="_T.c",
  _xlpm.bv_isCorrect, LOWER(Athena_BV!D91)="correct",
  _xlpm.ma_isCorrect, LOWER(Athena_MA!D91)="correct",
  _xlpm.mi_isCorrect, LOWER(Athena_MI!D91)="correct",
  _xlpm.bv_column, IF(_xlpm.program_isNT, Athena_BV!G91, IF(_xlpm.program_isT, Athena_BV!E91, "")),
  _xlpm.ma_column, IF(_xlpm.program_isNT, Athena_MA!G91, IF(_xlpm.program_isT, Athena_MA!E91, "")),
  _xlpm.mi_column, IF(_xlpm.program_isNT, Athena_MI!G91, IF(_xlpm.program_isT, Athena_MI!E91,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Athena_BV!C91:M91,
    Athena_MA!C91:M91,
    Athena_MI!C91:M91
  )
)</f>
        <v>(FSE_Bitvector_Mode_Using_Erroneous_Condition_1_T_Loop0_TestCase0, TIMEOUT, 302029)</v>
      </c>
      <c r="D91" s="142" t="str">
        <v>correct</v>
      </c>
      <c r="E91" s="80">
        <v>0</v>
      </c>
      <c r="F91" s="1" t="str">
        <v>0/1</v>
      </c>
      <c r="G91" s="80" t="str">
        <v/>
      </c>
      <c r="H91" s="1" t="str">
        <v/>
      </c>
      <c r="I91" s="143">
        <v>0</v>
      </c>
      <c r="J91" s="1" t="str">
        <v>0/1</v>
      </c>
      <c r="K91" s="142">
        <v>0</v>
      </c>
      <c r="L91" s="1">
        <v>0</v>
      </c>
      <c r="M91" s="140">
        <v>0</v>
      </c>
      <c r="N91" s="14" t="str" cm="1">
        <f t="array" ref="N91:X91">_xlfn.LET(
  _xlpm.program_isNT, RIGHT(Athena_BV!B91,5)="_NT.c",
  _xlpm.program_isT,  RIGHT(Athena_BV!B91,4)="_T.c",
  _xlpm.bv_isCorrect, LOWER(Athena_BV!O91)="correct",
  _xlpm.ma_isCorrect, LOWER(Athena_MA!O91)="correct",
  _xlpm.mi_isCorrect, LOWER(Athena_MI!O91)="correct",
  _xlpm.bv_column, IF(_xlpm.program_isNT, Athena_BV!R91, IF(_xlpm.program_isT, Athena_BV!P91, "")),
  _xlpm.ma_column, IF(_xlpm.program_isNT, Athena_MA!R91, IF(_xlpm.program_isT, Athena_MA!P91, "")),
  _xlpm.mi_column, IF(_xlpm.program_isNT, Athena_MI!R91, IF(_xlpm.program_isT, Athena_MI!P91,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Athena_BV!N91:X91,
    Athena_MA!N91:X91,
    Athena_MI!N91:X91
  )
)</f>
        <v>(FSE_Bitvector_Mode_Using_Erroneous_Condition_1_T_Loop39_TestCase0, TIMEOUT, 301982)</v>
      </c>
      <c r="O91" s="142" t="str">
        <v>correct</v>
      </c>
      <c r="P91" s="80">
        <v>0</v>
      </c>
      <c r="Q91" s="1" t="str">
        <v>0/1</v>
      </c>
      <c r="R91" s="80" t="str">
        <v/>
      </c>
      <c r="S91" s="149" t="str">
        <v/>
      </c>
      <c r="T91" s="80">
        <v>0</v>
      </c>
      <c r="U91" s="1" t="str">
        <v>0/1</v>
      </c>
      <c r="V91" s="142">
        <v>0</v>
      </c>
      <c r="W91" s="150">
        <v>0</v>
      </c>
      <c r="X91" s="142">
        <v>0</v>
      </c>
      <c r="Y91" s="14" t="str" cm="1">
        <f t="array" ref="Y91:AI91">_xlfn.LET(
  _xlpm.program_isNT, RIGHT(Athena_BV!B91,5)="_NT.c",
  _xlpm.program_isT,  RIGHT(Athena_BV!B91,4)="_T.c",
  _xlpm.bv_isCorrect, LOWER(Athena_BV!Z91)="correct",
  _xlpm.ma_isCorrect, LOWER(Athena_MA!Z91)="correct",
  _xlpm.mi_isCorrect, LOWER(Athena_MI!Z91)="correct",
  _xlpm.bv_column, IF(_xlpm.program_isNT, Athena_BV!AC91, IF(_xlpm.program_isT, Athena_BV!AA91, "")),
  _xlpm.ma_column, IF(_xlpm.program_isNT, Athena_MA!AC91, IF(_xlpm.program_isT, Athena_MA!AA91, "")),
  _xlpm.mi_column, IF(_xlpm.program_isNT, Athena_MI!AC91, IF(_xlpm.program_isT, Athena_MI!AA91,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Athena_BV!Y91:AI91,
    Athena_MA!Y91:AI91,
    Athena_MI!Y91:AI91
  )
)</f>
        <v>(FSE_Mathematical_Integer_Mode_Using_Erroneous_Condition_1_T_Loop0_TestCase8, YES, 2251)
(FSE_Mathematical_Integer_Mode_Using_Erroneous_Condition_1_T_Loop0_TestCase9, YES, 1865)
(FSE_Mathematical_Integer_Mode_Using_Erroneous_Condition_1_T_Loop0_TestCase10, YES, 2456)
(FSE_Mathematical_Integer_Mode_Using_Erroneous_Condition_1_T_Loop0_TestCase4, YES, 9802)
(FSE_Mathematical_Integer_Mode_Using_Erroneous_Condition_1_T_Loop0_TestCase5, YES, 4460)
(FSE_Mathematical_Integer_Mode_Using_Erroneous_Condition_1_T_Loop0_TestCase7, YES, 1851)
(FSE_Mathematical_Integer_Mode_Using_Erroneous_Condition_1_T_Loop0_TestCase6, YES, 2210)
(FSE_Mathematical_Integer_Mode_Using_Erroneous_Condition_1_T_Loop0_TestCase2, YES, 5802)
(FSE_Mathematical_Integer_Mode_Using_Erroneous_Condition_1_T_Loop0_TestCase3, YES, 4822)
(FSE_Mathematical_Integer_Mode_Using_Erroneous_Condition_1_T_Loop0_TestCase1, YES, 2297)</v>
      </c>
      <c r="Z91" s="142" t="str">
        <v>correct</v>
      </c>
      <c r="AA91" s="80">
        <v>1</v>
      </c>
      <c r="AB91" s="1" t="str">
        <v>10/10</v>
      </c>
      <c r="AC91" s="80" t="str">
        <v/>
      </c>
      <c r="AD91" s="1" t="str">
        <v/>
      </c>
      <c r="AE91" s="143">
        <v>1</v>
      </c>
      <c r="AF91" s="1" t="str">
        <v>10/10</v>
      </c>
      <c r="AG91" s="142">
        <v>37816</v>
      </c>
      <c r="AH91" s="150">
        <v>3781.6</v>
      </c>
      <c r="AI91" s="142">
        <v>2376.5</v>
      </c>
      <c r="AJ91" s="14" t="str" cm="1">
        <f t="array" ref="AJ91:AT91">_xlfn.LET(
  _xlpm.program_isNT, RIGHT(Athena_BV!B91,5)="_NT.c",
  _xlpm.program_isT,  RIGHT(Athena_BV!B91,4)="_T.c",
  _xlpm.bv_isCorrect, LOWER(Athena_BV!AK91)="correct",
  _xlpm.ma_isCorrect, LOWER(Athena_MA!AK91)="correct",
  _xlpm.mi_isCorrect, LOWER(Athena_MI!AK91)="correct",
  _xlpm.bv_column, IF(_xlpm.program_isNT, Athena_BV!AN91, IF(_xlpm.program_isT, Athena_BV!AL91, "")),
  _xlpm.ma_column, IF(_xlpm.program_isNT, Athena_MA!AN91, IF(_xlpm.program_isT, Athena_MA!AL91, "")),
  _xlpm.mi_column, IF(_xlpm.program_isNT, Athena_MI!AN91, IF(_xlpm.program_isT, Athena_MI!AL91,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Athena_BV!AJ91:AT91,
    Athena_MA!AJ91:AT91,
    Athena_MI!AJ91:AT91
  )
)</f>
        <v>(FSE_Bitvector_Mode_Using_Erroneous_Condition_1_T_Loop39_TestCase10, YES, 250752)
(FSE_Bitvector_Mode_Using_Erroneous_Condition_1_T_Loop39_TestCase9, YES, 1925)
(FSE_Bitvector_Mode_Using_Erroneous_Condition_1_T_Loop39_TestCase8, YES, 54015)
(FSE_Bitvector_Mode_Using_Erroneous_Condition_1_T_Loop39_TestCase1, YES, 2081)
(FSE_Bitvector_Mode_Using_Erroneous_Condition_1_T_Loop39_TestCase3, YES, 67161)
(FSE_Bitvector_Mode_Using_Erroneous_Condition_1_T_Loop39_TestCase2, YES, 211690)
(FSE_Bitvector_Mode_Using_Erroneous_Condition_1_T_Loop39_TestCase6, YES, 49535)
(FSE_Bitvector_Mode_Using_Erroneous_Condition_1_T_Loop39_TestCase7, YES, 2030)
(FSE_Bitvector_Mode_Using_Erroneous_Condition_1_T_Loop39_TestCase5, YES, 249682)
(FSE_Bitvector_Mode_Using_Erroneous_Condition_1_T_Loop39_TestCase4, YES, 55076)</v>
      </c>
      <c r="AK91" s="142" t="str">
        <v>correct</v>
      </c>
      <c r="AL91" s="80">
        <v>1</v>
      </c>
      <c r="AM91" s="1" t="str">
        <v>10/10</v>
      </c>
      <c r="AN91" s="80" t="str">
        <v/>
      </c>
      <c r="AO91" s="1" t="str">
        <v/>
      </c>
      <c r="AP91" s="143">
        <v>1</v>
      </c>
      <c r="AQ91" s="1" t="str">
        <v>10/10</v>
      </c>
      <c r="AR91" s="142">
        <v>943947</v>
      </c>
      <c r="AS91" s="150">
        <v>94394.7</v>
      </c>
      <c r="AT91" s="142">
        <v>54545.5</v>
      </c>
      <c r="AU91" s="4" t="s">
        <v>98</v>
      </c>
    </row>
    <row r="92" spans="1:47" x14ac:dyDescent="0.2">
      <c r="A92" s="174"/>
      <c r="B92" s="9" t="s">
        <v>89</v>
      </c>
      <c r="C92" s="14" t="str" cm="1">
        <f t="array" ref="C92:M92">_xlfn.LET(
  _xlpm.program_isNT, RIGHT(Athena_BV!B92,5)="_NT.c",
  _xlpm.program_isT,  RIGHT(Athena_BV!B92,4)="_T.c",
  _xlpm.bv_isCorrect, LOWER(Athena_BV!D92)="correct",
  _xlpm.ma_isCorrect, LOWER(Athena_MA!D92)="correct",
  _xlpm.mi_isCorrect, LOWER(Athena_MI!D92)="correct",
  _xlpm.bv_column, IF(_xlpm.program_isNT, Athena_BV!G92, IF(_xlpm.program_isT, Athena_BV!E92, "")),
  _xlpm.ma_column, IF(_xlpm.program_isNT, Athena_MA!G92, IF(_xlpm.program_isT, Athena_MA!E92, "")),
  _xlpm.mi_column, IF(_xlpm.program_isNT, Athena_MI!G92, IF(_xlpm.program_isT, Athena_MI!E92,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Athena_BV!C92:M92,
    Athena_MA!C92:M92,
    Athena_MI!C92:M92
  )
)</f>
        <v>(FSE_Bitvector_Mode_Using_Erroneous_Condition_2_NT_Loop0_TestCase0, NO, 1918)</v>
      </c>
      <c r="D92" s="142" t="str">
        <v>correct</v>
      </c>
      <c r="E92" s="80">
        <v>0</v>
      </c>
      <c r="F92" s="1" t="str">
        <v>0/0</v>
      </c>
      <c r="G92" s="80">
        <v>1</v>
      </c>
      <c r="H92" s="1" t="str">
        <v>1/1</v>
      </c>
      <c r="I92" s="143">
        <v>1</v>
      </c>
      <c r="J92" s="1" t="str">
        <v>1/1</v>
      </c>
      <c r="K92" s="142">
        <v>1918</v>
      </c>
      <c r="L92" s="1">
        <v>1918</v>
      </c>
      <c r="M92" s="140">
        <v>1918</v>
      </c>
      <c r="N92" s="14" t="str" cm="1">
        <f t="array" ref="N92:X92">_xlfn.LET(
  _xlpm.program_isNT, RIGHT(Athena_BV!B92,5)="_NT.c",
  _xlpm.program_isT,  RIGHT(Athena_BV!B92,4)="_T.c",
  _xlpm.bv_isCorrect, LOWER(Athena_BV!O92)="correct",
  _xlpm.ma_isCorrect, LOWER(Athena_MA!O92)="correct",
  _xlpm.mi_isCorrect, LOWER(Athena_MI!O92)="correct",
  _xlpm.bv_column, IF(_xlpm.program_isNT, Athena_BV!R92, IF(_xlpm.program_isT, Athena_BV!P92, "")),
  _xlpm.ma_column, IF(_xlpm.program_isNT, Athena_MA!R92, IF(_xlpm.program_isT, Athena_MA!P92, "")),
  _xlpm.mi_column, IF(_xlpm.program_isNT, Athena_MI!R92, IF(_xlpm.program_isT, Athena_MI!P92,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Athena_BV!N92:X92,
    Athena_MA!N92:X92,
    Athena_MI!N92:X92
  )
)</f>
        <v>(FSE_Bitvector_Mode_Using_Erroneous_Condition_2_NT_Loop16_TestCase0, NO, 2070)</v>
      </c>
      <c r="O92" s="142" t="str">
        <v>correct</v>
      </c>
      <c r="P92" s="80">
        <v>0</v>
      </c>
      <c r="Q92" s="1" t="str">
        <v>0/0</v>
      </c>
      <c r="R92" s="80">
        <v>1</v>
      </c>
      <c r="S92" s="149" t="str">
        <v>1/1</v>
      </c>
      <c r="T92" s="80">
        <v>1</v>
      </c>
      <c r="U92" s="1" t="str">
        <v>1/1</v>
      </c>
      <c r="V92" s="142">
        <v>2070</v>
      </c>
      <c r="W92" s="150">
        <v>2070</v>
      </c>
      <c r="X92" s="142">
        <v>2070</v>
      </c>
      <c r="Y92" s="14" t="str" cm="1">
        <f t="array" ref="Y92:AI92">_xlfn.LET(
  _xlpm.program_isNT, RIGHT(Athena_BV!B92,5)="_NT.c",
  _xlpm.program_isT,  RIGHT(Athena_BV!B92,4)="_T.c",
  _xlpm.bv_isCorrect, LOWER(Athena_BV!Z92)="correct",
  _xlpm.ma_isCorrect, LOWER(Athena_MA!Z92)="correct",
  _xlpm.mi_isCorrect, LOWER(Athena_MI!Z92)="correct",
  _xlpm.bv_column, IF(_xlpm.program_isNT, Athena_BV!AC92, IF(_xlpm.program_isT, Athena_BV!AA92, "")),
  _xlpm.ma_column, IF(_xlpm.program_isNT, Athena_MA!AC92, IF(_xlpm.program_isT, Athena_MA!AA92, "")),
  _xlpm.mi_column, IF(_xlpm.program_isNT, Athena_MI!AC92, IF(_xlpm.program_isT, Athena_MI!AA92,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Athena_BV!Y92:AI92,
    Athena_MA!Y92:AI92,
    Athena_MI!Y92:AI92
  )
)</f>
        <v>(FSE_Bitvector_Mode_Using_Erroneous_Condition_2_NT_Loop0_TestCase9, NO, 1701)
(FSE_Bitvector_Mode_Using_Erroneous_Condition_2_NT_Loop0_TestCase8, NO, 1681)
(FSE_Bitvector_Mode_Using_Erroneous_Condition_2_NT_Loop0_TestCase10, NO, 1735)
(FSE_Bitvector_Mode_Using_Erroneous_Condition_2_NT_Loop0_TestCase1, YES, 1732)
(FSE_Bitvector_Mode_Using_Erroneous_Condition_2_NT_Loop0_TestCase3, YES, 1715)
(FSE_Bitvector_Mode_Using_Erroneous_Condition_2_NT_Loop0_TestCase2, YES, 1701)
(FSE_Bitvector_Mode_Using_Erroneous_Condition_2_NT_Loop0_TestCase6, NO, 1695)
(FSE_Bitvector_Mode_Using_Erroneous_Condition_2_NT_Loop0_TestCase7, NO, 1704)
(FSE_Bitvector_Mode_Using_Erroneous_Condition_2_NT_Loop0_TestCase5, YES, 1752)
(FSE_Bitvector_Mode_Using_Erroneous_Condition_2_NT_Loop0_TestCase4, YES, 1698)</v>
      </c>
      <c r="Z92" s="142" t="str">
        <v>correct</v>
      </c>
      <c r="AA92" s="80">
        <v>1</v>
      </c>
      <c r="AB92" s="1" t="str">
        <v>5/5</v>
      </c>
      <c r="AC92" s="80">
        <v>1</v>
      </c>
      <c r="AD92" s="1" t="str">
        <v>5/5</v>
      </c>
      <c r="AE92" s="143">
        <v>1</v>
      </c>
      <c r="AF92" s="1" t="str">
        <v>10/10</v>
      </c>
      <c r="AG92" s="142">
        <v>17114</v>
      </c>
      <c r="AH92" s="150">
        <v>1711.4</v>
      </c>
      <c r="AI92" s="142">
        <v>1702.5</v>
      </c>
      <c r="AJ92" s="14" t="str" cm="1">
        <f t="array" ref="AJ92:AT92">_xlfn.LET(
  _xlpm.program_isNT, RIGHT(Athena_BV!B92,5)="_NT.c",
  _xlpm.program_isT,  RIGHT(Athena_BV!B92,4)="_T.c",
  _xlpm.bv_isCorrect, LOWER(Athena_BV!AK92)="correct",
  _xlpm.ma_isCorrect, LOWER(Athena_MA!AK92)="correct",
  _xlpm.mi_isCorrect, LOWER(Athena_MI!AK92)="correct",
  _xlpm.bv_column, IF(_xlpm.program_isNT, Athena_BV!AN92, IF(_xlpm.program_isT, Athena_BV!AL92, "")),
  _xlpm.ma_column, IF(_xlpm.program_isNT, Athena_MA!AN92, IF(_xlpm.program_isT, Athena_MA!AL92, "")),
  _xlpm.mi_column, IF(_xlpm.program_isNT, Athena_MI!AN92, IF(_xlpm.program_isT, Athena_MI!AL92,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Athena_BV!AJ92:AT92,
    Athena_MA!AJ92:AT92,
    Athena_MI!AJ92:AT92
  )
)</f>
        <v>(FSE_Bitvector_Mode_Using_Erroneous_Condition_2_NT_Loop16_TestCase1, YES, 1996)
(FSE_Bitvector_Mode_Using_Erroneous_Condition_2_NT_Loop16_TestCase3, YES, 1728)
(FSE_Bitvector_Mode_Using_Erroneous_Condition_2_NT_Loop16_TestCase2, YES, 1685)
(FSE_Bitvector_Mode_Using_Erroneous_Condition_2_NT_Loop16_TestCase6, NO, 1737)
(FSE_Bitvector_Mode_Using_Erroneous_Condition_2_NT_Loop16_TestCase7, NO, 1709)
(FSE_Bitvector_Mode_Using_Erroneous_Condition_2_NT_Loop16_TestCase5, YES, 1732)
(FSE_Bitvector_Mode_Using_Erroneous_Condition_2_NT_Loop16_TestCase4, YES, 1732)
(FSE_Bitvector_Mode_Using_Erroneous_Condition_2_NT_Loop16_TestCase10, NO, 1689)
(FSE_Bitvector_Mode_Using_Erroneous_Condition_2_NT_Loop16_TestCase9, NO, 1724)
(FSE_Bitvector_Mode_Using_Erroneous_Condition_2_NT_Loop16_TestCase8, NO, 1748)</v>
      </c>
      <c r="AK92" s="142" t="str">
        <v>correct</v>
      </c>
      <c r="AL92" s="80">
        <v>1</v>
      </c>
      <c r="AM92" s="1" t="str">
        <v>5/5</v>
      </c>
      <c r="AN92" s="80">
        <v>1</v>
      </c>
      <c r="AO92" s="1" t="str">
        <v>5/5</v>
      </c>
      <c r="AP92" s="143">
        <v>1</v>
      </c>
      <c r="AQ92" s="1" t="str">
        <v>10/10</v>
      </c>
      <c r="AR92" s="142">
        <v>17480</v>
      </c>
      <c r="AS92" s="150">
        <v>1748</v>
      </c>
      <c r="AT92" s="142">
        <v>1730</v>
      </c>
    </row>
    <row r="93" spans="1:47" x14ac:dyDescent="0.2">
      <c r="A93" s="174"/>
      <c r="B93" s="9" t="s">
        <v>90</v>
      </c>
      <c r="C93" s="14" t="str" cm="1">
        <f t="array" ref="C93:M93">_xlfn.LET(
  _xlpm.program_isNT, RIGHT(Athena_BV!B93,5)="_NT.c",
  _xlpm.program_isT,  RIGHT(Athena_BV!B93,4)="_T.c",
  _xlpm.bv_isCorrect, LOWER(Athena_BV!D93)="correct",
  _xlpm.ma_isCorrect, LOWER(Athena_MA!D93)="correct",
  _xlpm.mi_isCorrect, LOWER(Athena_MI!D93)="correct",
  _xlpm.bv_column, IF(_xlpm.program_isNT, Athena_BV!G93, IF(_xlpm.program_isT, Athena_BV!E93, "")),
  _xlpm.ma_column, IF(_xlpm.program_isNT, Athena_MA!G93, IF(_xlpm.program_isT, Athena_MA!E93, "")),
  _xlpm.mi_column, IF(_xlpm.program_isNT, Athena_MI!G93, IF(_xlpm.program_isT, Athena_MI!E93,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Athena_BV!C93:M93,
    Athena_MA!C93:M93,
    Athena_MI!C93:M93
  )
)</f>
        <v>(FSE_Bitvector_Mode_Using_Erroneous_Condition_2_T_Loop0_TestCase0, YES, 1835)</v>
      </c>
      <c r="D93" s="142" t="str">
        <v>correct</v>
      </c>
      <c r="E93" s="80">
        <v>1</v>
      </c>
      <c r="F93" s="1" t="str">
        <v>1/1</v>
      </c>
      <c r="G93" s="80" t="str">
        <v/>
      </c>
      <c r="H93" s="1" t="str">
        <v/>
      </c>
      <c r="I93" s="143">
        <v>1</v>
      </c>
      <c r="J93" s="1" t="str">
        <v>1/1</v>
      </c>
      <c r="K93" s="142">
        <v>1835</v>
      </c>
      <c r="L93" s="1">
        <v>1835</v>
      </c>
      <c r="M93" s="140">
        <v>1835</v>
      </c>
      <c r="N93" s="14" t="str" cm="1">
        <f t="array" ref="N93:X93">_xlfn.LET(
  _xlpm.program_isNT, RIGHT(Athena_BV!B93,5)="_NT.c",
  _xlpm.program_isT,  RIGHT(Athena_BV!B93,4)="_T.c",
  _xlpm.bv_isCorrect, LOWER(Athena_BV!O93)="correct",
  _xlpm.ma_isCorrect, LOWER(Athena_MA!O93)="correct",
  _xlpm.mi_isCorrect, LOWER(Athena_MI!O93)="correct",
  _xlpm.bv_column, IF(_xlpm.program_isNT, Athena_BV!R93, IF(_xlpm.program_isT, Athena_BV!P93, "")),
  _xlpm.ma_column, IF(_xlpm.program_isNT, Athena_MA!R93, IF(_xlpm.program_isT, Athena_MA!P93, "")),
  _xlpm.mi_column, IF(_xlpm.program_isNT, Athena_MI!R93, IF(_xlpm.program_isT, Athena_MI!P93,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Athena_BV!N93:X93,
    Athena_MA!N93:X93,
    Athena_MI!N93:X93
  )
)</f>
        <v>(FSE_Bitvector_Mode_Using_Erroneous_Condition_2_T_Loop15_TestCase0, YES, 1895)</v>
      </c>
      <c r="O93" s="142" t="str">
        <v>correct</v>
      </c>
      <c r="P93" s="80">
        <v>1</v>
      </c>
      <c r="Q93" s="1" t="str">
        <v>1/1</v>
      </c>
      <c r="R93" s="80" t="str">
        <v/>
      </c>
      <c r="S93" s="149" t="str">
        <v/>
      </c>
      <c r="T93" s="80">
        <v>1</v>
      </c>
      <c r="U93" s="1" t="str">
        <v>1/1</v>
      </c>
      <c r="V93" s="142">
        <v>1895</v>
      </c>
      <c r="W93" s="150">
        <v>1895</v>
      </c>
      <c r="X93" s="142">
        <v>1895</v>
      </c>
      <c r="Y93" s="14" t="str" cm="1">
        <f t="array" ref="Y93:AI93">_xlfn.LET(
  _xlpm.program_isNT, RIGHT(Athena_BV!B93,5)="_NT.c",
  _xlpm.program_isT,  RIGHT(Athena_BV!B93,4)="_T.c",
  _xlpm.bv_isCorrect, LOWER(Athena_BV!Z93)="correct",
  _xlpm.ma_isCorrect, LOWER(Athena_MA!Z93)="correct",
  _xlpm.mi_isCorrect, LOWER(Athena_MI!Z93)="correct",
  _xlpm.bv_column, IF(_xlpm.program_isNT, Athena_BV!AC93, IF(_xlpm.program_isT, Athena_BV!AA93, "")),
  _xlpm.ma_column, IF(_xlpm.program_isNT, Athena_MA!AC93, IF(_xlpm.program_isT, Athena_MA!AA93, "")),
  _xlpm.mi_column, IF(_xlpm.program_isNT, Athena_MI!AC93, IF(_xlpm.program_isT, Athena_MI!AA93,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Athena_BV!Y93:AI93,
    Athena_MA!Y93:AI93,
    Athena_MI!Y93:AI93
  )
)</f>
        <v>(FSE_Bitvector_Mode_Using_Erroneous_Condition_2_T_Loop0_TestCase10, YES, 1700)
(FSE_Bitvector_Mode_Using_Erroneous_Condition_2_T_Loop0_TestCase9, YES, 1678)
(FSE_Bitvector_Mode_Using_Erroneous_Condition_2_T_Loop0_TestCase8, YES, 1681)
(FSE_Bitvector_Mode_Using_Erroneous_Condition_2_T_Loop0_TestCase1, YES, 1708)
(FSE_Bitvector_Mode_Using_Erroneous_Condition_2_T_Loop0_TestCase3, YES, 1683)
(FSE_Bitvector_Mode_Using_Erroneous_Condition_2_T_Loop0_TestCase2, YES, 1686)
(FSE_Bitvector_Mode_Using_Erroneous_Condition_2_T_Loop0_TestCase6, YES, 1723)
(FSE_Bitvector_Mode_Using_Erroneous_Condition_2_T_Loop0_TestCase7, YES, 1723)
(FSE_Bitvector_Mode_Using_Erroneous_Condition_2_T_Loop0_TestCase5, YES, 1710)
(FSE_Bitvector_Mode_Using_Erroneous_Condition_2_T_Loop0_TestCase4, YES, 1734)</v>
      </c>
      <c r="Z93" s="142" t="str">
        <v>correct</v>
      </c>
      <c r="AA93" s="80">
        <v>1</v>
      </c>
      <c r="AB93" s="1" t="str">
        <v>10/10</v>
      </c>
      <c r="AC93" s="80" t="str">
        <v/>
      </c>
      <c r="AD93" s="1" t="str">
        <v/>
      </c>
      <c r="AE93" s="143">
        <v>1</v>
      </c>
      <c r="AF93" s="1" t="str">
        <v>10/10</v>
      </c>
      <c r="AG93" s="142">
        <v>17026</v>
      </c>
      <c r="AH93" s="150">
        <v>1702.6</v>
      </c>
      <c r="AI93" s="142">
        <v>1704</v>
      </c>
      <c r="AJ93" s="14" t="str" cm="1">
        <f t="array" ref="AJ93:AT93">_xlfn.LET(
  _xlpm.program_isNT, RIGHT(Athena_BV!B93,5)="_NT.c",
  _xlpm.program_isT,  RIGHT(Athena_BV!B93,4)="_T.c",
  _xlpm.bv_isCorrect, LOWER(Athena_BV!AK93)="correct",
  _xlpm.ma_isCorrect, LOWER(Athena_MA!AK93)="correct",
  _xlpm.mi_isCorrect, LOWER(Athena_MI!AK93)="correct",
  _xlpm.bv_column, IF(_xlpm.program_isNT, Athena_BV!AN93, IF(_xlpm.program_isT, Athena_BV!AL93, "")),
  _xlpm.ma_column, IF(_xlpm.program_isNT, Athena_MA!AN93, IF(_xlpm.program_isT, Athena_MA!AL93, "")),
  _xlpm.mi_column, IF(_xlpm.program_isNT, Athena_MI!AN93, IF(_xlpm.program_isT, Athena_MI!AL93,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Athena_BV!AJ93:AT93,
    Athena_MA!AJ93:AT93,
    Athena_MI!AJ93:AT93
  )
)</f>
        <v>(FSE_Bitvector_Mode_Using_Erroneous_Condition_2_T_Loop15_TestCase7, YES, 1714)
(FSE_Bitvector_Mode_Using_Erroneous_Condition_2_T_Loop15_TestCase6, YES, 1752)
(FSE_Bitvector_Mode_Using_Erroneous_Condition_2_T_Loop15_TestCase4, YES, 1727)
(FSE_Bitvector_Mode_Using_Erroneous_Condition_2_T_Loop15_TestCase5, YES, 1717)
(FSE_Bitvector_Mode_Using_Erroneous_Condition_2_T_Loop15_TestCase1, YES, 1699)
(FSE_Bitvector_Mode_Using_Erroneous_Condition_2_T_Loop15_TestCase2, YES, 1764)
(FSE_Bitvector_Mode_Using_Erroneous_Condition_2_T_Loop15_TestCase3, YES, 1710)
(FSE_Bitvector_Mode_Using_Erroneous_Condition_2_T_Loop15_TestCase8, YES, 1746)
(FSE_Bitvector_Mode_Using_Erroneous_Condition_2_T_Loop15_TestCase9, YES, 1737)
(FSE_Bitvector_Mode_Using_Erroneous_Condition_2_T_Loop15_TestCase10, YES, 5042)</v>
      </c>
      <c r="AK93" s="142" t="str">
        <v>correct</v>
      </c>
      <c r="AL93" s="80">
        <v>1</v>
      </c>
      <c r="AM93" s="1" t="str">
        <v>10/10</v>
      </c>
      <c r="AN93" s="80" t="str">
        <v/>
      </c>
      <c r="AO93" s="1" t="str">
        <v/>
      </c>
      <c r="AP93" s="143">
        <v>1</v>
      </c>
      <c r="AQ93" s="1" t="str">
        <v>10/10</v>
      </c>
      <c r="AR93" s="142">
        <v>20608</v>
      </c>
      <c r="AS93" s="150">
        <v>2060.8000000000002</v>
      </c>
      <c r="AT93" s="142">
        <v>1732</v>
      </c>
    </row>
    <row r="94" spans="1:47" x14ac:dyDescent="0.2">
      <c r="A94" s="174"/>
      <c r="B94" s="9" t="s">
        <v>91</v>
      </c>
      <c r="C94" s="14" t="str" cm="1">
        <f t="array" ref="C94:M94">_xlfn.LET(
  _xlpm.program_isNT, RIGHT(Athena_BV!B94,5)="_NT.c",
  _xlpm.program_isT,  RIGHT(Athena_BV!B94,4)="_T.c",
  _xlpm.bv_isCorrect, LOWER(Athena_BV!D94)="correct",
  _xlpm.ma_isCorrect, LOWER(Athena_MA!D94)="correct",
  _xlpm.mi_isCorrect, LOWER(Athena_MI!D94)="correct",
  _xlpm.bv_column, IF(_xlpm.program_isNT, Athena_BV!G94, IF(_xlpm.program_isT, Athena_BV!E94, "")),
  _xlpm.ma_column, IF(_xlpm.program_isNT, Athena_MA!G94, IF(_xlpm.program_isT, Athena_MA!E94, "")),
  _xlpm.mi_column, IF(_xlpm.program_isNT, Athena_MI!G94, IF(_xlpm.program_isT, Athena_MI!E94,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Athena_BV!C94:M94,
    Athena_MA!C94:M94,
    Athena_MI!C94:M94
  )
)</f>
        <v>(FSE_Mathematical_Integer_Mode_Using_Erroneous_Condition_3_NT_Loop0_TestCase0, NO, 2334)</v>
      </c>
      <c r="D94" s="142" t="str">
        <v>correct</v>
      </c>
      <c r="E94" s="80">
        <v>0</v>
      </c>
      <c r="F94" s="1" t="str">
        <v>0/0</v>
      </c>
      <c r="G94" s="80">
        <v>1</v>
      </c>
      <c r="H94" s="1" t="str">
        <v>1/1</v>
      </c>
      <c r="I94" s="143">
        <v>1</v>
      </c>
      <c r="J94" s="1" t="str">
        <v>1/1</v>
      </c>
      <c r="K94" s="142">
        <v>2334</v>
      </c>
      <c r="L94" s="1">
        <v>2334</v>
      </c>
      <c r="M94" s="140">
        <v>2334</v>
      </c>
      <c r="N94" s="14" t="str" cm="1">
        <f t="array" ref="N94:X94">_xlfn.LET(
  _xlpm.program_isNT, RIGHT(Athena_BV!B94,5)="_NT.c",
  _xlpm.program_isT,  RIGHT(Athena_BV!B94,4)="_T.c",
  _xlpm.bv_isCorrect, LOWER(Athena_BV!O94)="correct",
  _xlpm.ma_isCorrect, LOWER(Athena_MA!O94)="correct",
  _xlpm.mi_isCorrect, LOWER(Athena_MI!O94)="correct",
  _xlpm.bv_column, IF(_xlpm.program_isNT, Athena_BV!R94, IF(_xlpm.program_isT, Athena_BV!P94, "")),
  _xlpm.ma_column, IF(_xlpm.program_isNT, Athena_MA!R94, IF(_xlpm.program_isT, Athena_MA!P94, "")),
  _xlpm.mi_column, IF(_xlpm.program_isNT, Athena_MI!R94, IF(_xlpm.program_isT, Athena_MI!P94,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Athena_BV!N94:X94,
    Athena_MA!N94:X94,
    Athena_MI!N94:X94
  )
)</f>
        <v>(FSE_Mathematical_Integer_Mode_Using_Erroneous_Condition_3_NT_Loop17_TestCase0, YES, 1779)
(FSE_Mathematical_Integer_Mode_Using_Erroneous_Condition_3_NT_Loop27_TestCase0, NO, 2403)
(FSE_Mathematical_Integer_Mode_Using_Erroneous_Condition_3_NT_Loop24_TestCase0, NO, 2331)</v>
      </c>
      <c r="O94" s="142" t="str">
        <v>correct</v>
      </c>
      <c r="P94" s="80">
        <v>1</v>
      </c>
      <c r="Q94" s="1" t="str">
        <v>1/1</v>
      </c>
      <c r="R94" s="80">
        <v>1</v>
      </c>
      <c r="S94" s="149" t="str">
        <v>2/2</v>
      </c>
      <c r="T94" s="80">
        <v>1</v>
      </c>
      <c r="U94" s="1" t="str">
        <v>3/3</v>
      </c>
      <c r="V94" s="142">
        <v>6513</v>
      </c>
      <c r="W94" s="150">
        <v>2171</v>
      </c>
      <c r="X94" s="142">
        <v>2331</v>
      </c>
      <c r="Y94" s="14" t="str" cm="1">
        <f t="array" ref="Y94:AI94">_xlfn.LET(
  _xlpm.program_isNT, RIGHT(Athena_BV!B94,5)="_NT.c",
  _xlpm.program_isT,  RIGHT(Athena_BV!B94,4)="_T.c",
  _xlpm.bv_isCorrect, LOWER(Athena_BV!Z94)="correct",
  _xlpm.ma_isCorrect, LOWER(Athena_MA!Z94)="correct",
  _xlpm.mi_isCorrect, LOWER(Athena_MI!Z94)="correct",
  _xlpm.bv_column, IF(_xlpm.program_isNT, Athena_BV!AC94, IF(_xlpm.program_isT, Athena_BV!AA94, "")),
  _xlpm.ma_column, IF(_xlpm.program_isNT, Athena_MA!AC94, IF(_xlpm.program_isT, Athena_MA!AA94, "")),
  _xlpm.mi_column, IF(_xlpm.program_isNT, Athena_MI!AC94, IF(_xlpm.program_isT, Athena_MI!AA94,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Athena_BV!Y94:AI94,
    Athena_MA!Y94:AI94,
    Athena_MI!Y94:AI94
  )
)</f>
        <v>(FSE_Bitvector_Mode_Using_Erroneous_Condition_3_NT_Loop0_TestCase8, NO, 2707)
(FSE_Bitvector_Mode_Using_Erroneous_Condition_3_NT_Loop0_TestCase9, NO, 2943)
(FSE_Bitvector_Mode_Using_Erroneous_Condition_3_NT_Loop0_TestCase4, NO, 2818)
(FSE_Bitvector_Mode_Using_Erroneous_Condition_3_NT_Loop0_TestCase5, NO, 3012)
(FSE_Bitvector_Mode_Using_Erroneous_Condition_3_NT_Loop0_TestCase10, NO, 2102)
(FSE_Bitvector_Mode_Using_Erroneous_Condition_3_NT_Loop0_TestCase7, NO, 2590)
(FSE_Bitvector_Mode_Using_Erroneous_Condition_3_NT_Loop0_TestCase6, NO, 2537)
(FSE_Bitvector_Mode_Using_Erroneous_Condition_3_NT_Loop0_TestCase2, NO, 3286)
(FSE_Bitvector_Mode_Using_Erroneous_Condition_3_NT_Loop0_TestCase3, NO, 3402)
(FSE_Bitvector_Mode_Using_Erroneous_Condition_3_NT_Loop0_TestCase1, NO, 3236)</v>
      </c>
      <c r="Z94" s="142" t="str">
        <v>correct</v>
      </c>
      <c r="AA94" s="80">
        <v>0</v>
      </c>
      <c r="AB94" s="1" t="str">
        <v>0/5</v>
      </c>
      <c r="AC94" s="80">
        <v>1</v>
      </c>
      <c r="AD94" s="1" t="str">
        <v>5/5</v>
      </c>
      <c r="AE94" s="143">
        <v>0.5</v>
      </c>
      <c r="AF94" s="1" t="str">
        <v>5/10</v>
      </c>
      <c r="AG94" s="142">
        <v>12879</v>
      </c>
      <c r="AH94" s="150">
        <v>2575.8000000000002</v>
      </c>
      <c r="AI94" s="142">
        <v>2590</v>
      </c>
      <c r="AJ94" s="14" t="str" cm="1">
        <f t="array" ref="AJ94:AT94">_xlfn.LET(
  _xlpm.program_isNT, RIGHT(Athena_BV!B94,5)="_NT.c",
  _xlpm.program_isT,  RIGHT(Athena_BV!B94,4)="_T.c",
  _xlpm.bv_isCorrect, LOWER(Athena_BV!AK94)="correct",
  _xlpm.ma_isCorrect, LOWER(Athena_MA!AK94)="correct",
  _xlpm.mi_isCorrect, LOWER(Athena_MI!AK94)="correct",
  _xlpm.bv_column, IF(_xlpm.program_isNT, Athena_BV!AN94, IF(_xlpm.program_isT, Athena_BV!AL94, "")),
  _xlpm.ma_column, IF(_xlpm.program_isNT, Athena_MA!AN94, IF(_xlpm.program_isT, Athena_MA!AL94, "")),
  _xlpm.mi_column, IF(_xlpm.program_isNT, Athena_MI!AN94, IF(_xlpm.program_isT, Athena_MI!AL94,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Athena_BV!AJ94:AT94,
    Athena_MA!AJ94:AT94,
    Athena_MI!AJ94:AT94
  )
)</f>
        <v>(FSE_Bitvector_Mode_Using_Erroneous_Condition_3_NT_Loop27_TestCase2, NO, 2918)
(FSE_Bitvector_Mode_Using_Erroneous_Condition_3_NT_Loop24_TestCase7, NO, 7195)
(FSE_Bitvector_Mode_Using_Erroneous_Condition_3_NT_Loop24_TestCase6, NO, 3074)
(FSE_Bitvector_Mode_Using_Erroneous_Condition_3_NT_Loop27_TestCase3, NO, 3348)
(FSE_Bitvector_Mode_Using_Erroneous_Condition_3_NT_Loop27_TestCase1, NO, 2856)
(FSE_Bitvector_Mode_Using_Erroneous_Condition_3_NT_Loop24_TestCase4, NO, 2821)
(FSE_Bitvector_Mode_Using_Erroneous_Condition_3_NT_Loop24_TestCase5, NO, 7110)
(FSE_Bitvector_Mode_Using_Erroneous_Condition_3_NT_Loop27_TestCase4, NO, 2276)
(FSE_Bitvector_Mode_Using_Erroneous_Condition_3_NT_Loop24_TestCase1, NO, 2203)
(FSE_Bitvector_Mode_Using_Erroneous_Condition_3_NT_Loop27_TestCase5, NO, 3450)
(FSE_Bitvector_Mode_Using_Erroneous_Condition_3_NT_Loop27_TestCase7, NO, 3294)
(FSE_Bitvector_Mode_Using_Erroneous_Condition_3_NT_Loop24_TestCase10, NO, 3338)
(FSE_Bitvector_Mode_Using_Erroneous_Condition_3_NT_Loop24_TestCase2, NO, 3115)
(FSE_Bitvector_Mode_Using_Erroneous_Condition_3_NT_Loop24_TestCase3, NO, 3539)
(FSE_Bitvector_Mode_Using_Erroneous_Condition_3_NT_Loop27_TestCase6, NO, 2945)
(FSE_Bitvector_Mode_Using_Erroneous_Condition_3_NT_Loop17_TestCase3, YES, 1781)
(FSE_Bitvector_Mode_Using_Erroneous_Condition_3_NT_Loop17_TestCase2, YES, 1727)
(FSE_Bitvector_Mode_Using_Erroneous_Condition_3_NT_Loop17_TestCase1, YES, 1746)
(FSE_Bitvector_Mode_Using_Erroneous_Condition_3_NT_Loop17_TestCase5, YES, 1770)
(FSE_Bitvector_Mode_Using_Erroneous_Condition_3_NT_Loop17_TestCase4, YES, 1759)
(FSE_Bitvector_Mode_Using_Erroneous_Condition_3_NT_Loop17_TestCase6, YES, 1737)
(FSE_Bitvector_Mode_Using_Erroneous_Condition_3_NT_Loop17_TestCase7, YES, 5399)
(FSE_Bitvector_Mode_Using_Erroneous_Condition_3_NT_Loop27_TestCase10, NO, 3180)
(FSE_Bitvector_Mode_Using_Erroneous_Condition_3_NT_Loop17_TestCase9, YES, 1804)
(FSE_Bitvector_Mode_Using_Erroneous_Condition_3_NT_Loop17_TestCase8, YES, 1730)
(FSE_Bitvector_Mode_Using_Erroneous_Condition_3_NT_Loop27_TestCase8, NO, 2121)
(FSE_Bitvector_Mode_Using_Erroneous_Condition_3_NT_Loop17_TestCase10, YES, 1735)
(FSE_Bitvector_Mode_Using_Erroneous_Condition_3_NT_Loop27_TestCase9, NO, 2926)
(FSE_Bitvector_Mode_Using_Erroneous_Condition_3_NT_Loop24_TestCase8, NO, 3448)
(FSE_Bitvector_Mode_Using_Erroneous_Condition_3_NT_Loop24_TestCase9, NO, 2252)</v>
      </c>
      <c r="AK94" s="142" t="str">
        <v>correct</v>
      </c>
      <c r="AL94" s="80">
        <v>0.5</v>
      </c>
      <c r="AM94" s="1" t="str">
        <v>10/20</v>
      </c>
      <c r="AN94" s="80">
        <v>1</v>
      </c>
      <c r="AO94" s="1" t="str">
        <v>10/10</v>
      </c>
      <c r="AP94" s="143">
        <v>0.66669999999999996</v>
      </c>
      <c r="AQ94" s="1" t="str">
        <v>20/30</v>
      </c>
      <c r="AR94" s="142">
        <v>54961</v>
      </c>
      <c r="AS94" s="150">
        <v>2748.05</v>
      </c>
      <c r="AT94" s="142">
        <v>2186.5</v>
      </c>
      <c r="AU94" s="4" t="s">
        <v>93</v>
      </c>
    </row>
    <row r="95" spans="1:47" s="5" customFormat="1" ht="21" thickBot="1" x14ac:dyDescent="0.25">
      <c r="A95" s="175"/>
      <c r="B95" s="11" t="s">
        <v>92</v>
      </c>
      <c r="C95" s="36" t="str" cm="1">
        <f t="array" ref="C95:M95">_xlfn.LET(
  _xlpm.program_isNT, RIGHT(Athena_BV!B95,5)="_NT.c",
  _xlpm.program_isT,  RIGHT(Athena_BV!B95,4)="_T.c",
  _xlpm.bv_isCorrect, LOWER(Athena_BV!D95)="correct",
  _xlpm.ma_isCorrect, LOWER(Athena_MA!D95)="correct",
  _xlpm.mi_isCorrect, LOWER(Athena_MI!D95)="correct",
  _xlpm.bv_column, IF(_xlpm.program_isNT, Athena_BV!G95, IF(_xlpm.program_isT, Athena_BV!E95, "")),
  _xlpm.ma_column, IF(_xlpm.program_isNT, Athena_MA!G95, IF(_xlpm.program_isT, Athena_MA!E95, "")),
  _xlpm.mi_column, IF(_xlpm.program_isNT, Athena_MI!G95, IF(_xlpm.program_isT, Athena_MI!E95,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Athena_BV!C95:M95,
    Athena_MA!C95:M95,
    Athena_MI!C95:M95
  )
)</f>
        <v>(FSE_Mathematical_Integer_Mode_Using_Erroneous_Condition_3_T_Loop0_TestCase0, YES, 13690)</v>
      </c>
      <c r="D95" s="145" t="str">
        <v>correct</v>
      </c>
      <c r="E95" s="146">
        <v>1</v>
      </c>
      <c r="F95" s="139" t="str">
        <v>1/1</v>
      </c>
      <c r="G95" s="146" t="str">
        <v/>
      </c>
      <c r="H95" s="139" t="str">
        <v/>
      </c>
      <c r="I95" s="147">
        <v>1</v>
      </c>
      <c r="J95" s="139" t="str">
        <v>1/1</v>
      </c>
      <c r="K95" s="145">
        <v>13690</v>
      </c>
      <c r="L95" s="139">
        <v>13690</v>
      </c>
      <c r="M95" s="141">
        <v>13690</v>
      </c>
      <c r="N95" s="36" t="str" cm="1">
        <f t="array" ref="N95:X95">_xlfn.LET(
  _xlpm.program_isNT, RIGHT(Athena_BV!B95,5)="_NT.c",
  _xlpm.program_isT,  RIGHT(Athena_BV!B95,4)="_T.c",
  _xlpm.bv_isCorrect, LOWER(Athena_BV!O95)="correct",
  _xlpm.ma_isCorrect, LOWER(Athena_MA!O95)="correct",
  _xlpm.mi_isCorrect, LOWER(Athena_MI!O95)="correct",
  _xlpm.bv_column, IF(_xlpm.program_isNT, Athena_BV!R95, IF(_xlpm.program_isT, Athena_BV!P95, "")),
  _xlpm.ma_column, IF(_xlpm.program_isNT, Athena_MA!R95, IF(_xlpm.program_isT, Athena_MA!P95, "")),
  _xlpm.mi_column, IF(_xlpm.program_isNT, Athena_MI!R95, IF(_xlpm.program_isT, Athena_MI!P95,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Athena_BV!N95:X95,
    Athena_MA!N95:X95,
    Athena_MI!N95:X95
  )
)</f>
        <v>(FSE_Mathematical_Integer_Mode_Using_Erroneous_Condition_3_T_Loop17_TestCase0, YES, 1810)
(FSE_Mathematical_Integer_Mode_Using_Erroneous_Condition_3_T_Loop27_TestCase0, YES, 21021)
(FSE_Mathematical_Integer_Mode_Using_Erroneous_Condition_3_T_Loop24_TestCase0, YES, 29873)</v>
      </c>
      <c r="O95" s="145" t="str">
        <v>correct</v>
      </c>
      <c r="P95" s="146">
        <v>1</v>
      </c>
      <c r="Q95" s="139" t="str">
        <v>3/3</v>
      </c>
      <c r="R95" s="146" t="str">
        <v/>
      </c>
      <c r="S95" s="151" t="str">
        <v/>
      </c>
      <c r="T95" s="146">
        <v>1</v>
      </c>
      <c r="U95" s="139" t="str">
        <v>3/3</v>
      </c>
      <c r="V95" s="145">
        <v>52704</v>
      </c>
      <c r="W95" s="152">
        <v>17568</v>
      </c>
      <c r="X95" s="145">
        <v>21021</v>
      </c>
      <c r="Y95" s="36" t="str" cm="1">
        <f t="array" ref="Y95:AI95">_xlfn.LET(
  _xlpm.program_isNT, RIGHT(Athena_BV!B95,5)="_NT.c",
  _xlpm.program_isT,  RIGHT(Athena_BV!B95,4)="_T.c",
  _xlpm.bv_isCorrect, LOWER(Athena_BV!Z95)="correct",
  _xlpm.ma_isCorrect, LOWER(Athena_MA!Z95)="correct",
  _xlpm.mi_isCorrect, LOWER(Athena_MI!Z95)="correct",
  _xlpm.bv_column, IF(_xlpm.program_isNT, Athena_BV!AC95, IF(_xlpm.program_isT, Athena_BV!AA95, "")),
  _xlpm.ma_column, IF(_xlpm.program_isNT, Athena_MA!AC95, IF(_xlpm.program_isT, Athena_MA!AA95, "")),
  _xlpm.mi_column, IF(_xlpm.program_isNT, Athena_MI!AC95, IF(_xlpm.program_isT, Athena_MI!AA95,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Athena_BV!Y95:AI95,
    Athena_MA!Y95:AI95,
    Athena_MI!Y95:AI95
  )
)</f>
        <v>(FSE_Modulo_Arithmetic_Mode_Using_Erroneous_Condition_3_T_Loop0_TestCase8, YES, 17957)
(FSE_Modulo_Arithmetic_Mode_Using_Erroneous_Condition_3_T_Loop0_TestCase9, YES, 18090)
(FSE_Modulo_Arithmetic_Mode_Using_Erroneous_Condition_3_T_Loop0_TestCase4, YES, 18402)
(FSE_Modulo_Arithmetic_Mode_Using_Erroneous_Condition_3_T_Loop0_TestCase5, YES, 205869)
(FSE_Modulo_Arithmetic_Mode_Using_Erroneous_Condition_3_T_Loop0_TestCase7, YES, 18152)
(FSE_Modulo_Arithmetic_Mode_Using_Erroneous_Condition_3_T_Loop0_TestCase10, YES, 257938)
(FSE_Modulo_Arithmetic_Mode_Using_Erroneous_Condition_3_T_Loop0_TestCase6, YES, 99093)
(FSE_Modulo_Arithmetic_Mode_Using_Erroneous_Condition_3_T_Loop0_TestCase2, YES, 3876)
(FSE_Modulo_Arithmetic_Mode_Using_Erroneous_Condition_3_T_Loop0_TestCase3, YES, 3902)
(FSE_Modulo_Arithmetic_Mode_Using_Erroneous_Condition_3_T_Loop0_TestCase1, YES, 18146)</v>
      </c>
      <c r="Z95" s="145" t="str">
        <v>correct</v>
      </c>
      <c r="AA95" s="146">
        <v>1</v>
      </c>
      <c r="AB95" s="139" t="str">
        <v>10/10</v>
      </c>
      <c r="AC95" s="146" t="str">
        <v/>
      </c>
      <c r="AD95" s="139" t="str">
        <v/>
      </c>
      <c r="AE95" s="147">
        <v>1</v>
      </c>
      <c r="AF95" s="139" t="str">
        <v>10/10</v>
      </c>
      <c r="AG95" s="145">
        <v>661425</v>
      </c>
      <c r="AH95" s="152">
        <v>66142.5</v>
      </c>
      <c r="AI95" s="145">
        <v>18149</v>
      </c>
      <c r="AJ95" s="36" t="str" cm="1">
        <f t="array" ref="AJ95:AT95">_xlfn.LET(
  _xlpm.program_isNT, RIGHT(Athena_BV!B95,5)="_NT.c",
  _xlpm.program_isT,  RIGHT(Athena_BV!B95,4)="_T.c",
  _xlpm.bv_isCorrect, LOWER(Athena_BV!AK95)="correct",
  _xlpm.ma_isCorrect, LOWER(Athena_MA!AK95)="correct",
  _xlpm.mi_isCorrect, LOWER(Athena_MI!AK95)="correct",
  _xlpm.bv_column, IF(_xlpm.program_isNT, Athena_BV!AN95, IF(_xlpm.program_isT, Athena_BV!AL95, "")),
  _xlpm.ma_column, IF(_xlpm.program_isNT, Athena_MA!AN95, IF(_xlpm.program_isT, Athena_MA!AL95, "")),
  _xlpm.mi_column, IF(_xlpm.program_isNT, Athena_MI!AN95, IF(_xlpm.program_isT, Athena_MI!AL95,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Athena_BV!AJ95:AT95,
    Athena_MA!AJ95:AT95,
    Athena_MI!AJ95:AT95
  )
)</f>
        <v>(FSE_Mathematical_Integer_Mode_Using_Erroneous_Condition_3_T_Loop27_TestCase8, YES, 2545)
(FSE_Mathematical_Integer_Mode_Using_Erroneous_Condition_3_T_Loop27_TestCase9, YES, 2199)
(FSE_Mathematical_Integer_Mode_Using_Erroneous_Condition_3_T_Loop24_TestCase8, YES, 2292)
(FSE_Mathematical_Integer_Mode_Using_Erroneous_Condition_3_T_Loop24_TestCase9, YES, 2198)
(FSE_Mathematical_Integer_Mode_Using_Erroneous_Condition_3_T_Loop17_TestCase9, YES, 1792)
(FSE_Mathematical_Integer_Mode_Using_Erroneous_Condition_3_T_Loop17_TestCase8, YES, 1759)
(FSE_Mathematical_Integer_Mode_Using_Erroneous_Condition_3_T_Loop17_TestCase10, YES, 1767)
(FSE_Mathematical_Integer_Mode_Using_Erroneous_Condition_3_T_Loop17_TestCase1, YES, 1742)
(FSE_Mathematical_Integer_Mode_Using_Erroneous_Condition_3_T_Loop17_TestCase3, YES, 1778)
(FSE_Mathematical_Integer_Mode_Using_Erroneous_Condition_3_T_Loop17_TestCase2, YES, 1752)
(FSE_Mathematical_Integer_Mode_Using_Erroneous_Condition_3_T_Loop17_TestCase6, YES, 1768)
(FSE_Mathematical_Integer_Mode_Using_Erroneous_Condition_3_T_Loop17_TestCase7, YES, 1761)
(FSE_Mathematical_Integer_Mode_Using_Erroneous_Condition_3_T_Loop17_TestCase5, YES, 1992)
(FSE_Mathematical_Integer_Mode_Using_Erroneous_Condition_3_T_Loop24_TestCase10, YES, 26358)
(FSE_Mathematical_Integer_Mode_Using_Erroneous_Condition_3_T_Loop17_TestCase4, YES, 1759)
(FSE_Mathematical_Integer_Mode_Using_Erroneous_Condition_3_T_Loop24_TestCase4, YES, 2563)
(FSE_Mathematical_Integer_Mode_Using_Erroneous_Condition_3_T_Loop27_TestCase1, YES, 2136)
(FSE_Mathematical_Integer_Mode_Using_Erroneous_Condition_3_T_Loop24_TestCase5, YES, 53669)
(FSE_Mathematical_Integer_Mode_Using_Erroneous_Condition_3_T_Loop24_TestCase7, YES, 2040)
(FSE_Mathematical_Integer_Mode_Using_Erroneous_Condition_3_T_Loop27_TestCase2, YES, 4978)
(FSE_Mathematical_Integer_Mode_Using_Erroneous_Condition_3_T_Loop27_TestCase3, YES, 1783)
(FSE_Mathematical_Integer_Mode_Using_Erroneous_Condition_3_T_Loop24_TestCase6, YES, 30525)
(FSE_Mathematical_Integer_Mode_Using_Erroneous_Condition_3_T_Loop24_TestCase2, YES, 1816)
(FSE_Mathematical_Integer_Mode_Using_Erroneous_Condition_3_T_Loop27_TestCase7, YES, 2301)
(FSE_Mathematical_Integer_Mode_Using_Erroneous_Condition_3_T_Loop27_TestCase6, YES, 12487)
(FSE_Mathematical_Integer_Mode_Using_Erroneous_Condition_3_T_Loop24_TestCase3, YES, 1805)
(FSE_Mathematical_Integer_Mode_Using_Erroneous_Condition_3_T_Loop24_TestCase1, YES, 5691)
(FSE_Mathematical_Integer_Mode_Using_Erroneous_Condition_3_T_Loop27_TestCase4, YES, 2185)
(FSE_Mathematical_Integer_Mode_Using_Erroneous_Condition_3_T_Loop27_TestCase5, YES, 47547)
(FSE_Mathematical_Integer_Mode_Using_Erroneous_Condition_3_T_Loop27_TestCase10, YES, 12207)</v>
      </c>
      <c r="AK95" s="145" t="str">
        <v>correct</v>
      </c>
      <c r="AL95" s="146">
        <v>1</v>
      </c>
      <c r="AM95" s="139" t="str">
        <v>30/30</v>
      </c>
      <c r="AN95" s="146" t="str">
        <v/>
      </c>
      <c r="AO95" s="139" t="str">
        <v/>
      </c>
      <c r="AP95" s="147">
        <v>1</v>
      </c>
      <c r="AQ95" s="139" t="str">
        <v>30/30</v>
      </c>
      <c r="AR95" s="145">
        <v>237195</v>
      </c>
      <c r="AS95" s="152">
        <v>7906.5</v>
      </c>
      <c r="AT95" s="145">
        <v>2160.5</v>
      </c>
      <c r="AU95" s="46" t="s">
        <v>93</v>
      </c>
    </row>
    <row r="96" spans="1:47" ht="19.5" customHeight="1" x14ac:dyDescent="0.2">
      <c r="A96" s="168" t="s">
        <v>101</v>
      </c>
      <c r="B96" s="76" t="s">
        <v>10</v>
      </c>
      <c r="C96" s="14" t="str" cm="1">
        <f t="array" ref="C96:M96">_xlfn.LET(
  _xlpm.program_isNT, RIGHT(Athena_BV!B96,5)="_NT.c",
  _xlpm.program_isT,  RIGHT(Athena_BV!B96,4)="_T.c",
  _xlpm.bv_isCorrect, LOWER(Athena_BV!D96)="correct",
  _xlpm.ma_isCorrect, LOWER(Athena_MA!D96)="correct",
  _xlpm.mi_isCorrect, LOWER(Athena_MI!D96)="correct",
  _xlpm.bv_column, IF(_xlpm.program_isNT, Athena_BV!G96, IF(_xlpm.program_isT, Athena_BV!E96, "")),
  _xlpm.ma_column, IF(_xlpm.program_isNT, Athena_MA!G96, IF(_xlpm.program_isT, Athena_MA!E96, "")),
  _xlpm.mi_column, IF(_xlpm.program_isNT, Athena_MI!G96, IF(_xlpm.program_isT, Athena_MI!E96,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Athena_BV!C96:M96,
    Athena_MA!C96:M96,
    Athena_MI!C96:M96
  )
)</f>
        <v>(FSE_Bitvector_Mode_Incorrect_Arguments_1_NT_Loop0_TestCase0, MAYBE, 1609)</v>
      </c>
      <c r="D96" s="142" t="str">
        <v>correct</v>
      </c>
      <c r="E96" s="80">
        <v>0</v>
      </c>
      <c r="F96" s="1" t="str">
        <v>0/0</v>
      </c>
      <c r="G96" s="80">
        <v>0</v>
      </c>
      <c r="H96" s="1" t="str">
        <v>0/1</v>
      </c>
      <c r="I96" s="143">
        <v>0</v>
      </c>
      <c r="J96" s="1" t="str">
        <v>0/1</v>
      </c>
      <c r="K96" s="142">
        <v>0</v>
      </c>
      <c r="L96" s="1">
        <v>0</v>
      </c>
      <c r="M96" s="140">
        <v>0</v>
      </c>
      <c r="N96" s="14" t="str" cm="1">
        <f t="array" ref="N96:X96">_xlfn.LET(
  _xlpm.program_isNT, RIGHT(Athena_BV!B96,5)="_NT.c",
  _xlpm.program_isT,  RIGHT(Athena_BV!B96,4)="_T.c",
  _xlpm.bv_isCorrect, LOWER(Athena_BV!O96)="correct",
  _xlpm.ma_isCorrect, LOWER(Athena_MA!O96)="correct",
  _xlpm.mi_isCorrect, LOWER(Athena_MI!O96)="correct",
  _xlpm.bv_column, IF(_xlpm.program_isNT, Athena_BV!R96, IF(_xlpm.program_isT, Athena_BV!P96, "")),
  _xlpm.ma_column, IF(_xlpm.program_isNT, Athena_MA!R96, IF(_xlpm.program_isT, Athena_MA!P96, "")),
  _xlpm.mi_column, IF(_xlpm.program_isNT, Athena_MI!R96, IF(_xlpm.program_isT, Athena_MI!P96,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Athena_BV!N96:X96,
    Athena_MA!N96:X96,
    Athena_MI!N96:X96
  )
)</f>
        <v>(FSE_Bitvector_Mode_Incorrect_Arguments_1_NT_Loop0_TestCase0, MAYBE, 3296)</v>
      </c>
      <c r="O96" s="142" t="str">
        <v>correct</v>
      </c>
      <c r="P96" s="80">
        <v>0</v>
      </c>
      <c r="Q96" s="1" t="str">
        <v>0/0</v>
      </c>
      <c r="R96" s="80">
        <v>0</v>
      </c>
      <c r="S96" s="149" t="str">
        <v>0/1</v>
      </c>
      <c r="T96" s="80">
        <v>0</v>
      </c>
      <c r="U96" s="1" t="str">
        <v>0/1</v>
      </c>
      <c r="V96" s="142">
        <v>0</v>
      </c>
      <c r="W96" s="150">
        <v>0</v>
      </c>
      <c r="X96" s="142">
        <v>0</v>
      </c>
      <c r="Y96" s="14" t="str" cm="1">
        <f t="array" ref="Y96:AI96">_xlfn.LET(
  _xlpm.program_isNT, RIGHT(Athena_BV!B96,5)="_NT.c",
  _xlpm.program_isT,  RIGHT(Athena_BV!B96,4)="_T.c",
  _xlpm.bv_isCorrect, LOWER(Athena_BV!Z96)="correct",
  _xlpm.ma_isCorrect, LOWER(Athena_MA!Z96)="correct",
  _xlpm.mi_isCorrect, LOWER(Athena_MI!Z96)="correct",
  _xlpm.bv_column, IF(_xlpm.program_isNT, Athena_BV!AC96, IF(_xlpm.program_isT, Athena_BV!AA96, "")),
  _xlpm.ma_column, IF(_xlpm.program_isNT, Athena_MA!AC96, IF(_xlpm.program_isT, Athena_MA!AA96, "")),
  _xlpm.mi_column, IF(_xlpm.program_isNT, Athena_MI!AC96, IF(_xlpm.program_isT, Athena_MI!AA96,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Athena_BV!Y96:AI96,
    Athena_MA!Y96:AI96,
    Athena_MI!Y96:AI96
  )
)</f>
        <v>(FSE_Bitvector_Mode_Incorrect_Arguments_1_NT_Loop0_TestCase2, MAYBE, 1477)
(FSE_Bitvector_Mode_Incorrect_Arguments_1_NT_Loop0_TestCase3, MAYBE, 1455)
(FSE_Bitvector_Mode_Incorrect_Arguments_1_NT_Loop0_TestCase1, MAYBE, 1494)
(FSE_Bitvector_Mode_Incorrect_Arguments_1_NT_Loop0_TestCase4, MAYBE, 1466)
(FSE_Bitvector_Mode_Incorrect_Arguments_1_NT_Loop0_TestCase5, MAYBE, 1483)
(FSE_Bitvector_Mode_Incorrect_Arguments_1_NT_Loop0_TestCase7, MAYBE, 1544)
(FSE_Bitvector_Mode_Incorrect_Arguments_1_NT_Loop0_TestCase10, MAYBE, 1476)
(FSE_Bitvector_Mode_Incorrect_Arguments_1_NT_Loop0_TestCase6, MAYBE, 1493)
(FSE_Bitvector_Mode_Incorrect_Arguments_1_NT_Loop0_TestCase8, MAYBE, 1489)
(FSE_Bitvector_Mode_Incorrect_Arguments_1_NT_Loop0_TestCase9, MAYBE, 1488)</v>
      </c>
      <c r="Z96" s="142" t="str">
        <v>correct</v>
      </c>
      <c r="AA96" s="80">
        <v>0</v>
      </c>
      <c r="AB96" s="1" t="str">
        <v>0/5</v>
      </c>
      <c r="AC96" s="80">
        <v>0</v>
      </c>
      <c r="AD96" s="1" t="str">
        <v>0/5</v>
      </c>
      <c r="AE96" s="143">
        <v>0</v>
      </c>
      <c r="AF96" s="1" t="str">
        <v>0/10</v>
      </c>
      <c r="AG96" s="142">
        <v>0</v>
      </c>
      <c r="AH96" s="150">
        <v>0</v>
      </c>
      <c r="AI96" s="142">
        <v>0</v>
      </c>
      <c r="AJ96" s="14" t="str" cm="1">
        <f t="array" ref="AJ96:AT96">_xlfn.LET(
  _xlpm.program_isNT, RIGHT(Athena_BV!B96,5)="_NT.c",
  _xlpm.program_isT,  RIGHT(Athena_BV!B96,4)="_T.c",
  _xlpm.bv_isCorrect, LOWER(Athena_BV!AK96)="correct",
  _xlpm.ma_isCorrect, LOWER(Athena_MA!AK96)="correct",
  _xlpm.mi_isCorrect, LOWER(Athena_MI!AK96)="correct",
  _xlpm.bv_column, IF(_xlpm.program_isNT, Athena_BV!AN96, IF(_xlpm.program_isT, Athena_BV!AL96, "")),
  _xlpm.ma_column, IF(_xlpm.program_isNT, Athena_MA!AN96, IF(_xlpm.program_isT, Athena_MA!AL96, "")),
  _xlpm.mi_column, IF(_xlpm.program_isNT, Athena_MI!AN96, IF(_xlpm.program_isT, Athena_MI!AL96,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Athena_BV!AJ96:AT96,
    Athena_MA!AJ96:AT96,
    Athena_MI!AJ96:AT96
  )
)</f>
        <v>(FSE_Bitvector_Mode_Incorrect_Arguments_1_NT_Loop0_TestCase2, MAYBE, 1471)
(FSE_Bitvector_Mode_Incorrect_Arguments_1_NT_Loop0_TestCase3, MAYBE, 1468)
(FSE_Bitvector_Mode_Incorrect_Arguments_1_NT_Loop0_TestCase1, MAYBE, 1508)
(FSE_Bitvector_Mode_Incorrect_Arguments_1_NT_Loop0_TestCase4, MAYBE, 1801)
(FSE_Bitvector_Mode_Incorrect_Arguments_1_NT_Loop0_TestCase5, MAYBE, 1536)
(FSE_Bitvector_Mode_Incorrect_Arguments_1_NT_Loop0_TestCase7, MAYBE, 1476)
(FSE_Bitvector_Mode_Incorrect_Arguments_1_NT_Loop0_TestCase10, MAYBE, 1487)
(FSE_Bitvector_Mode_Incorrect_Arguments_1_NT_Loop0_TestCase6, MAYBE, 1469)
(FSE_Bitvector_Mode_Incorrect_Arguments_1_NT_Loop0_TestCase8, MAYBE, 1645)
(FSE_Bitvector_Mode_Incorrect_Arguments_1_NT_Loop0_TestCase9, MAYBE, 1450)</v>
      </c>
      <c r="AK96" s="142" t="str">
        <v>correct</v>
      </c>
      <c r="AL96" s="80">
        <v>0</v>
      </c>
      <c r="AM96" s="1" t="str">
        <v>0/5</v>
      </c>
      <c r="AN96" s="80">
        <v>0</v>
      </c>
      <c r="AO96" s="1" t="str">
        <v>0/5</v>
      </c>
      <c r="AP96" s="143">
        <v>0</v>
      </c>
      <c r="AQ96" s="1" t="str">
        <v>0/10</v>
      </c>
      <c r="AR96" s="142">
        <v>0</v>
      </c>
      <c r="AS96" s="150">
        <v>0</v>
      </c>
      <c r="AT96" s="142">
        <v>0</v>
      </c>
      <c r="AU96" s="4" t="s">
        <v>96</v>
      </c>
    </row>
    <row r="97" spans="1:47" x14ac:dyDescent="0.2">
      <c r="A97" s="168"/>
      <c r="B97" s="76" t="s">
        <v>11</v>
      </c>
      <c r="C97" s="14" t="str" cm="1">
        <f t="array" ref="C97:M97">_xlfn.LET(
  _xlpm.program_isNT, RIGHT(Athena_BV!B97,5)="_NT.c",
  _xlpm.program_isT,  RIGHT(Athena_BV!B97,4)="_T.c",
  _xlpm.bv_isCorrect, LOWER(Athena_BV!D97)="correct",
  _xlpm.ma_isCorrect, LOWER(Athena_MA!D97)="correct",
  _xlpm.mi_isCorrect, LOWER(Athena_MI!D97)="correct",
  _xlpm.bv_column, IF(_xlpm.program_isNT, Athena_BV!G97, IF(_xlpm.program_isT, Athena_BV!E97, "")),
  _xlpm.ma_column, IF(_xlpm.program_isNT, Athena_MA!G97, IF(_xlpm.program_isT, Athena_MA!E97, "")),
  _xlpm.mi_column, IF(_xlpm.program_isNT, Athena_MI!G97, IF(_xlpm.program_isT, Athena_MI!E97,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Athena_BV!C97:M97,
    Athena_MA!C97:M97,
    Athena_MI!C97:M97
  )
)</f>
        <v>(FSE_Bitvector_Mode_Incorrect_Arguments_1_T_Loop0_TestCase0, MAYBE, 1562)</v>
      </c>
      <c r="D97" s="142" t="str">
        <v>correct</v>
      </c>
      <c r="E97" s="80">
        <v>0</v>
      </c>
      <c r="F97" s="1" t="str">
        <v>0/1</v>
      </c>
      <c r="G97" s="80" t="str">
        <v/>
      </c>
      <c r="H97" s="1" t="str">
        <v/>
      </c>
      <c r="I97" s="143">
        <v>0</v>
      </c>
      <c r="J97" s="1" t="str">
        <v>0/1</v>
      </c>
      <c r="K97" s="142">
        <v>0</v>
      </c>
      <c r="L97" s="1">
        <v>0</v>
      </c>
      <c r="M97" s="140">
        <v>0</v>
      </c>
      <c r="N97" s="14" t="str" cm="1">
        <f t="array" ref="N97:X97">_xlfn.LET(
  _xlpm.program_isNT, RIGHT(Athena_BV!B97,5)="_NT.c",
  _xlpm.program_isT,  RIGHT(Athena_BV!B97,4)="_T.c",
  _xlpm.bv_isCorrect, LOWER(Athena_BV!O97)="correct",
  _xlpm.ma_isCorrect, LOWER(Athena_MA!O97)="correct",
  _xlpm.mi_isCorrect, LOWER(Athena_MI!O97)="correct",
  _xlpm.bv_column, IF(_xlpm.program_isNT, Athena_BV!R97, IF(_xlpm.program_isT, Athena_BV!P97, "")),
  _xlpm.ma_column, IF(_xlpm.program_isNT, Athena_MA!R97, IF(_xlpm.program_isT, Athena_MA!P97, "")),
  _xlpm.mi_column, IF(_xlpm.program_isNT, Athena_MI!R97, IF(_xlpm.program_isT, Athena_MI!P97,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Athena_BV!N97:X97,
    Athena_MA!N97:X97,
    Athena_MI!N97:X97
  )
)</f>
        <v>(FSE_Bitvector_Mode_Incorrect_Arguments_1_T_Loop0_TestCase0, MAYBE, 1485)</v>
      </c>
      <c r="O97" s="142" t="str">
        <v>correct</v>
      </c>
      <c r="P97" s="80">
        <v>0</v>
      </c>
      <c r="Q97" s="1" t="str">
        <v>0/1</v>
      </c>
      <c r="R97" s="80" t="str">
        <v/>
      </c>
      <c r="S97" s="149" t="str">
        <v/>
      </c>
      <c r="T97" s="80">
        <v>0</v>
      </c>
      <c r="U97" s="1" t="str">
        <v>0/1</v>
      </c>
      <c r="V97" s="142">
        <v>0</v>
      </c>
      <c r="W97" s="150">
        <v>0</v>
      </c>
      <c r="X97" s="142">
        <v>0</v>
      </c>
      <c r="Y97" s="14" t="str" cm="1">
        <f t="array" ref="Y97:AI97">_xlfn.LET(
  _xlpm.program_isNT, RIGHT(Athena_BV!B97,5)="_NT.c",
  _xlpm.program_isT,  RIGHT(Athena_BV!B97,4)="_T.c",
  _xlpm.bv_isCorrect, LOWER(Athena_BV!Z97)="correct",
  _xlpm.ma_isCorrect, LOWER(Athena_MA!Z97)="correct",
  _xlpm.mi_isCorrect, LOWER(Athena_MI!Z97)="correct",
  _xlpm.bv_column, IF(_xlpm.program_isNT, Athena_BV!AC97, IF(_xlpm.program_isT, Athena_BV!AA97, "")),
  _xlpm.ma_column, IF(_xlpm.program_isNT, Athena_MA!AC97, IF(_xlpm.program_isT, Athena_MA!AA97, "")),
  _xlpm.mi_column, IF(_xlpm.program_isNT, Athena_MI!AC97, IF(_xlpm.program_isT, Athena_MI!AA97,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Athena_BV!Y97:AI97,
    Athena_MA!Y97:AI97,
    Athena_MI!Y97:AI97
  )
)</f>
        <v>(FSE_Bitvector_Mode_Incorrect_Arguments_1_T_Loop0_TestCase9, MAYBE, 1510)
(FSE_Bitvector_Mode_Incorrect_Arguments_1_T_Loop0_TestCase8, MAYBE, 1499)
(FSE_Bitvector_Mode_Incorrect_Arguments_1_T_Loop0_TestCase3, MAYBE, 1489)
(FSE_Bitvector_Mode_Incorrect_Arguments_1_T_Loop0_TestCase2, MAYBE, 1468)
(FSE_Bitvector_Mode_Incorrect_Arguments_1_T_Loop0_TestCase1, MAYBE, 1499)
(FSE_Bitvector_Mode_Incorrect_Arguments_1_T_Loop0_TestCase5, MAYBE, 1494)
(FSE_Bitvector_Mode_Incorrect_Arguments_1_T_Loop0_TestCase4, MAYBE, 1549)
(FSE_Bitvector_Mode_Incorrect_Arguments_1_T_Loop0_TestCase10, MAYBE, 1523)
(FSE_Bitvector_Mode_Incorrect_Arguments_1_T_Loop0_TestCase6, MAYBE, 1517)
(FSE_Bitvector_Mode_Incorrect_Arguments_1_T_Loop0_TestCase7, MAYBE, 1531)</v>
      </c>
      <c r="Z97" s="142" t="str">
        <v>correct</v>
      </c>
      <c r="AA97" s="80">
        <v>0</v>
      </c>
      <c r="AB97" s="1" t="str">
        <v>0/10</v>
      </c>
      <c r="AC97" s="80" t="str">
        <v/>
      </c>
      <c r="AD97" s="1" t="str">
        <v/>
      </c>
      <c r="AE97" s="143">
        <v>0</v>
      </c>
      <c r="AF97" s="1" t="str">
        <v>0/10</v>
      </c>
      <c r="AG97" s="142">
        <v>0</v>
      </c>
      <c r="AH97" s="150">
        <v>0</v>
      </c>
      <c r="AI97" s="142">
        <v>0</v>
      </c>
      <c r="AJ97" s="14" t="str" cm="1">
        <f t="array" ref="AJ97:AT97">_xlfn.LET(
  _xlpm.program_isNT, RIGHT(Athena_BV!B97,5)="_NT.c",
  _xlpm.program_isT,  RIGHT(Athena_BV!B97,4)="_T.c",
  _xlpm.bv_isCorrect, LOWER(Athena_BV!AK97)="correct",
  _xlpm.ma_isCorrect, LOWER(Athena_MA!AK97)="correct",
  _xlpm.mi_isCorrect, LOWER(Athena_MI!AK97)="correct",
  _xlpm.bv_column, IF(_xlpm.program_isNT, Athena_BV!AN97, IF(_xlpm.program_isT, Athena_BV!AL97, "")),
  _xlpm.ma_column, IF(_xlpm.program_isNT, Athena_MA!AN97, IF(_xlpm.program_isT, Athena_MA!AL97, "")),
  _xlpm.mi_column, IF(_xlpm.program_isNT, Athena_MI!AN97, IF(_xlpm.program_isT, Athena_MI!AL97,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Athena_BV!AJ97:AT97,
    Athena_MA!AJ97:AT97,
    Athena_MI!AJ97:AT97
  )
)</f>
        <v>(FSE_Bitvector_Mode_Incorrect_Arguments_1_T_Loop0_TestCase9, MAYBE, 1465)
(FSE_Bitvector_Mode_Incorrect_Arguments_1_T_Loop0_TestCase8, MAYBE, 1500)
(FSE_Bitvector_Mode_Incorrect_Arguments_1_T_Loop0_TestCase3, MAYBE, 1508)
(FSE_Bitvector_Mode_Incorrect_Arguments_1_T_Loop0_TestCase2, MAYBE, 1512)
(FSE_Bitvector_Mode_Incorrect_Arguments_1_T_Loop0_TestCase1, MAYBE, 1472)
(FSE_Bitvector_Mode_Incorrect_Arguments_1_T_Loop0_TestCase5, MAYBE, 1522)
(FSE_Bitvector_Mode_Incorrect_Arguments_1_T_Loop0_TestCase4, MAYBE, 1488)
(FSE_Bitvector_Mode_Incorrect_Arguments_1_T_Loop0_TestCase10, MAYBE, 1470)
(FSE_Bitvector_Mode_Incorrect_Arguments_1_T_Loop0_TestCase6, MAYBE, 1497)
(FSE_Bitvector_Mode_Incorrect_Arguments_1_T_Loop0_TestCase7, MAYBE, 1480)</v>
      </c>
      <c r="AK97" s="142" t="str">
        <v>correct</v>
      </c>
      <c r="AL97" s="80">
        <v>0</v>
      </c>
      <c r="AM97" s="1" t="str">
        <v>0/10</v>
      </c>
      <c r="AN97" s="80" t="str">
        <v/>
      </c>
      <c r="AO97" s="1" t="str">
        <v/>
      </c>
      <c r="AP97" s="143">
        <v>0</v>
      </c>
      <c r="AQ97" s="1" t="str">
        <v>0/10</v>
      </c>
      <c r="AR97" s="142">
        <v>0</v>
      </c>
      <c r="AS97" s="150">
        <v>0</v>
      </c>
      <c r="AT97" s="142">
        <v>0</v>
      </c>
      <c r="AU97" s="4" t="s">
        <v>96</v>
      </c>
    </row>
    <row r="98" spans="1:47" x14ac:dyDescent="0.2">
      <c r="A98" s="168"/>
      <c r="B98" s="76" t="s">
        <v>22</v>
      </c>
      <c r="C98" s="14" t="str" cm="1">
        <f t="array" ref="C98:M98">_xlfn.LET(
  _xlpm.program_isNT, RIGHT(Athena_BV!B98,5)="_NT.c",
  _xlpm.program_isT,  RIGHT(Athena_BV!B98,4)="_T.c",
  _xlpm.bv_isCorrect, LOWER(Athena_BV!D98)="correct",
  _xlpm.ma_isCorrect, LOWER(Athena_MA!D98)="correct",
  _xlpm.mi_isCorrect, LOWER(Athena_MI!D98)="correct",
  _xlpm.bv_column, IF(_xlpm.program_isNT, Athena_BV!G98, IF(_xlpm.program_isT, Athena_BV!E98, "")),
  _xlpm.ma_column, IF(_xlpm.program_isNT, Athena_MA!G98, IF(_xlpm.program_isT, Athena_MA!E98, "")),
  _xlpm.mi_column, IF(_xlpm.program_isNT, Athena_MI!G98, IF(_xlpm.program_isT, Athena_MI!E98,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Athena_BV!C98:M98,
    Athena_MA!C98:M98,
    Athena_MI!C98:M98
  )
)</f>
        <v>(FSE_Bitvector_Mode_Incorrect_Cyclic_Invoking_1_NT_Loop0_TestCase0, MAYBE, 1569)</v>
      </c>
      <c r="D98" s="142" t="str">
        <v>correct</v>
      </c>
      <c r="E98" s="80">
        <v>0</v>
      </c>
      <c r="F98" s="1" t="str">
        <v>0/0</v>
      </c>
      <c r="G98" s="80">
        <v>0</v>
      </c>
      <c r="H98" s="1" t="str">
        <v>0/1</v>
      </c>
      <c r="I98" s="143">
        <v>0</v>
      </c>
      <c r="J98" s="1" t="str">
        <v>0/1</v>
      </c>
      <c r="K98" s="142">
        <v>0</v>
      </c>
      <c r="L98" s="1">
        <v>0</v>
      </c>
      <c r="M98" s="140">
        <v>0</v>
      </c>
      <c r="N98" s="14" t="str" cm="1">
        <f t="array" ref="N98:X98">_xlfn.LET(
  _xlpm.program_isNT, RIGHT(Athena_BV!B98,5)="_NT.c",
  _xlpm.program_isT,  RIGHT(Athena_BV!B98,4)="_T.c",
  _xlpm.bv_isCorrect, LOWER(Athena_BV!O98)="correct",
  _xlpm.ma_isCorrect, LOWER(Athena_MA!O98)="correct",
  _xlpm.mi_isCorrect, LOWER(Athena_MI!O98)="correct",
  _xlpm.bv_column, IF(_xlpm.program_isNT, Athena_BV!R98, IF(_xlpm.program_isT, Athena_BV!P98, "")),
  _xlpm.ma_column, IF(_xlpm.program_isNT, Athena_MA!R98, IF(_xlpm.program_isT, Athena_MA!P98, "")),
  _xlpm.mi_column, IF(_xlpm.program_isNT, Athena_MI!R98, IF(_xlpm.program_isT, Athena_MI!P98,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Athena_BV!N98:X98,
    Athena_MA!N98:X98,
    Athena_MI!N98:X98
  )
)</f>
        <v>(FSE_Bitvector_Mode_Incorrect_Cyclic_Invoking_1_NT_Loop0_TestCase0, MAYBE, 1485)</v>
      </c>
      <c r="O98" s="142" t="str">
        <v>correct</v>
      </c>
      <c r="P98" s="80">
        <v>0</v>
      </c>
      <c r="Q98" s="1" t="str">
        <v>0/0</v>
      </c>
      <c r="R98" s="80">
        <v>0</v>
      </c>
      <c r="S98" s="149" t="str">
        <v>0/1</v>
      </c>
      <c r="T98" s="80">
        <v>0</v>
      </c>
      <c r="U98" s="1" t="str">
        <v>0/1</v>
      </c>
      <c r="V98" s="142">
        <v>0</v>
      </c>
      <c r="W98" s="150">
        <v>0</v>
      </c>
      <c r="X98" s="142">
        <v>0</v>
      </c>
      <c r="Y98" s="14" t="str" cm="1">
        <f t="array" ref="Y98:AI98">_xlfn.LET(
  _xlpm.program_isNT, RIGHT(Athena_BV!B98,5)="_NT.c",
  _xlpm.program_isT,  RIGHT(Athena_BV!B98,4)="_T.c",
  _xlpm.bv_isCorrect, LOWER(Athena_BV!Z98)="correct",
  _xlpm.ma_isCorrect, LOWER(Athena_MA!Z98)="correct",
  _xlpm.mi_isCorrect, LOWER(Athena_MI!Z98)="correct",
  _xlpm.bv_column, IF(_xlpm.program_isNT, Athena_BV!AC98, IF(_xlpm.program_isT, Athena_BV!AA98, "")),
  _xlpm.ma_column, IF(_xlpm.program_isNT, Athena_MA!AC98, IF(_xlpm.program_isT, Athena_MA!AA98, "")),
  _xlpm.mi_column, IF(_xlpm.program_isNT, Athena_MI!AC98, IF(_xlpm.program_isT, Athena_MI!AA98,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Athena_BV!Y98:AI98,
    Athena_MA!Y98:AI98,
    Athena_MI!Y98:AI98
  )
)</f>
        <v>(FSE_Bitvector_Mode_Incorrect_Cyclic_Invoking_1_NT_Loop0_TestCase8, MAYBE, 1455)
(FSE_Bitvector_Mode_Incorrect_Cyclic_Invoking_1_NT_Loop0_TestCase9, MAYBE, 1465)
(FSE_Bitvector_Mode_Incorrect_Cyclic_Invoking_1_NT_Loop0_TestCase10, MAYBE, 1467)
(FSE_Bitvector_Mode_Incorrect_Cyclic_Invoking_1_NT_Loop0_TestCase1, MAYBE, 1524)
(FSE_Bitvector_Mode_Incorrect_Cyclic_Invoking_1_NT_Loop0_TestCase2, MAYBE, 1503)
(FSE_Bitvector_Mode_Incorrect_Cyclic_Invoking_1_NT_Loop0_TestCase3, MAYBE, 1495)
(FSE_Bitvector_Mode_Incorrect_Cyclic_Invoking_1_NT_Loop0_TestCase7, MAYBE, 1510)
(FSE_Bitvector_Mode_Incorrect_Cyclic_Invoking_1_NT_Loop0_TestCase6, MAYBE, 1494)
(FSE_Bitvector_Mode_Incorrect_Cyclic_Invoking_1_NT_Loop0_TestCase4, MAYBE, 1482)
(FSE_Bitvector_Mode_Incorrect_Cyclic_Invoking_1_NT_Loop0_TestCase5, MAYBE, 1454)</v>
      </c>
      <c r="Z98" s="142" t="str">
        <v>correct</v>
      </c>
      <c r="AA98" s="80">
        <v>0</v>
      </c>
      <c r="AB98" s="1" t="str">
        <v>0/5</v>
      </c>
      <c r="AC98" s="80">
        <v>0</v>
      </c>
      <c r="AD98" s="1" t="str">
        <v>0/5</v>
      </c>
      <c r="AE98" s="143">
        <v>0</v>
      </c>
      <c r="AF98" s="1" t="str">
        <v>0/10</v>
      </c>
      <c r="AG98" s="142">
        <v>0</v>
      </c>
      <c r="AH98" s="150">
        <v>0</v>
      </c>
      <c r="AI98" s="142">
        <v>0</v>
      </c>
      <c r="AJ98" s="14" t="str" cm="1">
        <f t="array" ref="AJ98:AT98">_xlfn.LET(
  _xlpm.program_isNT, RIGHT(Athena_BV!B98,5)="_NT.c",
  _xlpm.program_isT,  RIGHT(Athena_BV!B98,4)="_T.c",
  _xlpm.bv_isCorrect, LOWER(Athena_BV!AK98)="correct",
  _xlpm.ma_isCorrect, LOWER(Athena_MA!AK98)="correct",
  _xlpm.mi_isCorrect, LOWER(Athena_MI!AK98)="correct",
  _xlpm.bv_column, IF(_xlpm.program_isNT, Athena_BV!AN98, IF(_xlpm.program_isT, Athena_BV!AL98, "")),
  _xlpm.ma_column, IF(_xlpm.program_isNT, Athena_MA!AN98, IF(_xlpm.program_isT, Athena_MA!AL98, "")),
  _xlpm.mi_column, IF(_xlpm.program_isNT, Athena_MI!AN98, IF(_xlpm.program_isT, Athena_MI!AL98,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Athena_BV!AJ98:AT98,
    Athena_MA!AJ98:AT98,
    Athena_MI!AJ98:AT98
  )
)</f>
        <v>(FSE_Bitvector_Mode_Incorrect_Cyclic_Invoking_1_NT_Loop0_TestCase8, MAYBE, 1492)
(FSE_Bitvector_Mode_Incorrect_Cyclic_Invoking_1_NT_Loop0_TestCase9, MAYBE, 1513)
(FSE_Bitvector_Mode_Incorrect_Cyclic_Invoking_1_NT_Loop0_TestCase10, MAYBE, 1533)
(FSE_Bitvector_Mode_Incorrect_Cyclic_Invoking_1_NT_Loop0_TestCase1, MAYBE, 1534)
(FSE_Bitvector_Mode_Incorrect_Cyclic_Invoking_1_NT_Loop0_TestCase2, MAYBE, 1532)
(FSE_Bitvector_Mode_Incorrect_Cyclic_Invoking_1_NT_Loop0_TestCase3, MAYBE, 1609)
(FSE_Bitvector_Mode_Incorrect_Cyclic_Invoking_1_NT_Loop0_TestCase7, MAYBE, 1496)
(FSE_Bitvector_Mode_Incorrect_Cyclic_Invoking_1_NT_Loop0_TestCase6, MAYBE, 1497)
(FSE_Bitvector_Mode_Incorrect_Cyclic_Invoking_1_NT_Loop0_TestCase4, MAYBE, 1520)
(FSE_Bitvector_Mode_Incorrect_Cyclic_Invoking_1_NT_Loop0_TestCase5, MAYBE, 1529)</v>
      </c>
      <c r="AK98" s="142" t="str">
        <v>correct</v>
      </c>
      <c r="AL98" s="80">
        <v>0</v>
      </c>
      <c r="AM98" s="1" t="str">
        <v>0/5</v>
      </c>
      <c r="AN98" s="80">
        <v>0</v>
      </c>
      <c r="AO98" s="1" t="str">
        <v>0/5</v>
      </c>
      <c r="AP98" s="143">
        <v>0</v>
      </c>
      <c r="AQ98" s="1" t="str">
        <v>0/10</v>
      </c>
      <c r="AR98" s="142">
        <v>0</v>
      </c>
      <c r="AS98" s="150">
        <v>0</v>
      </c>
      <c r="AT98" s="142">
        <v>0</v>
      </c>
      <c r="AU98" s="4" t="s">
        <v>96</v>
      </c>
    </row>
    <row r="99" spans="1:47" x14ac:dyDescent="0.2">
      <c r="A99" s="168"/>
      <c r="B99" s="76" t="s">
        <v>23</v>
      </c>
      <c r="C99" s="14" t="str" cm="1">
        <f t="array" ref="C99:M99">_xlfn.LET(
  _xlpm.program_isNT, RIGHT(Athena_BV!B99,5)="_NT.c",
  _xlpm.program_isT,  RIGHT(Athena_BV!B99,4)="_T.c",
  _xlpm.bv_isCorrect, LOWER(Athena_BV!D99)="correct",
  _xlpm.ma_isCorrect, LOWER(Athena_MA!D99)="correct",
  _xlpm.mi_isCorrect, LOWER(Athena_MI!D99)="correct",
  _xlpm.bv_column, IF(_xlpm.program_isNT, Athena_BV!G99, IF(_xlpm.program_isT, Athena_BV!E99, "")),
  _xlpm.ma_column, IF(_xlpm.program_isNT, Athena_MA!G99, IF(_xlpm.program_isT, Athena_MA!E99, "")),
  _xlpm.mi_column, IF(_xlpm.program_isNT, Athena_MI!G99, IF(_xlpm.program_isT, Athena_MI!E99,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Athena_BV!C99:M99,
    Athena_MA!C99:M99,
    Athena_MI!C99:M99
  )
)</f>
        <v>(FSE_Bitvector_Mode_Incorrect_Cyclic_Invoking_1_T_Loop0_TestCase0, MAYBE, 1623)</v>
      </c>
      <c r="D99" s="142" t="str">
        <v>correct</v>
      </c>
      <c r="E99" s="80">
        <v>0</v>
      </c>
      <c r="F99" s="1" t="str">
        <v>0/1</v>
      </c>
      <c r="G99" s="80" t="str">
        <v/>
      </c>
      <c r="H99" s="1" t="str">
        <v/>
      </c>
      <c r="I99" s="143">
        <v>0</v>
      </c>
      <c r="J99" s="1" t="str">
        <v>0/1</v>
      </c>
      <c r="K99" s="142">
        <v>0</v>
      </c>
      <c r="L99" s="1">
        <v>0</v>
      </c>
      <c r="M99" s="140">
        <v>0</v>
      </c>
      <c r="N99" s="14" t="str" cm="1">
        <f t="array" ref="N99:X99">_xlfn.LET(
  _xlpm.program_isNT, RIGHT(Athena_BV!B99,5)="_NT.c",
  _xlpm.program_isT,  RIGHT(Athena_BV!B99,4)="_T.c",
  _xlpm.bv_isCorrect, LOWER(Athena_BV!O99)="correct",
  _xlpm.ma_isCorrect, LOWER(Athena_MA!O99)="correct",
  _xlpm.mi_isCorrect, LOWER(Athena_MI!O99)="correct",
  _xlpm.bv_column, IF(_xlpm.program_isNT, Athena_BV!R99, IF(_xlpm.program_isT, Athena_BV!P99, "")),
  _xlpm.ma_column, IF(_xlpm.program_isNT, Athena_MA!R99, IF(_xlpm.program_isT, Athena_MA!P99, "")),
  _xlpm.mi_column, IF(_xlpm.program_isNT, Athena_MI!R99, IF(_xlpm.program_isT, Athena_MI!P99,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Athena_BV!N99:X99,
    Athena_MA!N99:X99,
    Athena_MI!N99:X99
  )
)</f>
        <v>(FSE_Bitvector_Mode_Incorrect_Cyclic_Invoking_1_T_Loop0_TestCase0, MAYBE, 1631)</v>
      </c>
      <c r="O99" s="142" t="str">
        <v>correct</v>
      </c>
      <c r="P99" s="80">
        <v>0</v>
      </c>
      <c r="Q99" s="1" t="str">
        <v>0/1</v>
      </c>
      <c r="R99" s="80" t="str">
        <v/>
      </c>
      <c r="S99" s="149" t="str">
        <v/>
      </c>
      <c r="T99" s="80">
        <v>0</v>
      </c>
      <c r="U99" s="1" t="str">
        <v>0/1</v>
      </c>
      <c r="V99" s="142">
        <v>0</v>
      </c>
      <c r="W99" s="150">
        <v>0</v>
      </c>
      <c r="X99" s="142">
        <v>0</v>
      </c>
      <c r="Y99" s="14" t="str" cm="1">
        <f t="array" ref="Y99:AI99">_xlfn.LET(
  _xlpm.program_isNT, RIGHT(Athena_BV!B99,5)="_NT.c",
  _xlpm.program_isT,  RIGHT(Athena_BV!B99,4)="_T.c",
  _xlpm.bv_isCorrect, LOWER(Athena_BV!Z99)="correct",
  _xlpm.ma_isCorrect, LOWER(Athena_MA!Z99)="correct",
  _xlpm.mi_isCorrect, LOWER(Athena_MI!Z99)="correct",
  _xlpm.bv_column, IF(_xlpm.program_isNT, Athena_BV!AC99, IF(_xlpm.program_isT, Athena_BV!AA99, "")),
  _xlpm.ma_column, IF(_xlpm.program_isNT, Athena_MA!AC99, IF(_xlpm.program_isT, Athena_MA!AA99, "")),
  _xlpm.mi_column, IF(_xlpm.program_isNT, Athena_MI!AC99, IF(_xlpm.program_isT, Athena_MI!AA99,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Athena_BV!Y99:AI99,
    Athena_MA!Y99:AI99,
    Athena_MI!Y99:AI99
  )
)</f>
        <v>(FSE_Bitvector_Mode_Incorrect_Cyclic_Invoking_1_T_Loop0_TestCase8, MAYBE, 1739)
(FSE_Bitvector_Mode_Incorrect_Cyclic_Invoking_1_T_Loop0_TestCase9, MAYBE, 1651)
(FSE_Bitvector_Mode_Incorrect_Cyclic_Invoking_1_T_Loop0_TestCase10, MAYBE, 1839)
(FSE_Bitvector_Mode_Incorrect_Cyclic_Invoking_1_T_Loop0_TestCase2, MAYBE, 1646)
(FSE_Bitvector_Mode_Incorrect_Cyclic_Invoking_1_T_Loop0_TestCase3, MAYBE, 2113)
(FSE_Bitvector_Mode_Incorrect_Cyclic_Invoking_1_T_Loop0_TestCase1, MAYBE, 1617)
(FSE_Bitvector_Mode_Incorrect_Cyclic_Invoking_1_T_Loop0_TestCase4, MAYBE, 1603)
(FSE_Bitvector_Mode_Incorrect_Cyclic_Invoking_1_T_Loop0_TestCase5, MAYBE, 1604)
(FSE_Bitvector_Mode_Incorrect_Cyclic_Invoking_1_T_Loop0_TestCase7, MAYBE, 1627)
(FSE_Bitvector_Mode_Incorrect_Cyclic_Invoking_1_T_Loop0_TestCase6, MAYBE, 1634)</v>
      </c>
      <c r="Z99" s="142" t="str">
        <v>correct</v>
      </c>
      <c r="AA99" s="80">
        <v>0</v>
      </c>
      <c r="AB99" s="1" t="str">
        <v>0/10</v>
      </c>
      <c r="AC99" s="80" t="str">
        <v/>
      </c>
      <c r="AD99" s="1" t="str">
        <v/>
      </c>
      <c r="AE99" s="143">
        <v>0</v>
      </c>
      <c r="AF99" s="1" t="str">
        <v>0/10</v>
      </c>
      <c r="AG99" s="142">
        <v>0</v>
      </c>
      <c r="AH99" s="150">
        <v>0</v>
      </c>
      <c r="AI99" s="142">
        <v>0</v>
      </c>
      <c r="AJ99" s="14" t="str" cm="1">
        <f t="array" ref="AJ99:AT99">_xlfn.LET(
  _xlpm.program_isNT, RIGHT(Athena_BV!B99,5)="_NT.c",
  _xlpm.program_isT,  RIGHT(Athena_BV!B99,4)="_T.c",
  _xlpm.bv_isCorrect, LOWER(Athena_BV!AK99)="correct",
  _xlpm.ma_isCorrect, LOWER(Athena_MA!AK99)="correct",
  _xlpm.mi_isCorrect, LOWER(Athena_MI!AK99)="correct",
  _xlpm.bv_column, IF(_xlpm.program_isNT, Athena_BV!AN99, IF(_xlpm.program_isT, Athena_BV!AL99, "")),
  _xlpm.ma_column, IF(_xlpm.program_isNT, Athena_MA!AN99, IF(_xlpm.program_isT, Athena_MA!AL99, "")),
  _xlpm.mi_column, IF(_xlpm.program_isNT, Athena_MI!AN99, IF(_xlpm.program_isT, Athena_MI!AL99,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Athena_BV!AJ99:AT99,
    Athena_MA!AJ99:AT99,
    Athena_MI!AJ99:AT99
  )
)</f>
        <v>(FSE_Bitvector_Mode_Incorrect_Cyclic_Invoking_1_T_Loop0_TestCase8, MAYBE, 1650)
(FSE_Bitvector_Mode_Incorrect_Cyclic_Invoking_1_T_Loop0_TestCase9, MAYBE, 1615)
(FSE_Bitvector_Mode_Incorrect_Cyclic_Invoking_1_T_Loop0_TestCase10, MAYBE, 1644)
(FSE_Bitvector_Mode_Incorrect_Cyclic_Invoking_1_T_Loop0_TestCase2, MAYBE, 1651)
(FSE_Bitvector_Mode_Incorrect_Cyclic_Invoking_1_T_Loop0_TestCase3, MAYBE, 1664)
(FSE_Bitvector_Mode_Incorrect_Cyclic_Invoking_1_T_Loop0_TestCase1, MAYBE, 1661)
(FSE_Bitvector_Mode_Incorrect_Cyclic_Invoking_1_T_Loop0_TestCase4, MAYBE, 1657)
(FSE_Bitvector_Mode_Incorrect_Cyclic_Invoking_1_T_Loop0_TestCase5, MAYBE, 1650)
(FSE_Bitvector_Mode_Incorrect_Cyclic_Invoking_1_T_Loop0_TestCase7, MAYBE, 1680)
(FSE_Bitvector_Mode_Incorrect_Cyclic_Invoking_1_T_Loop0_TestCase6, MAYBE, 1640)</v>
      </c>
      <c r="AK99" s="142" t="str">
        <v>correct</v>
      </c>
      <c r="AL99" s="80">
        <v>0</v>
      </c>
      <c r="AM99" s="1" t="str">
        <v>0/10</v>
      </c>
      <c r="AN99" s="80" t="str">
        <v/>
      </c>
      <c r="AO99" s="1" t="str">
        <v/>
      </c>
      <c r="AP99" s="143">
        <v>0</v>
      </c>
      <c r="AQ99" s="1" t="str">
        <v>0/10</v>
      </c>
      <c r="AR99" s="142">
        <v>0</v>
      </c>
      <c r="AS99" s="150">
        <v>0</v>
      </c>
      <c r="AT99" s="142">
        <v>0</v>
      </c>
      <c r="AU99" s="4" t="s">
        <v>96</v>
      </c>
    </row>
    <row r="100" spans="1:47" x14ac:dyDescent="0.2">
      <c r="A100" s="168"/>
      <c r="B100" s="76" t="s">
        <v>24</v>
      </c>
      <c r="C100" s="14" t="str" cm="1">
        <f t="array" ref="C100:M100">_xlfn.LET(
  _xlpm.program_isNT, RIGHT(Athena_BV!B100,5)="_NT.c",
  _xlpm.program_isT,  RIGHT(Athena_BV!B100,4)="_T.c",
  _xlpm.bv_isCorrect, LOWER(Athena_BV!D100)="correct",
  _xlpm.ma_isCorrect, LOWER(Athena_MA!D100)="correct",
  _xlpm.mi_isCorrect, LOWER(Athena_MI!D100)="correct",
  _xlpm.bv_column, IF(_xlpm.program_isNT, Athena_BV!G100, IF(_xlpm.program_isT, Athena_BV!E100, "")),
  _xlpm.ma_column, IF(_xlpm.program_isNT, Athena_MA!G100, IF(_xlpm.program_isT, Athena_MA!E100, "")),
  _xlpm.mi_column, IF(_xlpm.program_isNT, Athena_MI!G100, IF(_xlpm.program_isT, Athena_MI!E100,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Athena_BV!C100:M100,
    Athena_MA!C100:M100,
    Athena_MI!C100:M100
  )
)</f>
        <v>(FSE_Bitvector_Mode_Incorrect_Cyclic_Invoking_2_NT_Loop0_TestCase0, MAYBE, 1347)</v>
      </c>
      <c r="D100" s="142" t="str">
        <v>correct</v>
      </c>
      <c r="E100" s="80">
        <v>0</v>
      </c>
      <c r="F100" s="1" t="str">
        <v>0/0</v>
      </c>
      <c r="G100" s="80">
        <v>0</v>
      </c>
      <c r="H100" s="1" t="str">
        <v>0/1</v>
      </c>
      <c r="I100" s="143">
        <v>0</v>
      </c>
      <c r="J100" s="1" t="str">
        <v>0/1</v>
      </c>
      <c r="K100" s="142">
        <v>0</v>
      </c>
      <c r="L100" s="1">
        <v>0</v>
      </c>
      <c r="M100" s="140">
        <v>0</v>
      </c>
      <c r="N100" s="14" t="str" cm="1">
        <f t="array" ref="N100:X100">_xlfn.LET(
  _xlpm.program_isNT, RIGHT(Athena_BV!B100,5)="_NT.c",
  _xlpm.program_isT,  RIGHT(Athena_BV!B100,4)="_T.c",
  _xlpm.bv_isCorrect, LOWER(Athena_BV!O100)="correct",
  _xlpm.ma_isCorrect, LOWER(Athena_MA!O100)="correct",
  _xlpm.mi_isCorrect, LOWER(Athena_MI!O100)="correct",
  _xlpm.bv_column, IF(_xlpm.program_isNT, Athena_BV!R100, IF(_xlpm.program_isT, Athena_BV!P100, "")),
  _xlpm.ma_column, IF(_xlpm.program_isNT, Athena_MA!R100, IF(_xlpm.program_isT, Athena_MA!P100, "")),
  _xlpm.mi_column, IF(_xlpm.program_isNT, Athena_MI!R100, IF(_xlpm.program_isT, Athena_MI!P100,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Athena_BV!N100:X100,
    Athena_MA!N100:X100,
    Athena_MI!N100:X100
  )
)</f>
        <v>(FSE_Bitvector_Mode_Incorrect_Cyclic_Invoking_2_NT_Loop0_TestCase0, MAYBE, 1352)</v>
      </c>
      <c r="O100" s="142" t="str">
        <v>correct</v>
      </c>
      <c r="P100" s="80">
        <v>0</v>
      </c>
      <c r="Q100" s="1" t="str">
        <v>0/0</v>
      </c>
      <c r="R100" s="80">
        <v>0</v>
      </c>
      <c r="S100" s="149" t="str">
        <v>0/1</v>
      </c>
      <c r="T100" s="80">
        <v>0</v>
      </c>
      <c r="U100" s="1" t="str">
        <v>0/1</v>
      </c>
      <c r="V100" s="142">
        <v>0</v>
      </c>
      <c r="W100" s="150">
        <v>0</v>
      </c>
      <c r="X100" s="142">
        <v>0</v>
      </c>
      <c r="Y100" s="14" t="str" cm="1">
        <f t="array" ref="Y100:AI100">_xlfn.LET(
  _xlpm.program_isNT, RIGHT(Athena_BV!B100,5)="_NT.c",
  _xlpm.program_isT,  RIGHT(Athena_BV!B100,4)="_T.c",
  _xlpm.bv_isCorrect, LOWER(Athena_BV!Z100)="correct",
  _xlpm.ma_isCorrect, LOWER(Athena_MA!Z100)="correct",
  _xlpm.mi_isCorrect, LOWER(Athena_MI!Z100)="correct",
  _xlpm.bv_column, IF(_xlpm.program_isNT, Athena_BV!AC100, IF(_xlpm.program_isT, Athena_BV!AA100, "")),
  _xlpm.ma_column, IF(_xlpm.program_isNT, Athena_MA!AC100, IF(_xlpm.program_isT, Athena_MA!AA100, "")),
  _xlpm.mi_column, IF(_xlpm.program_isNT, Athena_MI!AC100, IF(_xlpm.program_isT, Athena_MI!AA100,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Athena_BV!Y100:AI100,
    Athena_MA!Y100:AI100,
    Athena_MI!Y100:AI100
  )
)</f>
        <v>(FSE_Bitvector_Mode_Incorrect_Cyclic_Invoking_2_NT_Loop0_TestCase8, MAYBE, 1342)
(FSE_Bitvector_Mode_Incorrect_Cyclic_Invoking_2_NT_Loop0_TestCase9, MAYBE, 1359)
(FSE_Bitvector_Mode_Incorrect_Cyclic_Invoking_2_NT_Loop0_TestCase10, MAYBE, 1335)
(FSE_Bitvector_Mode_Incorrect_Cyclic_Invoking_2_NT_Loop0_TestCase4, MAYBE, 1342)
(FSE_Bitvector_Mode_Incorrect_Cyclic_Invoking_2_NT_Loop0_TestCase5, MAYBE, 1408)
(FSE_Bitvector_Mode_Incorrect_Cyclic_Invoking_2_NT_Loop0_TestCase7, MAYBE, 1323)
(FSE_Bitvector_Mode_Incorrect_Cyclic_Invoking_2_NT_Loop0_TestCase6, MAYBE, 1357)
(FSE_Bitvector_Mode_Incorrect_Cyclic_Invoking_2_NT_Loop0_TestCase2, MAYBE, 1339)
(FSE_Bitvector_Mode_Incorrect_Cyclic_Invoking_2_NT_Loop0_TestCase3, MAYBE, 1364)
(FSE_Bitvector_Mode_Incorrect_Cyclic_Invoking_2_NT_Loop0_TestCase1, MAYBE, 1314)</v>
      </c>
      <c r="Z100" s="142" t="str">
        <v>correct</v>
      </c>
      <c r="AA100" s="80">
        <v>0</v>
      </c>
      <c r="AB100" s="1" t="str">
        <v>0/0</v>
      </c>
      <c r="AC100" s="80">
        <v>0</v>
      </c>
      <c r="AD100" s="1" t="str">
        <v>0/10</v>
      </c>
      <c r="AE100" s="143">
        <v>0</v>
      </c>
      <c r="AF100" s="1" t="str">
        <v>0/10</v>
      </c>
      <c r="AG100" s="142">
        <v>0</v>
      </c>
      <c r="AH100" s="150">
        <v>0</v>
      </c>
      <c r="AI100" s="142">
        <v>0</v>
      </c>
      <c r="AJ100" s="14" t="str" cm="1">
        <f t="array" ref="AJ100:AT100">_xlfn.LET(
  _xlpm.program_isNT, RIGHT(Athena_BV!B100,5)="_NT.c",
  _xlpm.program_isT,  RIGHT(Athena_BV!B100,4)="_T.c",
  _xlpm.bv_isCorrect, LOWER(Athena_BV!AK100)="correct",
  _xlpm.ma_isCorrect, LOWER(Athena_MA!AK100)="correct",
  _xlpm.mi_isCorrect, LOWER(Athena_MI!AK100)="correct",
  _xlpm.bv_column, IF(_xlpm.program_isNT, Athena_BV!AN100, IF(_xlpm.program_isT, Athena_BV!AL100, "")),
  _xlpm.ma_column, IF(_xlpm.program_isNT, Athena_MA!AN100, IF(_xlpm.program_isT, Athena_MA!AL100, "")),
  _xlpm.mi_column, IF(_xlpm.program_isNT, Athena_MI!AN100, IF(_xlpm.program_isT, Athena_MI!AL100,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Athena_BV!AJ100:AT100,
    Athena_MA!AJ100:AT100,
    Athena_MI!AJ100:AT100
  )
)</f>
        <v>(FSE_Bitvector_Mode_Incorrect_Cyclic_Invoking_2_NT_Loop0_TestCase8, MAYBE, 1364)
(FSE_Bitvector_Mode_Incorrect_Cyclic_Invoking_2_NT_Loop0_TestCase9, MAYBE, 1392)
(FSE_Bitvector_Mode_Incorrect_Cyclic_Invoking_2_NT_Loop0_TestCase10, MAYBE, 1381)
(FSE_Bitvector_Mode_Incorrect_Cyclic_Invoking_2_NT_Loop0_TestCase4, MAYBE, 1357)
(FSE_Bitvector_Mode_Incorrect_Cyclic_Invoking_2_NT_Loop0_TestCase5, MAYBE, 1380)
(FSE_Bitvector_Mode_Incorrect_Cyclic_Invoking_2_NT_Loop0_TestCase7, MAYBE, 1324)
(FSE_Bitvector_Mode_Incorrect_Cyclic_Invoking_2_NT_Loop0_TestCase6, MAYBE, 1430)
(FSE_Bitvector_Mode_Incorrect_Cyclic_Invoking_2_NT_Loop0_TestCase2, MAYBE, 1368)
(FSE_Bitvector_Mode_Incorrect_Cyclic_Invoking_2_NT_Loop0_TestCase3, MAYBE, 1353)
(FSE_Bitvector_Mode_Incorrect_Cyclic_Invoking_2_NT_Loop0_TestCase1, MAYBE, 1783)</v>
      </c>
      <c r="AK100" s="142" t="str">
        <v>correct</v>
      </c>
      <c r="AL100" s="80">
        <v>0</v>
      </c>
      <c r="AM100" s="1" t="str">
        <v>0/0</v>
      </c>
      <c r="AN100" s="80">
        <v>0</v>
      </c>
      <c r="AO100" s="1" t="str">
        <v>0/10</v>
      </c>
      <c r="AP100" s="143">
        <v>0</v>
      </c>
      <c r="AQ100" s="1" t="str">
        <v>0/10</v>
      </c>
      <c r="AR100" s="142">
        <v>0</v>
      </c>
      <c r="AS100" s="150">
        <v>0</v>
      </c>
      <c r="AT100" s="142">
        <v>0</v>
      </c>
      <c r="AU100" s="4" t="s">
        <v>96</v>
      </c>
    </row>
    <row r="101" spans="1:47" x14ac:dyDescent="0.2">
      <c r="A101" s="168"/>
      <c r="B101" s="76" t="s">
        <v>25</v>
      </c>
      <c r="C101" s="14" t="str" cm="1">
        <f t="array" ref="C101:M101">_xlfn.LET(
  _xlpm.program_isNT, RIGHT(Athena_BV!B101,5)="_NT.c",
  _xlpm.program_isT,  RIGHT(Athena_BV!B101,4)="_T.c",
  _xlpm.bv_isCorrect, LOWER(Athena_BV!D101)="correct",
  _xlpm.ma_isCorrect, LOWER(Athena_MA!D101)="correct",
  _xlpm.mi_isCorrect, LOWER(Athena_MI!D101)="correct",
  _xlpm.bv_column, IF(_xlpm.program_isNT, Athena_BV!G101, IF(_xlpm.program_isT, Athena_BV!E101, "")),
  _xlpm.ma_column, IF(_xlpm.program_isNT, Athena_MA!G101, IF(_xlpm.program_isT, Athena_MA!E101, "")),
  _xlpm.mi_column, IF(_xlpm.program_isNT, Athena_MI!G101, IF(_xlpm.program_isT, Athena_MI!E101,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Athena_BV!C101:M101,
    Athena_MA!C101:M101,
    Athena_MI!C101:M101
  )
)</f>
        <v>(FSE_Bitvector_Mode_Incorrect_Cyclic_Invoking_2_T_Loop0_TestCase0, MAYBE, 1465)</v>
      </c>
      <c r="D101" s="142" t="str">
        <v>correct</v>
      </c>
      <c r="E101" s="80">
        <v>0</v>
      </c>
      <c r="F101" s="1" t="str">
        <v>0/1</v>
      </c>
      <c r="G101" s="80" t="str">
        <v/>
      </c>
      <c r="H101" s="1" t="str">
        <v/>
      </c>
      <c r="I101" s="143">
        <v>0</v>
      </c>
      <c r="J101" s="1" t="str">
        <v>0/1</v>
      </c>
      <c r="K101" s="142">
        <v>0</v>
      </c>
      <c r="L101" s="1">
        <v>0</v>
      </c>
      <c r="M101" s="140">
        <v>0</v>
      </c>
      <c r="N101" s="14" t="str" cm="1">
        <f t="array" ref="N101:X101">_xlfn.LET(
  _xlpm.program_isNT, RIGHT(Athena_BV!B101,5)="_NT.c",
  _xlpm.program_isT,  RIGHT(Athena_BV!B101,4)="_T.c",
  _xlpm.bv_isCorrect, LOWER(Athena_BV!O101)="correct",
  _xlpm.ma_isCorrect, LOWER(Athena_MA!O101)="correct",
  _xlpm.mi_isCorrect, LOWER(Athena_MI!O101)="correct",
  _xlpm.bv_column, IF(_xlpm.program_isNT, Athena_BV!R101, IF(_xlpm.program_isT, Athena_BV!P101, "")),
  _xlpm.ma_column, IF(_xlpm.program_isNT, Athena_MA!R101, IF(_xlpm.program_isT, Athena_MA!P101, "")),
  _xlpm.mi_column, IF(_xlpm.program_isNT, Athena_MI!R101, IF(_xlpm.program_isT, Athena_MI!P101,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Athena_BV!N101:X101,
    Athena_MA!N101:X101,
    Athena_MI!N101:X101
  )
)</f>
        <v>(FSE_Bitvector_Mode_Incorrect_Cyclic_Invoking_2_T_Loop0_TestCase0, MAYBE, 1506)</v>
      </c>
      <c r="O101" s="142" t="str">
        <v>correct</v>
      </c>
      <c r="P101" s="80">
        <v>0</v>
      </c>
      <c r="Q101" s="1" t="str">
        <v>0/1</v>
      </c>
      <c r="R101" s="80" t="str">
        <v/>
      </c>
      <c r="S101" s="149" t="str">
        <v/>
      </c>
      <c r="T101" s="80">
        <v>0</v>
      </c>
      <c r="U101" s="1" t="str">
        <v>0/1</v>
      </c>
      <c r="V101" s="142">
        <v>0</v>
      </c>
      <c r="W101" s="150">
        <v>0</v>
      </c>
      <c r="X101" s="142">
        <v>0</v>
      </c>
      <c r="Y101" s="14" t="str" cm="1">
        <f t="array" ref="Y101:AI101">_xlfn.LET(
  _xlpm.program_isNT, RIGHT(Athena_BV!B101,5)="_NT.c",
  _xlpm.program_isT,  RIGHT(Athena_BV!B101,4)="_T.c",
  _xlpm.bv_isCorrect, LOWER(Athena_BV!Z101)="correct",
  _xlpm.ma_isCorrect, LOWER(Athena_MA!Z101)="correct",
  _xlpm.mi_isCorrect, LOWER(Athena_MI!Z101)="correct",
  _xlpm.bv_column, IF(_xlpm.program_isNT, Athena_BV!AC101, IF(_xlpm.program_isT, Athena_BV!AA101, "")),
  _xlpm.ma_column, IF(_xlpm.program_isNT, Athena_MA!AC101, IF(_xlpm.program_isT, Athena_MA!AA101, "")),
  _xlpm.mi_column, IF(_xlpm.program_isNT, Athena_MI!AC101, IF(_xlpm.program_isT, Athena_MI!AA101,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Athena_BV!Y101:AI101,
    Athena_MA!Y101:AI101,
    Athena_MI!Y101:AI101
  )
)</f>
        <v>(FSE_Bitvector_Mode_Incorrect_Cyclic_Invoking_2_T_Loop0_TestCase6, MAYBE, 1463)
(FSE_Bitvector_Mode_Incorrect_Cyclic_Invoking_2_T_Loop0_TestCase7, MAYBE, 1428)
(FSE_Bitvector_Mode_Incorrect_Cyclic_Invoking_2_T_Loop0_TestCase5, MAYBE, 1507)
(FSE_Bitvector_Mode_Incorrect_Cyclic_Invoking_2_T_Loop0_TestCase10, MAYBE, 1486)
(FSE_Bitvector_Mode_Incorrect_Cyclic_Invoking_2_T_Loop0_TestCase4, MAYBE, 1524)
(FSE_Bitvector_Mode_Incorrect_Cyclic_Invoking_2_T_Loop0_TestCase1, MAYBE, 1552)
(FSE_Bitvector_Mode_Incorrect_Cyclic_Invoking_2_T_Loop0_TestCase3, MAYBE, 1472)
(FSE_Bitvector_Mode_Incorrect_Cyclic_Invoking_2_T_Loop0_TestCase2, MAYBE, 1472)
(FSE_Bitvector_Mode_Incorrect_Cyclic_Invoking_2_T_Loop0_TestCase9, MAYBE, 1457)
(FSE_Bitvector_Mode_Incorrect_Cyclic_Invoking_2_T_Loop0_TestCase8, MAYBE, 1466)</v>
      </c>
      <c r="Z101" s="142" t="str">
        <v>correct</v>
      </c>
      <c r="AA101" s="80">
        <v>0</v>
      </c>
      <c r="AB101" s="1" t="str">
        <v>0/10</v>
      </c>
      <c r="AC101" s="80" t="str">
        <v/>
      </c>
      <c r="AD101" s="1" t="str">
        <v/>
      </c>
      <c r="AE101" s="143">
        <v>0</v>
      </c>
      <c r="AF101" s="1" t="str">
        <v>0/10</v>
      </c>
      <c r="AG101" s="142">
        <v>0</v>
      </c>
      <c r="AH101" s="150">
        <v>0</v>
      </c>
      <c r="AI101" s="142">
        <v>0</v>
      </c>
      <c r="AJ101" s="14" t="str" cm="1">
        <f t="array" ref="AJ101:AT101">_xlfn.LET(
  _xlpm.program_isNT, RIGHT(Athena_BV!B101,5)="_NT.c",
  _xlpm.program_isT,  RIGHT(Athena_BV!B101,4)="_T.c",
  _xlpm.bv_isCorrect, LOWER(Athena_BV!AK101)="correct",
  _xlpm.ma_isCorrect, LOWER(Athena_MA!AK101)="correct",
  _xlpm.mi_isCorrect, LOWER(Athena_MI!AK101)="correct",
  _xlpm.bv_column, IF(_xlpm.program_isNT, Athena_BV!AN101, IF(_xlpm.program_isT, Athena_BV!AL101, "")),
  _xlpm.ma_column, IF(_xlpm.program_isNT, Athena_MA!AN101, IF(_xlpm.program_isT, Athena_MA!AL101, "")),
  _xlpm.mi_column, IF(_xlpm.program_isNT, Athena_MI!AN101, IF(_xlpm.program_isT, Athena_MI!AL101,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Athena_BV!AJ101:AT101,
    Athena_MA!AJ101:AT101,
    Athena_MI!AJ101:AT101
  )
)</f>
        <v>(FSE_Bitvector_Mode_Incorrect_Cyclic_Invoking_2_T_Loop0_TestCase6, MAYBE, 1512)
(FSE_Bitvector_Mode_Incorrect_Cyclic_Invoking_2_T_Loop0_TestCase7, MAYBE, 1523)
(FSE_Bitvector_Mode_Incorrect_Cyclic_Invoking_2_T_Loop0_TestCase5, MAYBE, 1507)
(FSE_Bitvector_Mode_Incorrect_Cyclic_Invoking_2_T_Loop0_TestCase10, MAYBE, 1537)
(FSE_Bitvector_Mode_Incorrect_Cyclic_Invoking_2_T_Loop0_TestCase4, MAYBE, 1507)
(FSE_Bitvector_Mode_Incorrect_Cyclic_Invoking_2_T_Loop0_TestCase1, MAYBE, 1492)
(FSE_Bitvector_Mode_Incorrect_Cyclic_Invoking_2_T_Loop0_TestCase3, MAYBE, 1483)
(FSE_Bitvector_Mode_Incorrect_Cyclic_Invoking_2_T_Loop0_TestCase2, MAYBE, 1486)
(FSE_Bitvector_Mode_Incorrect_Cyclic_Invoking_2_T_Loop0_TestCase9, MAYBE, 1534)
(FSE_Bitvector_Mode_Incorrect_Cyclic_Invoking_2_T_Loop0_TestCase8, MAYBE, 1498)</v>
      </c>
      <c r="AK101" s="142" t="str">
        <v>correct</v>
      </c>
      <c r="AL101" s="80">
        <v>0</v>
      </c>
      <c r="AM101" s="1" t="str">
        <v>0/10</v>
      </c>
      <c r="AN101" s="80" t="str">
        <v/>
      </c>
      <c r="AO101" s="1" t="str">
        <v/>
      </c>
      <c r="AP101" s="143">
        <v>0</v>
      </c>
      <c r="AQ101" s="1" t="str">
        <v>0/10</v>
      </c>
      <c r="AR101" s="142">
        <v>0</v>
      </c>
      <c r="AS101" s="150">
        <v>0</v>
      </c>
      <c r="AT101" s="142">
        <v>0</v>
      </c>
      <c r="AU101" s="4" t="s">
        <v>96</v>
      </c>
    </row>
    <row r="102" spans="1:47" x14ac:dyDescent="0.2">
      <c r="A102" s="168"/>
      <c r="B102" s="76" t="s">
        <v>130</v>
      </c>
      <c r="C102" s="14" t="str" cm="1">
        <f t="array" ref="C102:M102">_xlfn.LET(
  _xlpm.program_isNT, RIGHT(Athena_BV!B102,5)="_NT.c",
  _xlpm.program_isT,  RIGHT(Athena_BV!B102,4)="_T.c",
  _xlpm.bv_isCorrect, LOWER(Athena_BV!D102)="correct",
  _xlpm.ma_isCorrect, LOWER(Athena_MA!D102)="correct",
  _xlpm.mi_isCorrect, LOWER(Athena_MI!D102)="correct",
  _xlpm.bv_column, IF(_xlpm.program_isNT, Athena_BV!G102, IF(_xlpm.program_isT, Athena_BV!E102, "")),
  _xlpm.ma_column, IF(_xlpm.program_isNT, Athena_MA!G102, IF(_xlpm.program_isT, Athena_MA!E102, "")),
  _xlpm.mi_column, IF(_xlpm.program_isNT, Athena_MI!G102, IF(_xlpm.program_isT, Athena_MI!E102,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Athena_BV!C102:M102,
    Athena_MA!C102:M102,
    Athena_MI!C102:M102
  )
)</f>
        <v>(FSE_Bitvector_Mode_Incorrect_Cyclic_Invoking_3_NT_Loop0_TestCase0, MAYBE, 471)</v>
      </c>
      <c r="D102" s="142" t="str">
        <v>correct</v>
      </c>
      <c r="E102" s="80">
        <v>0</v>
      </c>
      <c r="F102" s="1" t="str">
        <v>0/0</v>
      </c>
      <c r="G102" s="80">
        <v>0</v>
      </c>
      <c r="H102" s="1" t="str">
        <v>0/1</v>
      </c>
      <c r="I102" s="143">
        <v>0</v>
      </c>
      <c r="J102" s="1" t="str">
        <v>0/1</v>
      </c>
      <c r="K102" s="142">
        <v>0</v>
      </c>
      <c r="L102" s="1">
        <v>0</v>
      </c>
      <c r="M102" s="140">
        <v>0</v>
      </c>
      <c r="N102" s="14" t="str" cm="1">
        <f t="array" ref="N102:X102">_xlfn.LET(
  _xlpm.program_isNT, RIGHT(Athena_BV!B102,5)="_NT.c",
  _xlpm.program_isT,  RIGHT(Athena_BV!B102,4)="_T.c",
  _xlpm.bv_isCorrect, LOWER(Athena_BV!O102)="correct",
  _xlpm.ma_isCorrect, LOWER(Athena_MA!O102)="correct",
  _xlpm.mi_isCorrect, LOWER(Athena_MI!O102)="correct",
  _xlpm.bv_column, IF(_xlpm.program_isNT, Athena_BV!R102, IF(_xlpm.program_isT, Athena_BV!P102, "")),
  _xlpm.ma_column, IF(_xlpm.program_isNT, Athena_MA!R102, IF(_xlpm.program_isT, Athena_MA!P102, "")),
  _xlpm.mi_column, IF(_xlpm.program_isNT, Athena_MI!R102, IF(_xlpm.program_isT, Athena_MI!P102,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Athena_BV!N102:X102,
    Athena_MA!N102:X102,
    Athena_MI!N102:X102
  )
)</f>
        <v>(FSE_Bitvector_Mode_Incorrect_Cyclic_Invoking_3_NT_Loop0_TestCase0, MAYBE, 519)</v>
      </c>
      <c r="O102" s="142" t="str">
        <v>correct</v>
      </c>
      <c r="P102" s="80">
        <v>0</v>
      </c>
      <c r="Q102" s="1" t="str">
        <v>0/0</v>
      </c>
      <c r="R102" s="80">
        <v>0</v>
      </c>
      <c r="S102" s="149" t="str">
        <v>0/1</v>
      </c>
      <c r="T102" s="80">
        <v>0</v>
      </c>
      <c r="U102" s="1" t="str">
        <v>0/1</v>
      </c>
      <c r="V102" s="142">
        <v>0</v>
      </c>
      <c r="W102" s="150">
        <v>0</v>
      </c>
      <c r="X102" s="142">
        <v>0</v>
      </c>
      <c r="Y102" s="14" t="str" cm="1">
        <f t="array" ref="Y102:AI102">_xlfn.LET(
  _xlpm.program_isNT, RIGHT(Athena_BV!B102,5)="_NT.c",
  _xlpm.program_isT,  RIGHT(Athena_BV!B102,4)="_T.c",
  _xlpm.bv_isCorrect, LOWER(Athena_BV!Z102)="correct",
  _xlpm.ma_isCorrect, LOWER(Athena_MA!Z102)="correct",
  _xlpm.mi_isCorrect, LOWER(Athena_MI!Z102)="correct",
  _xlpm.bv_column, IF(_xlpm.program_isNT, Athena_BV!AC102, IF(_xlpm.program_isT, Athena_BV!AA102, "")),
  _xlpm.ma_column, IF(_xlpm.program_isNT, Athena_MA!AC102, IF(_xlpm.program_isT, Athena_MA!AA102, "")),
  _xlpm.mi_column, IF(_xlpm.program_isNT, Athena_MI!AC102, IF(_xlpm.program_isT, Athena_MI!AA102,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Athena_BV!Y102:AI102,
    Athena_MA!Y102:AI102,
    Athena_MI!Y102:AI102
  )
)</f>
        <v>(FSE_Bitvector_Mode_Incorrect_Cyclic_Invoking_3_NT_Loop0_TestCase0, MAYBE, 468)</v>
      </c>
      <c r="Z102" s="142" t="str">
        <v>correct</v>
      </c>
      <c r="AA102" s="80">
        <v>0</v>
      </c>
      <c r="AB102" s="1" t="str">
        <v>0/0</v>
      </c>
      <c r="AC102" s="80">
        <v>0</v>
      </c>
      <c r="AD102" s="1" t="str">
        <v>0/1</v>
      </c>
      <c r="AE102" s="143">
        <v>0</v>
      </c>
      <c r="AF102" s="1" t="str">
        <v>0/1</v>
      </c>
      <c r="AG102" s="142">
        <v>0</v>
      </c>
      <c r="AH102" s="150">
        <v>0</v>
      </c>
      <c r="AI102" s="142">
        <v>0</v>
      </c>
      <c r="AJ102" s="14" t="str" cm="1">
        <f t="array" ref="AJ102:AT102">_xlfn.LET(
  _xlpm.program_isNT, RIGHT(Athena_BV!B102,5)="_NT.c",
  _xlpm.program_isT,  RIGHT(Athena_BV!B102,4)="_T.c",
  _xlpm.bv_isCorrect, LOWER(Athena_BV!AK102)="correct",
  _xlpm.ma_isCorrect, LOWER(Athena_MA!AK102)="correct",
  _xlpm.mi_isCorrect, LOWER(Athena_MI!AK102)="correct",
  _xlpm.bv_column, IF(_xlpm.program_isNT, Athena_BV!AN102, IF(_xlpm.program_isT, Athena_BV!AL102, "")),
  _xlpm.ma_column, IF(_xlpm.program_isNT, Athena_MA!AN102, IF(_xlpm.program_isT, Athena_MA!AL102, "")),
  _xlpm.mi_column, IF(_xlpm.program_isNT, Athena_MI!AN102, IF(_xlpm.program_isT, Athena_MI!AL102,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Athena_BV!AJ102:AT102,
    Athena_MA!AJ102:AT102,
    Athena_MI!AJ102:AT102
  )
)</f>
        <v>(FSE_Bitvector_Mode_Incorrect_Cyclic_Invoking_3_NT_Loop0_TestCase0, MAYBE, 473)</v>
      </c>
      <c r="AK102" s="142" t="str">
        <v>correct</v>
      </c>
      <c r="AL102" s="80">
        <v>0</v>
      </c>
      <c r="AM102" s="1" t="str">
        <v>0/0</v>
      </c>
      <c r="AN102" s="80">
        <v>0</v>
      </c>
      <c r="AO102" s="1" t="str">
        <v>0/1</v>
      </c>
      <c r="AP102" s="143">
        <v>0</v>
      </c>
      <c r="AQ102" s="1" t="str">
        <v>0/1</v>
      </c>
      <c r="AR102" s="142">
        <v>0</v>
      </c>
      <c r="AS102" s="150">
        <v>0</v>
      </c>
      <c r="AT102" s="142">
        <v>0</v>
      </c>
      <c r="AU102" s="4" t="s">
        <v>96</v>
      </c>
    </row>
    <row r="103" spans="1:47" x14ac:dyDescent="0.2">
      <c r="A103" s="168"/>
      <c r="B103" s="76" t="s">
        <v>131</v>
      </c>
      <c r="C103" s="14" t="str" cm="1">
        <f t="array" ref="C103:M103">_xlfn.LET(
  _xlpm.program_isNT, RIGHT(Athena_BV!B103,5)="_NT.c",
  _xlpm.program_isT,  RIGHT(Athena_BV!B103,4)="_T.c",
  _xlpm.bv_isCorrect, LOWER(Athena_BV!D103)="correct",
  _xlpm.ma_isCorrect, LOWER(Athena_MA!D103)="correct",
  _xlpm.mi_isCorrect, LOWER(Athena_MI!D103)="correct",
  _xlpm.bv_column, IF(_xlpm.program_isNT, Athena_BV!G103, IF(_xlpm.program_isT, Athena_BV!E103, "")),
  _xlpm.ma_column, IF(_xlpm.program_isNT, Athena_MA!G103, IF(_xlpm.program_isT, Athena_MA!E103, "")),
  _xlpm.mi_column, IF(_xlpm.program_isNT, Athena_MI!G103, IF(_xlpm.program_isT, Athena_MI!E103,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Athena_BV!C103:M103,
    Athena_MA!C103:M103,
    Athena_MI!C103:M103
  )
)</f>
        <v>(FSE_Bitvector_Mode_Incorrect_Cyclic_Invoking_3_T_Loop0_TestCase0, MAYBE, 467)</v>
      </c>
      <c r="D103" s="142" t="str">
        <v>correct</v>
      </c>
      <c r="E103" s="80">
        <v>0</v>
      </c>
      <c r="F103" s="1" t="str">
        <v>0/1</v>
      </c>
      <c r="G103" s="80" t="str">
        <v/>
      </c>
      <c r="H103" s="1" t="str">
        <v/>
      </c>
      <c r="I103" s="143">
        <v>0</v>
      </c>
      <c r="J103" s="1" t="str">
        <v>0/1</v>
      </c>
      <c r="K103" s="142">
        <v>0</v>
      </c>
      <c r="L103" s="1">
        <v>0</v>
      </c>
      <c r="M103" s="140">
        <v>0</v>
      </c>
      <c r="N103" s="14" t="str" cm="1">
        <f t="array" ref="N103:X103">_xlfn.LET(
  _xlpm.program_isNT, RIGHT(Athena_BV!B103,5)="_NT.c",
  _xlpm.program_isT,  RIGHT(Athena_BV!B103,4)="_T.c",
  _xlpm.bv_isCorrect, LOWER(Athena_BV!O103)="correct",
  _xlpm.ma_isCorrect, LOWER(Athena_MA!O103)="correct",
  _xlpm.mi_isCorrect, LOWER(Athena_MI!O103)="correct",
  _xlpm.bv_column, IF(_xlpm.program_isNT, Athena_BV!R103, IF(_xlpm.program_isT, Athena_BV!P103, "")),
  _xlpm.ma_column, IF(_xlpm.program_isNT, Athena_MA!R103, IF(_xlpm.program_isT, Athena_MA!P103, "")),
  _xlpm.mi_column, IF(_xlpm.program_isNT, Athena_MI!R103, IF(_xlpm.program_isT, Athena_MI!P103,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Athena_BV!N103:X103,
    Athena_MA!N103:X103,
    Athena_MI!N103:X103
  )
)</f>
        <v>(FSE_Bitvector_Mode_Incorrect_Cyclic_Invoking_3_T_Loop0_TestCase0, MAYBE, 467)</v>
      </c>
      <c r="O103" s="142" t="str">
        <v>correct</v>
      </c>
      <c r="P103" s="80">
        <v>0</v>
      </c>
      <c r="Q103" s="1" t="str">
        <v>0/1</v>
      </c>
      <c r="R103" s="80" t="str">
        <v/>
      </c>
      <c r="S103" s="149" t="str">
        <v/>
      </c>
      <c r="T103" s="80">
        <v>0</v>
      </c>
      <c r="U103" s="1" t="str">
        <v>0/1</v>
      </c>
      <c r="V103" s="142">
        <v>0</v>
      </c>
      <c r="W103" s="150">
        <v>0</v>
      </c>
      <c r="X103" s="142">
        <v>0</v>
      </c>
      <c r="Y103" s="14" t="str" cm="1">
        <f t="array" ref="Y103:AI103">_xlfn.LET(
  _xlpm.program_isNT, RIGHT(Athena_BV!B103,5)="_NT.c",
  _xlpm.program_isT,  RIGHT(Athena_BV!B103,4)="_T.c",
  _xlpm.bv_isCorrect, LOWER(Athena_BV!Z103)="correct",
  _xlpm.ma_isCorrect, LOWER(Athena_MA!Z103)="correct",
  _xlpm.mi_isCorrect, LOWER(Athena_MI!Z103)="correct",
  _xlpm.bv_column, IF(_xlpm.program_isNT, Athena_BV!AC103, IF(_xlpm.program_isT, Athena_BV!AA103, "")),
  _xlpm.ma_column, IF(_xlpm.program_isNT, Athena_MA!AC103, IF(_xlpm.program_isT, Athena_MA!AA103, "")),
  _xlpm.mi_column, IF(_xlpm.program_isNT, Athena_MI!AC103, IF(_xlpm.program_isT, Athena_MI!AA103,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Athena_BV!Y103:AI103,
    Athena_MA!Y103:AI103,
    Athena_MI!Y103:AI103
  )
)</f>
        <v>(FSE_Bitvector_Mode_Incorrect_Cyclic_Invoking_3_T_Loop0_TestCase0, MAYBE, 450)</v>
      </c>
      <c r="Z103" s="142" t="str">
        <v>correct</v>
      </c>
      <c r="AA103" s="80">
        <v>0</v>
      </c>
      <c r="AB103" s="1" t="str">
        <v>0/1</v>
      </c>
      <c r="AC103" s="80" t="str">
        <v/>
      </c>
      <c r="AD103" s="1" t="str">
        <v/>
      </c>
      <c r="AE103" s="143">
        <v>0</v>
      </c>
      <c r="AF103" s="1" t="str">
        <v>0/1</v>
      </c>
      <c r="AG103" s="142">
        <v>0</v>
      </c>
      <c r="AH103" s="150">
        <v>0</v>
      </c>
      <c r="AI103" s="142">
        <v>0</v>
      </c>
      <c r="AJ103" s="14" t="str" cm="1">
        <f t="array" ref="AJ103:AT103">_xlfn.LET(
  _xlpm.program_isNT, RIGHT(Athena_BV!B103,5)="_NT.c",
  _xlpm.program_isT,  RIGHT(Athena_BV!B103,4)="_T.c",
  _xlpm.bv_isCorrect, LOWER(Athena_BV!AK103)="correct",
  _xlpm.ma_isCorrect, LOWER(Athena_MA!AK103)="correct",
  _xlpm.mi_isCorrect, LOWER(Athena_MI!AK103)="correct",
  _xlpm.bv_column, IF(_xlpm.program_isNT, Athena_BV!AN103, IF(_xlpm.program_isT, Athena_BV!AL103, "")),
  _xlpm.ma_column, IF(_xlpm.program_isNT, Athena_MA!AN103, IF(_xlpm.program_isT, Athena_MA!AL103, "")),
  _xlpm.mi_column, IF(_xlpm.program_isNT, Athena_MI!AN103, IF(_xlpm.program_isT, Athena_MI!AL103,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Athena_BV!AJ103:AT103,
    Athena_MA!AJ103:AT103,
    Athena_MI!AJ103:AT103
  )
)</f>
        <v>(FSE_Bitvector_Mode_Incorrect_Cyclic_Invoking_3_T_Loop0_TestCase0, MAYBE, 468)</v>
      </c>
      <c r="AK103" s="142" t="str">
        <v>correct</v>
      </c>
      <c r="AL103" s="80">
        <v>0</v>
      </c>
      <c r="AM103" s="1" t="str">
        <v>0/1</v>
      </c>
      <c r="AN103" s="80" t="str">
        <v/>
      </c>
      <c r="AO103" s="1" t="str">
        <v/>
      </c>
      <c r="AP103" s="143">
        <v>0</v>
      </c>
      <c r="AQ103" s="1" t="str">
        <v>0/1</v>
      </c>
      <c r="AR103" s="142">
        <v>0</v>
      </c>
      <c r="AS103" s="150">
        <v>0</v>
      </c>
      <c r="AT103" s="142">
        <v>0</v>
      </c>
      <c r="AU103" s="4" t="s">
        <v>96</v>
      </c>
    </row>
    <row r="104" spans="1:47" x14ac:dyDescent="0.2">
      <c r="A104" s="168"/>
      <c r="B104" s="76" t="s">
        <v>33</v>
      </c>
      <c r="C104" s="14" t="str" cm="1">
        <f t="array" ref="C104:M104">_xlfn.LET(
  _xlpm.program_isNT, RIGHT(Athena_BV!B104,5)="_NT.c",
  _xlpm.program_isT,  RIGHT(Athena_BV!B104,4)="_T.c",
  _xlpm.bv_isCorrect, LOWER(Athena_BV!D104)="correct",
  _xlpm.ma_isCorrect, LOWER(Athena_MA!D104)="correct",
  _xlpm.mi_isCorrect, LOWER(Athena_MI!D104)="correct",
  _xlpm.bv_column, IF(_xlpm.program_isNT, Athena_BV!G104, IF(_xlpm.program_isT, Athena_BV!E104, "")),
  _xlpm.ma_column, IF(_xlpm.program_isNT, Athena_MA!G104, IF(_xlpm.program_isT, Athena_MA!E104, "")),
  _xlpm.mi_column, IF(_xlpm.program_isNT, Athena_MI!G104, IF(_xlpm.program_isT, Athena_MI!E104,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Athena_BV!C104:M104,
    Athena_MA!C104:M104,
    Athena_MI!C104:M104
  )
)</f>
        <v>(FSE_Bitvector_Mode_Incorrect_Return_1_NT_Loop0_TestCase0, MAYBE, 1441)</v>
      </c>
      <c r="D104" s="142" t="str">
        <v>correct</v>
      </c>
      <c r="E104" s="80">
        <v>0</v>
      </c>
      <c r="F104" s="1" t="str">
        <v>0/0</v>
      </c>
      <c r="G104" s="80">
        <v>0</v>
      </c>
      <c r="H104" s="1" t="str">
        <v>0/1</v>
      </c>
      <c r="I104" s="143">
        <v>0</v>
      </c>
      <c r="J104" s="1" t="str">
        <v>0/1</v>
      </c>
      <c r="K104" s="142">
        <v>0</v>
      </c>
      <c r="L104" s="1">
        <v>0</v>
      </c>
      <c r="M104" s="140">
        <v>0</v>
      </c>
      <c r="N104" s="14" t="str" cm="1">
        <f t="array" ref="N104:X104">_xlfn.LET(
  _xlpm.program_isNT, RIGHT(Athena_BV!B104,5)="_NT.c",
  _xlpm.program_isT,  RIGHT(Athena_BV!B104,4)="_T.c",
  _xlpm.bv_isCorrect, LOWER(Athena_BV!O104)="correct",
  _xlpm.ma_isCorrect, LOWER(Athena_MA!O104)="correct",
  _xlpm.mi_isCorrect, LOWER(Athena_MI!O104)="correct",
  _xlpm.bv_column, IF(_xlpm.program_isNT, Athena_BV!R104, IF(_xlpm.program_isT, Athena_BV!P104, "")),
  _xlpm.ma_column, IF(_xlpm.program_isNT, Athena_MA!R104, IF(_xlpm.program_isT, Athena_MA!P104, "")),
  _xlpm.mi_column, IF(_xlpm.program_isNT, Athena_MI!R104, IF(_xlpm.program_isT, Athena_MI!P104,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Athena_BV!N104:X104,
    Athena_MA!N104:X104,
    Athena_MI!N104:X104
  )
)</f>
        <v>(FSE_Bitvector_Mode_Incorrect_Return_1_NT_Loop0_TestCase0, MAYBE, 1429)</v>
      </c>
      <c r="O104" s="142" t="str">
        <v>correct</v>
      </c>
      <c r="P104" s="80">
        <v>0</v>
      </c>
      <c r="Q104" s="1" t="str">
        <v>0/0</v>
      </c>
      <c r="R104" s="80">
        <v>0</v>
      </c>
      <c r="S104" s="149" t="str">
        <v>0/1</v>
      </c>
      <c r="T104" s="80">
        <v>0</v>
      </c>
      <c r="U104" s="1" t="str">
        <v>0/1</v>
      </c>
      <c r="V104" s="142">
        <v>0</v>
      </c>
      <c r="W104" s="150">
        <v>0</v>
      </c>
      <c r="X104" s="142">
        <v>0</v>
      </c>
      <c r="Y104" s="14" t="str" cm="1">
        <f t="array" ref="Y104:AI104">_xlfn.LET(
  _xlpm.program_isNT, RIGHT(Athena_BV!B104,5)="_NT.c",
  _xlpm.program_isT,  RIGHT(Athena_BV!B104,4)="_T.c",
  _xlpm.bv_isCorrect, LOWER(Athena_BV!Z104)="correct",
  _xlpm.ma_isCorrect, LOWER(Athena_MA!Z104)="correct",
  _xlpm.mi_isCorrect, LOWER(Athena_MI!Z104)="correct",
  _xlpm.bv_column, IF(_xlpm.program_isNT, Athena_BV!AC104, IF(_xlpm.program_isT, Athena_BV!AA104, "")),
  _xlpm.ma_column, IF(_xlpm.program_isNT, Athena_MA!AC104, IF(_xlpm.program_isT, Athena_MA!AA104, "")),
  _xlpm.mi_column, IF(_xlpm.program_isNT, Athena_MI!AC104, IF(_xlpm.program_isT, Athena_MI!AA104,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Athena_BV!Y104:AI104,
    Athena_MA!Y104:AI104,
    Athena_MI!Y104:AI104
  )
)</f>
        <v>(FSE_Bitvector_Mode_Incorrect_Return_1_NT_Loop0_TestCase10, MAYBE, 1377)
(FSE_Bitvector_Mode_Incorrect_Return_1_NT_Loop0_TestCase8, MAYBE, 1451)
(FSE_Bitvector_Mode_Incorrect_Return_1_NT_Loop0_TestCase9, MAYBE, 1430)
(FSE_Bitvector_Mode_Incorrect_Return_1_NT_Loop0_TestCase4, MAYBE, 1484)
(FSE_Bitvector_Mode_Incorrect_Return_1_NT_Loop0_TestCase5, MAYBE, 1490)
(FSE_Bitvector_Mode_Incorrect_Return_1_NT_Loop0_TestCase7, MAYBE, 1437)
(FSE_Bitvector_Mode_Incorrect_Return_1_NT_Loop0_TestCase6, MAYBE, 1436)
(FSE_Bitvector_Mode_Incorrect_Return_1_NT_Loop0_TestCase2, MAYBE, 1421)
(FSE_Bitvector_Mode_Incorrect_Return_1_NT_Loop0_TestCase3, MAYBE, 1422)
(FSE_Bitvector_Mode_Incorrect_Return_1_NT_Loop0_TestCase1, MAYBE, 1810)</v>
      </c>
      <c r="Z104" s="142" t="str">
        <v>correct</v>
      </c>
      <c r="AA104" s="80">
        <v>0</v>
      </c>
      <c r="AB104" s="1" t="str">
        <v>0/5</v>
      </c>
      <c r="AC104" s="80">
        <v>0</v>
      </c>
      <c r="AD104" s="1" t="str">
        <v>0/5</v>
      </c>
      <c r="AE104" s="143">
        <v>0</v>
      </c>
      <c r="AF104" s="1" t="str">
        <v>0/10</v>
      </c>
      <c r="AG104" s="142">
        <v>0</v>
      </c>
      <c r="AH104" s="150">
        <v>0</v>
      </c>
      <c r="AI104" s="142">
        <v>0</v>
      </c>
      <c r="AJ104" s="14" t="str" cm="1">
        <f t="array" ref="AJ104:AT104">_xlfn.LET(
  _xlpm.program_isNT, RIGHT(Athena_BV!B104,5)="_NT.c",
  _xlpm.program_isT,  RIGHT(Athena_BV!B104,4)="_T.c",
  _xlpm.bv_isCorrect, LOWER(Athena_BV!AK104)="correct",
  _xlpm.ma_isCorrect, LOWER(Athena_MA!AK104)="correct",
  _xlpm.mi_isCorrect, LOWER(Athena_MI!AK104)="correct",
  _xlpm.bv_column, IF(_xlpm.program_isNT, Athena_BV!AN104, IF(_xlpm.program_isT, Athena_BV!AL104, "")),
  _xlpm.ma_column, IF(_xlpm.program_isNT, Athena_MA!AN104, IF(_xlpm.program_isT, Athena_MA!AL104, "")),
  _xlpm.mi_column, IF(_xlpm.program_isNT, Athena_MI!AN104, IF(_xlpm.program_isT, Athena_MI!AL104,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Athena_BV!AJ104:AT104,
    Athena_MA!AJ104:AT104,
    Athena_MI!AJ104:AT104
  )
)</f>
        <v>(FSE_Bitvector_Mode_Incorrect_Return_1_NT_Loop0_TestCase10, MAYBE, 1458)
(FSE_Bitvector_Mode_Incorrect_Return_1_NT_Loop0_TestCase8, MAYBE, 1442)
(FSE_Bitvector_Mode_Incorrect_Return_1_NT_Loop0_TestCase9, MAYBE, 1457)
(FSE_Bitvector_Mode_Incorrect_Return_1_NT_Loop0_TestCase4, MAYBE, 1545)
(FSE_Bitvector_Mode_Incorrect_Return_1_NT_Loop0_TestCase5, MAYBE, 1453)
(FSE_Bitvector_Mode_Incorrect_Return_1_NT_Loop0_TestCase7, MAYBE, 1432)
(FSE_Bitvector_Mode_Incorrect_Return_1_NT_Loop0_TestCase6, MAYBE, 1446)
(FSE_Bitvector_Mode_Incorrect_Return_1_NT_Loop0_TestCase2, MAYBE, 1446)
(FSE_Bitvector_Mode_Incorrect_Return_1_NT_Loop0_TestCase3, MAYBE, 1470)
(FSE_Bitvector_Mode_Incorrect_Return_1_NT_Loop0_TestCase1, MAYBE, 1451)</v>
      </c>
      <c r="AK104" s="142" t="str">
        <v>correct</v>
      </c>
      <c r="AL104" s="80">
        <v>0</v>
      </c>
      <c r="AM104" s="1" t="str">
        <v>0/5</v>
      </c>
      <c r="AN104" s="80">
        <v>0</v>
      </c>
      <c r="AO104" s="1" t="str">
        <v>0/5</v>
      </c>
      <c r="AP104" s="143">
        <v>0</v>
      </c>
      <c r="AQ104" s="1" t="str">
        <v>0/10</v>
      </c>
      <c r="AR104" s="142">
        <v>0</v>
      </c>
      <c r="AS104" s="150">
        <v>0</v>
      </c>
      <c r="AT104" s="142">
        <v>0</v>
      </c>
      <c r="AU104" s="4" t="s">
        <v>96</v>
      </c>
    </row>
    <row r="105" spans="1:47" x14ac:dyDescent="0.2">
      <c r="A105" s="168"/>
      <c r="B105" s="76" t="s">
        <v>34</v>
      </c>
      <c r="C105" s="14" t="str" cm="1">
        <f t="array" ref="C105:M105">_xlfn.LET(
  _xlpm.program_isNT, RIGHT(Athena_BV!B105,5)="_NT.c",
  _xlpm.program_isT,  RIGHT(Athena_BV!B105,4)="_T.c",
  _xlpm.bv_isCorrect, LOWER(Athena_BV!D105)="correct",
  _xlpm.ma_isCorrect, LOWER(Athena_MA!D105)="correct",
  _xlpm.mi_isCorrect, LOWER(Athena_MI!D105)="correct",
  _xlpm.bv_column, IF(_xlpm.program_isNT, Athena_BV!G105, IF(_xlpm.program_isT, Athena_BV!E105, "")),
  _xlpm.ma_column, IF(_xlpm.program_isNT, Athena_MA!G105, IF(_xlpm.program_isT, Athena_MA!E105, "")),
  _xlpm.mi_column, IF(_xlpm.program_isNT, Athena_MI!G105, IF(_xlpm.program_isT, Athena_MI!E105,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Athena_BV!C105:M105,
    Athena_MA!C105:M105,
    Athena_MI!C105:M105
  )
)</f>
        <v>(FSE_Bitvector_Mode_Incorrect_Return_1_T_Loop0_TestCase0, MAYBE, 1421)</v>
      </c>
      <c r="D105" s="142" t="str">
        <v>correct</v>
      </c>
      <c r="E105" s="80">
        <v>0</v>
      </c>
      <c r="F105" s="1" t="str">
        <v>0/1</v>
      </c>
      <c r="G105" s="80" t="str">
        <v/>
      </c>
      <c r="H105" s="1" t="str">
        <v/>
      </c>
      <c r="I105" s="143">
        <v>0</v>
      </c>
      <c r="J105" s="1" t="str">
        <v>0/1</v>
      </c>
      <c r="K105" s="142">
        <v>0</v>
      </c>
      <c r="L105" s="1">
        <v>0</v>
      </c>
      <c r="M105" s="140">
        <v>0</v>
      </c>
      <c r="N105" s="14" t="str" cm="1">
        <f t="array" ref="N105:X105">_xlfn.LET(
  _xlpm.program_isNT, RIGHT(Athena_BV!B105,5)="_NT.c",
  _xlpm.program_isT,  RIGHT(Athena_BV!B105,4)="_T.c",
  _xlpm.bv_isCorrect, LOWER(Athena_BV!O105)="correct",
  _xlpm.ma_isCorrect, LOWER(Athena_MA!O105)="correct",
  _xlpm.mi_isCorrect, LOWER(Athena_MI!O105)="correct",
  _xlpm.bv_column, IF(_xlpm.program_isNT, Athena_BV!R105, IF(_xlpm.program_isT, Athena_BV!P105, "")),
  _xlpm.ma_column, IF(_xlpm.program_isNT, Athena_MA!R105, IF(_xlpm.program_isT, Athena_MA!P105, "")),
  _xlpm.mi_column, IF(_xlpm.program_isNT, Athena_MI!R105, IF(_xlpm.program_isT, Athena_MI!P105,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Athena_BV!N105:X105,
    Athena_MA!N105:X105,
    Athena_MI!N105:X105
  )
)</f>
        <v>(FSE_Bitvector_Mode_Incorrect_Return_1_T_Loop0_TestCase0, MAYBE, 1428)</v>
      </c>
      <c r="O105" s="142" t="str">
        <v>correct</v>
      </c>
      <c r="P105" s="80">
        <v>0</v>
      </c>
      <c r="Q105" s="1" t="str">
        <v>0/1</v>
      </c>
      <c r="R105" s="80" t="str">
        <v/>
      </c>
      <c r="S105" s="149" t="str">
        <v/>
      </c>
      <c r="T105" s="80">
        <v>0</v>
      </c>
      <c r="U105" s="1" t="str">
        <v>0/1</v>
      </c>
      <c r="V105" s="142">
        <v>0</v>
      </c>
      <c r="W105" s="150">
        <v>0</v>
      </c>
      <c r="X105" s="142">
        <v>0</v>
      </c>
      <c r="Y105" s="14" t="str" cm="1">
        <f t="array" ref="Y105:AI105">_xlfn.LET(
  _xlpm.program_isNT, RIGHT(Athena_BV!B105,5)="_NT.c",
  _xlpm.program_isT,  RIGHT(Athena_BV!B105,4)="_T.c",
  _xlpm.bv_isCorrect, LOWER(Athena_BV!Z105)="correct",
  _xlpm.ma_isCorrect, LOWER(Athena_MA!Z105)="correct",
  _xlpm.mi_isCorrect, LOWER(Athena_MI!Z105)="correct",
  _xlpm.bv_column, IF(_xlpm.program_isNT, Athena_BV!AC105, IF(_xlpm.program_isT, Athena_BV!AA105, "")),
  _xlpm.ma_column, IF(_xlpm.program_isNT, Athena_MA!AC105, IF(_xlpm.program_isT, Athena_MA!AA105, "")),
  _xlpm.mi_column, IF(_xlpm.program_isNT, Athena_MI!AC105, IF(_xlpm.program_isT, Athena_MI!AA105,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Athena_BV!Y105:AI105,
    Athena_MA!Y105:AI105,
    Athena_MI!Y105:AI105
  )
)</f>
        <v>(FSE_Bitvector_Mode_Incorrect_Return_1_T_Loop0_TestCase10, MAYBE, 1441)
(FSE_Bitvector_Mode_Incorrect_Return_1_T_Loop0_TestCase3, MAYBE, 1403)
(FSE_Bitvector_Mode_Incorrect_Return_1_T_Loop0_TestCase2, MAYBE, 1395)
(FSE_Bitvector_Mode_Incorrect_Return_1_T_Loop0_TestCase1, MAYBE, 1417)
(FSE_Bitvector_Mode_Incorrect_Return_1_T_Loop0_TestCase5, MAYBE, 1418)
(FSE_Bitvector_Mode_Incorrect_Return_1_T_Loop0_TestCase4, MAYBE, 1418)
(FSE_Bitvector_Mode_Incorrect_Return_1_T_Loop0_TestCase6, MAYBE, 1421)
(FSE_Bitvector_Mode_Incorrect_Return_1_T_Loop0_TestCase7, MAYBE, 1383)
(FSE_Bitvector_Mode_Incorrect_Return_1_T_Loop0_TestCase9, MAYBE, 1410)
(FSE_Bitvector_Mode_Incorrect_Return_1_T_Loop0_TestCase8, MAYBE, 1436)</v>
      </c>
      <c r="Z105" s="142" t="str">
        <v>correct</v>
      </c>
      <c r="AA105" s="80">
        <v>0</v>
      </c>
      <c r="AB105" s="1" t="str">
        <v>0/10</v>
      </c>
      <c r="AC105" s="80" t="str">
        <v/>
      </c>
      <c r="AD105" s="1" t="str">
        <v/>
      </c>
      <c r="AE105" s="143">
        <v>0</v>
      </c>
      <c r="AF105" s="1" t="str">
        <v>0/10</v>
      </c>
      <c r="AG105" s="142">
        <v>0</v>
      </c>
      <c r="AH105" s="150">
        <v>0</v>
      </c>
      <c r="AI105" s="142">
        <v>0</v>
      </c>
      <c r="AJ105" s="14" t="str" cm="1">
        <f t="array" ref="AJ105:AT105">_xlfn.LET(
  _xlpm.program_isNT, RIGHT(Athena_BV!B105,5)="_NT.c",
  _xlpm.program_isT,  RIGHT(Athena_BV!B105,4)="_T.c",
  _xlpm.bv_isCorrect, LOWER(Athena_BV!AK105)="correct",
  _xlpm.ma_isCorrect, LOWER(Athena_MA!AK105)="correct",
  _xlpm.mi_isCorrect, LOWER(Athena_MI!AK105)="correct",
  _xlpm.bv_column, IF(_xlpm.program_isNT, Athena_BV!AN105, IF(_xlpm.program_isT, Athena_BV!AL105, "")),
  _xlpm.ma_column, IF(_xlpm.program_isNT, Athena_MA!AN105, IF(_xlpm.program_isT, Athena_MA!AL105, "")),
  _xlpm.mi_column, IF(_xlpm.program_isNT, Athena_MI!AN105, IF(_xlpm.program_isT, Athena_MI!AL105,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Athena_BV!AJ105:AT105,
    Athena_MA!AJ105:AT105,
    Athena_MI!AJ105:AT105
  )
)</f>
        <v>(FSE_Bitvector_Mode_Incorrect_Return_1_T_Loop0_TestCase10, MAYBE, 1477)
(FSE_Bitvector_Mode_Incorrect_Return_1_T_Loop0_TestCase3, MAYBE, 1464)
(FSE_Bitvector_Mode_Incorrect_Return_1_T_Loop0_TestCase2, MAYBE, 1454)
(FSE_Bitvector_Mode_Incorrect_Return_1_T_Loop0_TestCase1, MAYBE, 1473)
(FSE_Bitvector_Mode_Incorrect_Return_1_T_Loop0_TestCase5, MAYBE, 1427)
(FSE_Bitvector_Mode_Incorrect_Return_1_T_Loop0_TestCase4, MAYBE, 1421)
(FSE_Bitvector_Mode_Incorrect_Return_1_T_Loop0_TestCase6, MAYBE, 1452)
(FSE_Bitvector_Mode_Incorrect_Return_1_T_Loop0_TestCase7, MAYBE, 1468)
(FSE_Bitvector_Mode_Incorrect_Return_1_T_Loop0_TestCase9, MAYBE, 1470)
(FSE_Bitvector_Mode_Incorrect_Return_1_T_Loop0_TestCase8, MAYBE, 1450)</v>
      </c>
      <c r="AK105" s="142" t="str">
        <v>correct</v>
      </c>
      <c r="AL105" s="80">
        <v>0</v>
      </c>
      <c r="AM105" s="1" t="str">
        <v>0/10</v>
      </c>
      <c r="AN105" s="80" t="str">
        <v/>
      </c>
      <c r="AO105" s="1" t="str">
        <v/>
      </c>
      <c r="AP105" s="143">
        <v>0</v>
      </c>
      <c r="AQ105" s="1" t="str">
        <v>0/10</v>
      </c>
      <c r="AR105" s="142">
        <v>0</v>
      </c>
      <c r="AS105" s="150">
        <v>0</v>
      </c>
      <c r="AT105" s="142">
        <v>0</v>
      </c>
      <c r="AU105" s="4" t="s">
        <v>96</v>
      </c>
    </row>
    <row r="106" spans="1:47" x14ac:dyDescent="0.2">
      <c r="A106" s="168"/>
      <c r="B106" s="76" t="s">
        <v>132</v>
      </c>
      <c r="C106" s="14" t="str" cm="1">
        <f t="array" ref="C106:M106">_xlfn.LET(
  _xlpm.program_isNT, RIGHT(Athena_BV!B106,5)="_NT.c",
  _xlpm.program_isT,  RIGHT(Athena_BV!B106,4)="_T.c",
  _xlpm.bv_isCorrect, LOWER(Athena_BV!D106)="correct",
  _xlpm.ma_isCorrect, LOWER(Athena_MA!D106)="correct",
  _xlpm.mi_isCorrect, LOWER(Athena_MI!D106)="correct",
  _xlpm.bv_column, IF(_xlpm.program_isNT, Athena_BV!G106, IF(_xlpm.program_isT, Athena_BV!E106, "")),
  _xlpm.ma_column, IF(_xlpm.program_isNT, Athena_MA!G106, IF(_xlpm.program_isT, Athena_MA!E106, "")),
  _xlpm.mi_column, IF(_xlpm.program_isNT, Athena_MI!G106, IF(_xlpm.program_isT, Athena_MI!E106,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Athena_BV!C106:M106,
    Athena_MA!C106:M106,
    Athena_MI!C106:M106
  )
)</f>
        <v>(FSE_Bitvector_Mode_Incorrect_Return_2_NT_Loop0_TestCase0, MAYBE, 482)</v>
      </c>
      <c r="D106" s="142" t="str">
        <v>correct</v>
      </c>
      <c r="E106" s="80">
        <v>0</v>
      </c>
      <c r="F106" s="1" t="str">
        <v>0/0</v>
      </c>
      <c r="G106" s="80">
        <v>0</v>
      </c>
      <c r="H106" s="1" t="str">
        <v>0/1</v>
      </c>
      <c r="I106" s="143">
        <v>0</v>
      </c>
      <c r="J106" s="1" t="str">
        <v>0/1</v>
      </c>
      <c r="K106" s="142">
        <v>0</v>
      </c>
      <c r="L106" s="1">
        <v>0</v>
      </c>
      <c r="M106" s="140">
        <v>0</v>
      </c>
      <c r="N106" s="14" t="str" cm="1">
        <f t="array" ref="N106:X106">_xlfn.LET(
  _xlpm.program_isNT, RIGHT(Athena_BV!B106,5)="_NT.c",
  _xlpm.program_isT,  RIGHT(Athena_BV!B106,4)="_T.c",
  _xlpm.bv_isCorrect, LOWER(Athena_BV!O106)="correct",
  _xlpm.ma_isCorrect, LOWER(Athena_MA!O106)="correct",
  _xlpm.mi_isCorrect, LOWER(Athena_MI!O106)="correct",
  _xlpm.bv_column, IF(_xlpm.program_isNT, Athena_BV!R106, IF(_xlpm.program_isT, Athena_BV!P106, "")),
  _xlpm.ma_column, IF(_xlpm.program_isNT, Athena_MA!R106, IF(_xlpm.program_isT, Athena_MA!P106, "")),
  _xlpm.mi_column, IF(_xlpm.program_isNT, Athena_MI!R106, IF(_xlpm.program_isT, Athena_MI!P106,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Athena_BV!N106:X106,
    Athena_MA!N106:X106,
    Athena_MI!N106:X106
  )
)</f>
        <v>(FSE_Bitvector_Mode_Incorrect_Return_2_NT_Loop0_TestCase0, MAYBE, 476)</v>
      </c>
      <c r="O106" s="142" t="str">
        <v>correct</v>
      </c>
      <c r="P106" s="80">
        <v>0</v>
      </c>
      <c r="Q106" s="1" t="str">
        <v>0/0</v>
      </c>
      <c r="R106" s="80">
        <v>0</v>
      </c>
      <c r="S106" s="149" t="str">
        <v>0/1</v>
      </c>
      <c r="T106" s="80">
        <v>0</v>
      </c>
      <c r="U106" s="1" t="str">
        <v>0/1</v>
      </c>
      <c r="V106" s="142">
        <v>0</v>
      </c>
      <c r="W106" s="150">
        <v>0</v>
      </c>
      <c r="X106" s="142">
        <v>0</v>
      </c>
      <c r="Y106" s="14" t="str" cm="1">
        <f t="array" ref="Y106:AI106">_xlfn.LET(
  _xlpm.program_isNT, RIGHT(Athena_BV!B106,5)="_NT.c",
  _xlpm.program_isT,  RIGHT(Athena_BV!B106,4)="_T.c",
  _xlpm.bv_isCorrect, LOWER(Athena_BV!Z106)="correct",
  _xlpm.ma_isCorrect, LOWER(Athena_MA!Z106)="correct",
  _xlpm.mi_isCorrect, LOWER(Athena_MI!Z106)="correct",
  _xlpm.bv_column, IF(_xlpm.program_isNT, Athena_BV!AC106, IF(_xlpm.program_isT, Athena_BV!AA106, "")),
  _xlpm.ma_column, IF(_xlpm.program_isNT, Athena_MA!AC106, IF(_xlpm.program_isT, Athena_MA!AA106, "")),
  _xlpm.mi_column, IF(_xlpm.program_isNT, Athena_MI!AC106, IF(_xlpm.program_isT, Athena_MI!AA106,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Athena_BV!Y106:AI106,
    Athena_MA!Y106:AI106,
    Athena_MI!Y106:AI106
  )
)</f>
        <v>(FSE_Bitvector_Mode_Incorrect_Return_2_NT_Loop0_TestCase8, MAYBE, 459)
(FSE_Bitvector_Mode_Incorrect_Return_2_NT_Loop0_TestCase9, MAYBE, 472)
(FSE_Bitvector_Mode_Incorrect_Return_2_NT_Loop0_TestCase10, MAYBE, 479)
(FSE_Bitvector_Mode_Incorrect_Return_2_NT_Loop0_TestCase1, MAYBE, 466)
(FSE_Bitvector_Mode_Incorrect_Return_2_NT_Loop0_TestCase2, MAYBE, 628)
(FSE_Bitvector_Mode_Incorrect_Return_2_NT_Loop0_TestCase3, MAYBE, 468)
(FSE_Bitvector_Mode_Incorrect_Return_2_NT_Loop0_TestCase7, MAYBE, 482)
(FSE_Bitvector_Mode_Incorrect_Return_2_NT_Loop0_TestCase6, MAYBE, 485)
(FSE_Bitvector_Mode_Incorrect_Return_2_NT_Loop0_TestCase4, MAYBE, 462)
(FSE_Bitvector_Mode_Incorrect_Return_2_NT_Loop0_TestCase5, MAYBE, 459)</v>
      </c>
      <c r="Z106" s="142" t="str">
        <v>correct</v>
      </c>
      <c r="AA106" s="80">
        <v>0</v>
      </c>
      <c r="AB106" s="1" t="str">
        <v>0/5</v>
      </c>
      <c r="AC106" s="80">
        <v>0</v>
      </c>
      <c r="AD106" s="1" t="str">
        <v>0/5</v>
      </c>
      <c r="AE106" s="143">
        <v>0</v>
      </c>
      <c r="AF106" s="1" t="str">
        <v>0/10</v>
      </c>
      <c r="AG106" s="142">
        <v>0</v>
      </c>
      <c r="AH106" s="150">
        <v>0</v>
      </c>
      <c r="AI106" s="142">
        <v>0</v>
      </c>
      <c r="AJ106" s="14" t="str" cm="1">
        <f t="array" ref="AJ106:AT106">_xlfn.LET(
  _xlpm.program_isNT, RIGHT(Athena_BV!B106,5)="_NT.c",
  _xlpm.program_isT,  RIGHT(Athena_BV!B106,4)="_T.c",
  _xlpm.bv_isCorrect, LOWER(Athena_BV!AK106)="correct",
  _xlpm.ma_isCorrect, LOWER(Athena_MA!AK106)="correct",
  _xlpm.mi_isCorrect, LOWER(Athena_MI!AK106)="correct",
  _xlpm.bv_column, IF(_xlpm.program_isNT, Athena_BV!AN106, IF(_xlpm.program_isT, Athena_BV!AL106, "")),
  _xlpm.ma_column, IF(_xlpm.program_isNT, Athena_MA!AN106, IF(_xlpm.program_isT, Athena_MA!AL106, "")),
  _xlpm.mi_column, IF(_xlpm.program_isNT, Athena_MI!AN106, IF(_xlpm.program_isT, Athena_MI!AL106,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Athena_BV!AJ106:AT106,
    Athena_MA!AJ106:AT106,
    Athena_MI!AJ106:AT106
  )
)</f>
        <v>(FSE_Bitvector_Mode_Incorrect_Return_2_NT_Loop0_TestCase8, MAYBE, 467)
(FSE_Bitvector_Mode_Incorrect_Return_2_NT_Loop0_TestCase9, MAYBE, 484)
(FSE_Bitvector_Mode_Incorrect_Return_2_NT_Loop0_TestCase10, MAYBE, 512)
(FSE_Bitvector_Mode_Incorrect_Return_2_NT_Loop0_TestCase1, MAYBE, 498)
(FSE_Bitvector_Mode_Incorrect_Return_2_NT_Loop0_TestCase2, MAYBE, 478)
(FSE_Bitvector_Mode_Incorrect_Return_2_NT_Loop0_TestCase3, MAYBE, 476)
(FSE_Bitvector_Mode_Incorrect_Return_2_NT_Loop0_TestCase7, MAYBE, 512)
(FSE_Bitvector_Mode_Incorrect_Return_2_NT_Loop0_TestCase6, MAYBE, 496)
(FSE_Bitvector_Mode_Incorrect_Return_2_NT_Loop0_TestCase4, MAYBE, 468)
(FSE_Bitvector_Mode_Incorrect_Return_2_NT_Loop0_TestCase5, MAYBE, 484)</v>
      </c>
      <c r="AK106" s="142" t="str">
        <v>correct</v>
      </c>
      <c r="AL106" s="80">
        <v>0</v>
      </c>
      <c r="AM106" s="1" t="str">
        <v>0/5</v>
      </c>
      <c r="AN106" s="80">
        <v>0</v>
      </c>
      <c r="AO106" s="1" t="str">
        <v>0/5</v>
      </c>
      <c r="AP106" s="143">
        <v>0</v>
      </c>
      <c r="AQ106" s="1" t="str">
        <v>0/10</v>
      </c>
      <c r="AR106" s="142">
        <v>0</v>
      </c>
      <c r="AS106" s="150">
        <v>0</v>
      </c>
      <c r="AT106" s="142">
        <v>0</v>
      </c>
      <c r="AU106" s="4" t="s">
        <v>96</v>
      </c>
    </row>
    <row r="107" spans="1:47" x14ac:dyDescent="0.2">
      <c r="A107" s="168"/>
      <c r="B107" s="76" t="s">
        <v>133</v>
      </c>
      <c r="C107" s="14" t="str" cm="1">
        <f t="array" ref="C107:M107">_xlfn.LET(
  _xlpm.program_isNT, RIGHT(Athena_BV!B107,5)="_NT.c",
  _xlpm.program_isT,  RIGHT(Athena_BV!B107,4)="_T.c",
  _xlpm.bv_isCorrect, LOWER(Athena_BV!D107)="correct",
  _xlpm.ma_isCorrect, LOWER(Athena_MA!D107)="correct",
  _xlpm.mi_isCorrect, LOWER(Athena_MI!D107)="correct",
  _xlpm.bv_column, IF(_xlpm.program_isNT, Athena_BV!G107, IF(_xlpm.program_isT, Athena_BV!E107, "")),
  _xlpm.ma_column, IF(_xlpm.program_isNT, Athena_MA!G107, IF(_xlpm.program_isT, Athena_MA!E107, "")),
  _xlpm.mi_column, IF(_xlpm.program_isNT, Athena_MI!G107, IF(_xlpm.program_isT, Athena_MI!E107,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Athena_BV!C107:M107,
    Athena_MA!C107:M107,
    Athena_MI!C107:M107
  )
)</f>
        <v>(FSE_Bitvector_Mode_Incorrect_Return_2_T_Loop0_TestCase0, MAYBE, 494)</v>
      </c>
      <c r="D107" s="142" t="str">
        <v>correct</v>
      </c>
      <c r="E107" s="80">
        <v>0</v>
      </c>
      <c r="F107" s="1" t="str">
        <v>0/1</v>
      </c>
      <c r="G107" s="80" t="str">
        <v/>
      </c>
      <c r="H107" s="1" t="str">
        <v/>
      </c>
      <c r="I107" s="143">
        <v>0</v>
      </c>
      <c r="J107" s="1" t="str">
        <v>0/1</v>
      </c>
      <c r="K107" s="142">
        <v>0</v>
      </c>
      <c r="L107" s="1">
        <v>0</v>
      </c>
      <c r="M107" s="140">
        <v>0</v>
      </c>
      <c r="N107" s="14" t="str" cm="1">
        <f t="array" ref="N107:X107">_xlfn.LET(
  _xlpm.program_isNT, RIGHT(Athena_BV!B107,5)="_NT.c",
  _xlpm.program_isT,  RIGHT(Athena_BV!B107,4)="_T.c",
  _xlpm.bv_isCorrect, LOWER(Athena_BV!O107)="correct",
  _xlpm.ma_isCorrect, LOWER(Athena_MA!O107)="correct",
  _xlpm.mi_isCorrect, LOWER(Athena_MI!O107)="correct",
  _xlpm.bv_column, IF(_xlpm.program_isNT, Athena_BV!R107, IF(_xlpm.program_isT, Athena_BV!P107, "")),
  _xlpm.ma_column, IF(_xlpm.program_isNT, Athena_MA!R107, IF(_xlpm.program_isT, Athena_MA!P107, "")),
  _xlpm.mi_column, IF(_xlpm.program_isNT, Athena_MI!R107, IF(_xlpm.program_isT, Athena_MI!P107,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Athena_BV!N107:X107,
    Athena_MA!N107:X107,
    Athena_MI!N107:X107
  )
)</f>
        <v>(FSE_Bitvector_Mode_Incorrect_Return_2_T_Loop0_TestCase0, MAYBE, 462)</v>
      </c>
      <c r="O107" s="142" t="str">
        <v>correct</v>
      </c>
      <c r="P107" s="80">
        <v>0</v>
      </c>
      <c r="Q107" s="1" t="str">
        <v>0/1</v>
      </c>
      <c r="R107" s="80" t="str">
        <v/>
      </c>
      <c r="S107" s="149" t="str">
        <v/>
      </c>
      <c r="T107" s="80">
        <v>0</v>
      </c>
      <c r="U107" s="1" t="str">
        <v>0/1</v>
      </c>
      <c r="V107" s="142">
        <v>0</v>
      </c>
      <c r="W107" s="150">
        <v>0</v>
      </c>
      <c r="X107" s="142">
        <v>0</v>
      </c>
      <c r="Y107" s="14" t="str" cm="1">
        <f t="array" ref="Y107:AI107">_xlfn.LET(
  _xlpm.program_isNT, RIGHT(Athena_BV!B107,5)="_NT.c",
  _xlpm.program_isT,  RIGHT(Athena_BV!B107,4)="_T.c",
  _xlpm.bv_isCorrect, LOWER(Athena_BV!Z107)="correct",
  _xlpm.ma_isCorrect, LOWER(Athena_MA!Z107)="correct",
  _xlpm.mi_isCorrect, LOWER(Athena_MI!Z107)="correct",
  _xlpm.bv_column, IF(_xlpm.program_isNT, Athena_BV!AC107, IF(_xlpm.program_isT, Athena_BV!AA107, "")),
  _xlpm.ma_column, IF(_xlpm.program_isNT, Athena_MA!AC107, IF(_xlpm.program_isT, Athena_MA!AA107, "")),
  _xlpm.mi_column, IF(_xlpm.program_isNT, Athena_MI!AC107, IF(_xlpm.program_isT, Athena_MI!AA107,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Athena_BV!Y107:AI107,
    Athena_MA!Y107:AI107,
    Athena_MI!Y107:AI107
  )
)</f>
        <v>(FSE_Bitvector_Mode_Incorrect_Return_2_T_Loop0_TestCase8, MAYBE, 472)
(FSE_Bitvector_Mode_Incorrect_Return_2_T_Loop0_TestCase10, MAYBE, 460)
(FSE_Bitvector_Mode_Incorrect_Return_2_T_Loop0_TestCase9, MAYBE, 473)
(FSE_Bitvector_Mode_Incorrect_Return_2_T_Loop0_TestCase7, MAYBE, 457)
(FSE_Bitvector_Mode_Incorrect_Return_2_T_Loop0_TestCase6, MAYBE, 494)
(FSE_Bitvector_Mode_Incorrect_Return_2_T_Loop0_TestCase4, MAYBE, 487)
(FSE_Bitvector_Mode_Incorrect_Return_2_T_Loop0_TestCase5, MAYBE, 683)
(FSE_Bitvector_Mode_Incorrect_Return_2_T_Loop0_TestCase1, MAYBE, 492)
(FSE_Bitvector_Mode_Incorrect_Return_2_T_Loop0_TestCase2, MAYBE, 510)
(FSE_Bitvector_Mode_Incorrect_Return_2_T_Loop0_TestCase3, MAYBE, 481)</v>
      </c>
      <c r="Z107" s="142" t="str">
        <v>correct</v>
      </c>
      <c r="AA107" s="80">
        <v>0</v>
      </c>
      <c r="AB107" s="1" t="str">
        <v>0/10</v>
      </c>
      <c r="AC107" s="80" t="str">
        <v/>
      </c>
      <c r="AD107" s="1" t="str">
        <v/>
      </c>
      <c r="AE107" s="143">
        <v>0</v>
      </c>
      <c r="AF107" s="1" t="str">
        <v>0/10</v>
      </c>
      <c r="AG107" s="142">
        <v>0</v>
      </c>
      <c r="AH107" s="150">
        <v>0</v>
      </c>
      <c r="AI107" s="142">
        <v>0</v>
      </c>
      <c r="AJ107" s="14" t="str" cm="1">
        <f t="array" ref="AJ107:AT107">_xlfn.LET(
  _xlpm.program_isNT, RIGHT(Athena_BV!B107,5)="_NT.c",
  _xlpm.program_isT,  RIGHT(Athena_BV!B107,4)="_T.c",
  _xlpm.bv_isCorrect, LOWER(Athena_BV!AK107)="correct",
  _xlpm.ma_isCorrect, LOWER(Athena_MA!AK107)="correct",
  _xlpm.mi_isCorrect, LOWER(Athena_MI!AK107)="correct",
  _xlpm.bv_column, IF(_xlpm.program_isNT, Athena_BV!AN107, IF(_xlpm.program_isT, Athena_BV!AL107, "")),
  _xlpm.ma_column, IF(_xlpm.program_isNT, Athena_MA!AN107, IF(_xlpm.program_isT, Athena_MA!AL107, "")),
  _xlpm.mi_column, IF(_xlpm.program_isNT, Athena_MI!AN107, IF(_xlpm.program_isT, Athena_MI!AL107,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Athena_BV!AJ107:AT107,
    Athena_MA!AJ107:AT107,
    Athena_MI!AJ107:AT107
  )
)</f>
        <v>(FSE_Bitvector_Mode_Incorrect_Return_2_T_Loop0_TestCase8, MAYBE, 461)
(FSE_Bitvector_Mode_Incorrect_Return_2_T_Loop0_TestCase10, MAYBE, 501)
(FSE_Bitvector_Mode_Incorrect_Return_2_T_Loop0_TestCase9, MAYBE, 483)
(FSE_Bitvector_Mode_Incorrect_Return_2_T_Loop0_TestCase7, MAYBE, 463)
(FSE_Bitvector_Mode_Incorrect_Return_2_T_Loop0_TestCase6, MAYBE, 469)
(FSE_Bitvector_Mode_Incorrect_Return_2_T_Loop0_TestCase4, MAYBE, 504)
(FSE_Bitvector_Mode_Incorrect_Return_2_T_Loop0_TestCase5, MAYBE, 477)
(FSE_Bitvector_Mode_Incorrect_Return_2_T_Loop0_TestCase1, MAYBE, 460)
(FSE_Bitvector_Mode_Incorrect_Return_2_T_Loop0_TestCase2, MAYBE, 468)
(FSE_Bitvector_Mode_Incorrect_Return_2_T_Loop0_TestCase3, MAYBE, 480)</v>
      </c>
      <c r="AK107" s="142" t="str">
        <v>correct</v>
      </c>
      <c r="AL107" s="80">
        <v>0</v>
      </c>
      <c r="AM107" s="1" t="str">
        <v>0/10</v>
      </c>
      <c r="AN107" s="80" t="str">
        <v/>
      </c>
      <c r="AO107" s="1" t="str">
        <v/>
      </c>
      <c r="AP107" s="143">
        <v>0</v>
      </c>
      <c r="AQ107" s="1" t="str">
        <v>0/10</v>
      </c>
      <c r="AR107" s="142">
        <v>0</v>
      </c>
      <c r="AS107" s="150">
        <v>0</v>
      </c>
      <c r="AT107" s="142">
        <v>0</v>
      </c>
      <c r="AU107" s="4" t="s">
        <v>96</v>
      </c>
    </row>
    <row r="108" spans="1:47" x14ac:dyDescent="0.2">
      <c r="A108" s="168"/>
      <c r="B108" s="76" t="s">
        <v>134</v>
      </c>
      <c r="C108" s="14" t="str" cm="1">
        <f t="array" ref="C108:M108">_xlfn.LET(
  _xlpm.program_isNT, RIGHT(Athena_BV!B108,5)="_NT.c",
  _xlpm.program_isT,  RIGHT(Athena_BV!B108,4)="_T.c",
  _xlpm.bv_isCorrect, LOWER(Athena_BV!D108)="correct",
  _xlpm.ma_isCorrect, LOWER(Athena_MA!D108)="correct",
  _xlpm.mi_isCorrect, LOWER(Athena_MI!D108)="correct",
  _xlpm.bv_column, IF(_xlpm.program_isNT, Athena_BV!G108, IF(_xlpm.program_isT, Athena_BV!E108, "")),
  _xlpm.ma_column, IF(_xlpm.program_isNT, Athena_MA!G108, IF(_xlpm.program_isT, Athena_MA!E108, "")),
  _xlpm.mi_column, IF(_xlpm.program_isNT, Athena_MI!G108, IF(_xlpm.program_isT, Athena_MI!E108,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Athena_BV!C108:M108,
    Athena_MA!C108:M108,
    Athena_MI!C108:M108
  )
)</f>
        <v>(FSE_Bitvector_Mode_Miscalling_Inherited_Method_1_NT_Loop0_TestCase0, MAYBE, 482)</v>
      </c>
      <c r="D108" s="142" t="str">
        <v>correct</v>
      </c>
      <c r="E108" s="80">
        <v>0</v>
      </c>
      <c r="F108" s="1" t="str">
        <v>0/0</v>
      </c>
      <c r="G108" s="80">
        <v>0</v>
      </c>
      <c r="H108" s="1" t="str">
        <v>0/1</v>
      </c>
      <c r="I108" s="143">
        <v>0</v>
      </c>
      <c r="J108" s="1" t="str">
        <v>0/1</v>
      </c>
      <c r="K108" s="142">
        <v>0</v>
      </c>
      <c r="L108" s="1">
        <v>0</v>
      </c>
      <c r="M108" s="140">
        <v>0</v>
      </c>
      <c r="N108" s="14" t="str" cm="1">
        <f t="array" ref="N108:X108">_xlfn.LET(
  _xlpm.program_isNT, RIGHT(Athena_BV!B108,5)="_NT.c",
  _xlpm.program_isT,  RIGHT(Athena_BV!B108,4)="_T.c",
  _xlpm.bv_isCorrect, LOWER(Athena_BV!O108)="correct",
  _xlpm.ma_isCorrect, LOWER(Athena_MA!O108)="correct",
  _xlpm.mi_isCorrect, LOWER(Athena_MI!O108)="correct",
  _xlpm.bv_column, IF(_xlpm.program_isNT, Athena_BV!R108, IF(_xlpm.program_isT, Athena_BV!P108, "")),
  _xlpm.ma_column, IF(_xlpm.program_isNT, Athena_MA!R108, IF(_xlpm.program_isT, Athena_MA!P108, "")),
  _xlpm.mi_column, IF(_xlpm.program_isNT, Athena_MI!R108, IF(_xlpm.program_isT, Athena_MI!P108,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Athena_BV!N108:X108,
    Athena_MA!N108:X108,
    Athena_MI!N108:X108
  )
)</f>
        <v>(FSE_Bitvector_Mode_Miscalling_Inherited_Method_1_NT_Loop0_TestCase0, MAYBE, 461)</v>
      </c>
      <c r="O108" s="142" t="str">
        <v>correct</v>
      </c>
      <c r="P108" s="80">
        <v>0</v>
      </c>
      <c r="Q108" s="1" t="str">
        <v>0/0</v>
      </c>
      <c r="R108" s="80">
        <v>0</v>
      </c>
      <c r="S108" s="149" t="str">
        <v>0/1</v>
      </c>
      <c r="T108" s="80">
        <v>0</v>
      </c>
      <c r="U108" s="1" t="str">
        <v>0/1</v>
      </c>
      <c r="V108" s="142">
        <v>0</v>
      </c>
      <c r="W108" s="150">
        <v>0</v>
      </c>
      <c r="X108" s="142">
        <v>0</v>
      </c>
      <c r="Y108" s="14" t="str" cm="1">
        <f t="array" ref="Y108:AI108">_xlfn.LET(
  _xlpm.program_isNT, RIGHT(Athena_BV!B108,5)="_NT.c",
  _xlpm.program_isT,  RIGHT(Athena_BV!B108,4)="_T.c",
  _xlpm.bv_isCorrect, LOWER(Athena_BV!Z108)="correct",
  _xlpm.ma_isCorrect, LOWER(Athena_MA!Z108)="correct",
  _xlpm.mi_isCorrect, LOWER(Athena_MI!Z108)="correct",
  _xlpm.bv_column, IF(_xlpm.program_isNT, Athena_BV!AC108, IF(_xlpm.program_isT, Athena_BV!AA108, "")),
  _xlpm.ma_column, IF(_xlpm.program_isNT, Athena_MA!AC108, IF(_xlpm.program_isT, Athena_MA!AA108, "")),
  _xlpm.mi_column, IF(_xlpm.program_isNT, Athena_MI!AC108, IF(_xlpm.program_isT, Athena_MI!AA108,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Athena_BV!Y108:AI108,
    Athena_MA!Y108:AI108,
    Athena_MI!Y108:AI108
  )
)</f>
        <v>(FSE_Bitvector_Mode_Miscalling_Inherited_Method_1_NT_Loop0_TestCase0, MAYBE, 473)</v>
      </c>
      <c r="Z108" s="142" t="str">
        <v>correct</v>
      </c>
      <c r="AA108" s="80">
        <v>0</v>
      </c>
      <c r="AB108" s="1" t="str">
        <v>0/0</v>
      </c>
      <c r="AC108" s="80">
        <v>0</v>
      </c>
      <c r="AD108" s="1" t="str">
        <v>0/1</v>
      </c>
      <c r="AE108" s="143">
        <v>0</v>
      </c>
      <c r="AF108" s="1" t="str">
        <v>0/1</v>
      </c>
      <c r="AG108" s="142">
        <v>0</v>
      </c>
      <c r="AH108" s="150">
        <v>0</v>
      </c>
      <c r="AI108" s="142">
        <v>0</v>
      </c>
      <c r="AJ108" s="14" t="str" cm="1">
        <f t="array" ref="AJ108:AT108">_xlfn.LET(
  _xlpm.program_isNT, RIGHT(Athena_BV!B108,5)="_NT.c",
  _xlpm.program_isT,  RIGHT(Athena_BV!B108,4)="_T.c",
  _xlpm.bv_isCorrect, LOWER(Athena_BV!AK108)="correct",
  _xlpm.ma_isCorrect, LOWER(Athena_MA!AK108)="correct",
  _xlpm.mi_isCorrect, LOWER(Athena_MI!AK108)="correct",
  _xlpm.bv_column, IF(_xlpm.program_isNT, Athena_BV!AN108, IF(_xlpm.program_isT, Athena_BV!AL108, "")),
  _xlpm.ma_column, IF(_xlpm.program_isNT, Athena_MA!AN108, IF(_xlpm.program_isT, Athena_MA!AL108, "")),
  _xlpm.mi_column, IF(_xlpm.program_isNT, Athena_MI!AN108, IF(_xlpm.program_isT, Athena_MI!AL108,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Athena_BV!AJ108:AT108,
    Athena_MA!AJ108:AT108,
    Athena_MI!AJ108:AT108
  )
)</f>
        <v>(FSE_Bitvector_Mode_Miscalling_Inherited_Method_1_NT_Loop0_TestCase0, MAYBE, 490)</v>
      </c>
      <c r="AK108" s="142" t="str">
        <v>correct</v>
      </c>
      <c r="AL108" s="80">
        <v>0</v>
      </c>
      <c r="AM108" s="1" t="str">
        <v>0/0</v>
      </c>
      <c r="AN108" s="80">
        <v>0</v>
      </c>
      <c r="AO108" s="1" t="str">
        <v>0/1</v>
      </c>
      <c r="AP108" s="143">
        <v>0</v>
      </c>
      <c r="AQ108" s="1" t="str">
        <v>0/1</v>
      </c>
      <c r="AR108" s="142">
        <v>0</v>
      </c>
      <c r="AS108" s="150">
        <v>0</v>
      </c>
      <c r="AT108" s="142">
        <v>0</v>
      </c>
      <c r="AU108" s="4" t="s">
        <v>96</v>
      </c>
    </row>
    <row r="109" spans="1:47" x14ac:dyDescent="0.2">
      <c r="A109" s="168"/>
      <c r="B109" s="76" t="s">
        <v>135</v>
      </c>
      <c r="C109" s="14" t="str" cm="1">
        <f t="array" ref="C109:M109">_xlfn.LET(
  _xlpm.program_isNT, RIGHT(Athena_BV!B109,5)="_NT.c",
  _xlpm.program_isT,  RIGHT(Athena_BV!B109,4)="_T.c",
  _xlpm.bv_isCorrect, LOWER(Athena_BV!D109)="correct",
  _xlpm.ma_isCorrect, LOWER(Athena_MA!D109)="correct",
  _xlpm.mi_isCorrect, LOWER(Athena_MI!D109)="correct",
  _xlpm.bv_column, IF(_xlpm.program_isNT, Athena_BV!G109, IF(_xlpm.program_isT, Athena_BV!E109, "")),
  _xlpm.ma_column, IF(_xlpm.program_isNT, Athena_MA!G109, IF(_xlpm.program_isT, Athena_MA!E109, "")),
  _xlpm.mi_column, IF(_xlpm.program_isNT, Athena_MI!G109, IF(_xlpm.program_isT, Athena_MI!E109,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Athena_BV!C109:M109,
    Athena_MA!C109:M109,
    Athena_MI!C109:M109
  )
)</f>
        <v>(FSE_Bitvector_Mode_Miscalling_Inherited_Method_1_T_Loop0_TestCase0, MAYBE, 462)</v>
      </c>
      <c r="D109" s="142" t="str">
        <v>correct</v>
      </c>
      <c r="E109" s="80">
        <v>0</v>
      </c>
      <c r="F109" s="1" t="str">
        <v>0/1</v>
      </c>
      <c r="G109" s="80" t="str">
        <v/>
      </c>
      <c r="H109" s="1" t="str">
        <v/>
      </c>
      <c r="I109" s="143">
        <v>0</v>
      </c>
      <c r="J109" s="1" t="str">
        <v>0/1</v>
      </c>
      <c r="K109" s="142">
        <v>0</v>
      </c>
      <c r="L109" s="1">
        <v>0</v>
      </c>
      <c r="M109" s="140">
        <v>0</v>
      </c>
      <c r="N109" s="14" t="str" cm="1">
        <f t="array" ref="N109:X109">_xlfn.LET(
  _xlpm.program_isNT, RIGHT(Athena_BV!B109,5)="_NT.c",
  _xlpm.program_isT,  RIGHT(Athena_BV!B109,4)="_T.c",
  _xlpm.bv_isCorrect, LOWER(Athena_BV!O109)="correct",
  _xlpm.ma_isCorrect, LOWER(Athena_MA!O109)="correct",
  _xlpm.mi_isCorrect, LOWER(Athena_MI!O109)="correct",
  _xlpm.bv_column, IF(_xlpm.program_isNT, Athena_BV!R109, IF(_xlpm.program_isT, Athena_BV!P109, "")),
  _xlpm.ma_column, IF(_xlpm.program_isNT, Athena_MA!R109, IF(_xlpm.program_isT, Athena_MA!P109, "")),
  _xlpm.mi_column, IF(_xlpm.program_isNT, Athena_MI!R109, IF(_xlpm.program_isT, Athena_MI!P109,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Athena_BV!N109:X109,
    Athena_MA!N109:X109,
    Athena_MI!N109:X109
  )
)</f>
        <v>(FSE_Bitvector_Mode_Miscalling_Inherited_Method_1_T_Loop0_TestCase0, MAYBE, 477)</v>
      </c>
      <c r="O109" s="142" t="str">
        <v>correct</v>
      </c>
      <c r="P109" s="80">
        <v>0</v>
      </c>
      <c r="Q109" s="1" t="str">
        <v>0/1</v>
      </c>
      <c r="R109" s="80" t="str">
        <v/>
      </c>
      <c r="S109" s="149" t="str">
        <v/>
      </c>
      <c r="T109" s="80">
        <v>0</v>
      </c>
      <c r="U109" s="1" t="str">
        <v>0/1</v>
      </c>
      <c r="V109" s="142">
        <v>0</v>
      </c>
      <c r="W109" s="150">
        <v>0</v>
      </c>
      <c r="X109" s="142">
        <v>0</v>
      </c>
      <c r="Y109" s="14" t="str" cm="1">
        <f t="array" ref="Y109:AI109">_xlfn.LET(
  _xlpm.program_isNT, RIGHT(Athena_BV!B109,5)="_NT.c",
  _xlpm.program_isT,  RIGHT(Athena_BV!B109,4)="_T.c",
  _xlpm.bv_isCorrect, LOWER(Athena_BV!Z109)="correct",
  _xlpm.ma_isCorrect, LOWER(Athena_MA!Z109)="correct",
  _xlpm.mi_isCorrect, LOWER(Athena_MI!Z109)="correct",
  _xlpm.bv_column, IF(_xlpm.program_isNT, Athena_BV!AC109, IF(_xlpm.program_isT, Athena_BV!AA109, "")),
  _xlpm.ma_column, IF(_xlpm.program_isNT, Athena_MA!AC109, IF(_xlpm.program_isT, Athena_MA!AA109, "")),
  _xlpm.mi_column, IF(_xlpm.program_isNT, Athena_MI!AC109, IF(_xlpm.program_isT, Athena_MI!AA109,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Athena_BV!Y109:AI109,
    Athena_MA!Y109:AI109,
    Athena_MI!Y109:AI109
  )
)</f>
        <v>(FSE_Bitvector_Mode_Miscalling_Inherited_Method_1_T_Loop0_TestCase0, MAYBE, 704)</v>
      </c>
      <c r="Z109" s="142" t="str">
        <v>correct</v>
      </c>
      <c r="AA109" s="80">
        <v>0</v>
      </c>
      <c r="AB109" s="1" t="str">
        <v>0/1</v>
      </c>
      <c r="AC109" s="80" t="str">
        <v/>
      </c>
      <c r="AD109" s="1" t="str">
        <v/>
      </c>
      <c r="AE109" s="143">
        <v>0</v>
      </c>
      <c r="AF109" s="1" t="str">
        <v>0/1</v>
      </c>
      <c r="AG109" s="142">
        <v>0</v>
      </c>
      <c r="AH109" s="150">
        <v>0</v>
      </c>
      <c r="AI109" s="142">
        <v>0</v>
      </c>
      <c r="AJ109" s="14" t="str" cm="1">
        <f t="array" ref="AJ109:AT109">_xlfn.LET(
  _xlpm.program_isNT, RIGHT(Athena_BV!B109,5)="_NT.c",
  _xlpm.program_isT,  RIGHT(Athena_BV!B109,4)="_T.c",
  _xlpm.bv_isCorrect, LOWER(Athena_BV!AK109)="correct",
  _xlpm.ma_isCorrect, LOWER(Athena_MA!AK109)="correct",
  _xlpm.mi_isCorrect, LOWER(Athena_MI!AK109)="correct",
  _xlpm.bv_column, IF(_xlpm.program_isNT, Athena_BV!AN109, IF(_xlpm.program_isT, Athena_BV!AL109, "")),
  _xlpm.ma_column, IF(_xlpm.program_isNT, Athena_MA!AN109, IF(_xlpm.program_isT, Athena_MA!AL109, "")),
  _xlpm.mi_column, IF(_xlpm.program_isNT, Athena_MI!AN109, IF(_xlpm.program_isT, Athena_MI!AL109,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Athena_BV!AJ109:AT109,
    Athena_MA!AJ109:AT109,
    Athena_MI!AJ109:AT109
  )
)</f>
        <v>(FSE_Bitvector_Mode_Miscalling_Inherited_Method_1_T_Loop0_TestCase0, MAYBE, 472)</v>
      </c>
      <c r="AK109" s="142" t="str">
        <v>correct</v>
      </c>
      <c r="AL109" s="80">
        <v>0</v>
      </c>
      <c r="AM109" s="1" t="str">
        <v>0/1</v>
      </c>
      <c r="AN109" s="80" t="str">
        <v/>
      </c>
      <c r="AO109" s="1" t="str">
        <v/>
      </c>
      <c r="AP109" s="143">
        <v>0</v>
      </c>
      <c r="AQ109" s="1" t="str">
        <v>0/1</v>
      </c>
      <c r="AR109" s="142">
        <v>0</v>
      </c>
      <c r="AS109" s="150">
        <v>0</v>
      </c>
      <c r="AT109" s="142">
        <v>0</v>
      </c>
      <c r="AU109" s="4" t="s">
        <v>96</v>
      </c>
    </row>
    <row r="110" spans="1:47" x14ac:dyDescent="0.2">
      <c r="A110" s="168"/>
      <c r="B110" s="76" t="s">
        <v>60</v>
      </c>
      <c r="C110" s="14" t="str" cm="1">
        <f t="array" ref="C110:M110">_xlfn.LET(
  _xlpm.program_isNT, RIGHT(Athena_BV!B110,5)="_NT.c",
  _xlpm.program_isT,  RIGHT(Athena_BV!B110,4)="_T.c",
  _xlpm.bv_isCorrect, LOWER(Athena_BV!D110)="correct",
  _xlpm.ma_isCorrect, LOWER(Athena_MA!D110)="correct",
  _xlpm.mi_isCorrect, LOWER(Athena_MI!D110)="correct",
  _xlpm.bv_column, IF(_xlpm.program_isNT, Athena_BV!G110, IF(_xlpm.program_isT, Athena_BV!E110, "")),
  _xlpm.ma_column, IF(_xlpm.program_isNT, Athena_MA!G110, IF(_xlpm.program_isT, Athena_MA!E110, "")),
  _xlpm.mi_column, IF(_xlpm.program_isNT, Athena_MI!G110, IF(_xlpm.program_isT, Athena_MI!E110,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Athena_BV!C110:M110,
    Athena_MA!C110:M110,
    Athena_MI!C110:M110
  )
)</f>
        <v>(FSE_Bitvector_Mode_Missing_undef_Instruction_1_NT_Loop0_TestCase0, MAYBE, 1281)</v>
      </c>
      <c r="D110" s="142" t="str">
        <v>correct</v>
      </c>
      <c r="E110" s="80">
        <v>0</v>
      </c>
      <c r="F110" s="1" t="str">
        <v>0/0</v>
      </c>
      <c r="G110" s="80">
        <v>0</v>
      </c>
      <c r="H110" s="1" t="str">
        <v>0/1</v>
      </c>
      <c r="I110" s="143">
        <v>0</v>
      </c>
      <c r="J110" s="1" t="str">
        <v>0/1</v>
      </c>
      <c r="K110" s="142">
        <v>0</v>
      </c>
      <c r="L110" s="1">
        <v>0</v>
      </c>
      <c r="M110" s="140">
        <v>0</v>
      </c>
      <c r="N110" s="14" t="str" cm="1">
        <f t="array" ref="N110:X110">_xlfn.LET(
  _xlpm.program_isNT, RIGHT(Athena_BV!B110,5)="_NT.c",
  _xlpm.program_isT,  RIGHT(Athena_BV!B110,4)="_T.c",
  _xlpm.bv_isCorrect, LOWER(Athena_BV!O110)="correct",
  _xlpm.ma_isCorrect, LOWER(Athena_MA!O110)="correct",
  _xlpm.mi_isCorrect, LOWER(Athena_MI!O110)="correct",
  _xlpm.bv_column, IF(_xlpm.program_isNT, Athena_BV!R110, IF(_xlpm.program_isT, Athena_BV!P110, "")),
  _xlpm.ma_column, IF(_xlpm.program_isNT, Athena_MA!R110, IF(_xlpm.program_isT, Athena_MA!P110, "")),
  _xlpm.mi_column, IF(_xlpm.program_isNT, Athena_MI!R110, IF(_xlpm.program_isT, Athena_MI!P110,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Athena_BV!N110:X110,
    Athena_MA!N110:X110,
    Athena_MI!N110:X110
  )
)</f>
        <v>(FSE_Bitvector_Mode_Missing_undef_Instruction_1_NT_Loop0_TestCase0, MAYBE, 1350)</v>
      </c>
      <c r="O110" s="142" t="str">
        <v>correct</v>
      </c>
      <c r="P110" s="80">
        <v>0</v>
      </c>
      <c r="Q110" s="1" t="str">
        <v>0/0</v>
      </c>
      <c r="R110" s="80">
        <v>0</v>
      </c>
      <c r="S110" s="149" t="str">
        <v>0/1</v>
      </c>
      <c r="T110" s="80">
        <v>0</v>
      </c>
      <c r="U110" s="1" t="str">
        <v>0/1</v>
      </c>
      <c r="V110" s="142">
        <v>0</v>
      </c>
      <c r="W110" s="150">
        <v>0</v>
      </c>
      <c r="X110" s="142">
        <v>0</v>
      </c>
      <c r="Y110" s="14" t="str" cm="1">
        <f t="array" ref="Y110:AI110">_xlfn.LET(
  _xlpm.program_isNT, RIGHT(Athena_BV!B110,5)="_NT.c",
  _xlpm.program_isT,  RIGHT(Athena_BV!B110,4)="_T.c",
  _xlpm.bv_isCorrect, LOWER(Athena_BV!Z110)="correct",
  _xlpm.ma_isCorrect, LOWER(Athena_MA!Z110)="correct",
  _xlpm.mi_isCorrect, LOWER(Athena_MI!Z110)="correct",
  _xlpm.bv_column, IF(_xlpm.program_isNT, Athena_BV!AC110, IF(_xlpm.program_isT, Athena_BV!AA110, "")),
  _xlpm.ma_column, IF(_xlpm.program_isNT, Athena_MA!AC110, IF(_xlpm.program_isT, Athena_MA!AA110, "")),
  _xlpm.mi_column, IF(_xlpm.program_isNT, Athena_MI!AC110, IF(_xlpm.program_isT, Athena_MI!AA110,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Athena_BV!Y110:AI110,
    Athena_MA!Y110:AI110,
    Athena_MI!Y110:AI110
  )
)</f>
        <v>(FSE_Bitvector_Mode_Missing_undef_Instruction_1_NT_Loop0_TestCase0, MAYBE, 1299)</v>
      </c>
      <c r="Z110" s="142" t="str">
        <v>correct</v>
      </c>
      <c r="AA110" s="80">
        <v>0</v>
      </c>
      <c r="AB110" s="1" t="str">
        <v>0/0</v>
      </c>
      <c r="AC110" s="80">
        <v>0</v>
      </c>
      <c r="AD110" s="1" t="str">
        <v>0/1</v>
      </c>
      <c r="AE110" s="143">
        <v>0</v>
      </c>
      <c r="AF110" s="1" t="str">
        <v>0/1</v>
      </c>
      <c r="AG110" s="142">
        <v>0</v>
      </c>
      <c r="AH110" s="150">
        <v>0</v>
      </c>
      <c r="AI110" s="142">
        <v>0</v>
      </c>
      <c r="AJ110" s="14" t="str" cm="1">
        <f t="array" ref="AJ110:AT110">_xlfn.LET(
  _xlpm.program_isNT, RIGHT(Athena_BV!B110,5)="_NT.c",
  _xlpm.program_isT,  RIGHT(Athena_BV!B110,4)="_T.c",
  _xlpm.bv_isCorrect, LOWER(Athena_BV!AK110)="correct",
  _xlpm.ma_isCorrect, LOWER(Athena_MA!AK110)="correct",
  _xlpm.mi_isCorrect, LOWER(Athena_MI!AK110)="correct",
  _xlpm.bv_column, IF(_xlpm.program_isNT, Athena_BV!AN110, IF(_xlpm.program_isT, Athena_BV!AL110, "")),
  _xlpm.ma_column, IF(_xlpm.program_isNT, Athena_MA!AN110, IF(_xlpm.program_isT, Athena_MA!AL110, "")),
  _xlpm.mi_column, IF(_xlpm.program_isNT, Athena_MI!AN110, IF(_xlpm.program_isT, Athena_MI!AL110,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Athena_BV!AJ110:AT110,
    Athena_MA!AJ110:AT110,
    Athena_MI!AJ110:AT110
  )
)</f>
        <v>(FSE_Bitvector_Mode_Missing_undef_Instruction_1_NT_Loop0_TestCase0, MAYBE, 1480)</v>
      </c>
      <c r="AK110" s="142" t="str">
        <v>correct</v>
      </c>
      <c r="AL110" s="80">
        <v>0</v>
      </c>
      <c r="AM110" s="1" t="str">
        <v>0/0</v>
      </c>
      <c r="AN110" s="80">
        <v>0</v>
      </c>
      <c r="AO110" s="1" t="str">
        <v>0/1</v>
      </c>
      <c r="AP110" s="143">
        <v>0</v>
      </c>
      <c r="AQ110" s="1" t="str">
        <v>0/1</v>
      </c>
      <c r="AR110" s="142">
        <v>0</v>
      </c>
      <c r="AS110" s="150">
        <v>0</v>
      </c>
      <c r="AT110" s="142">
        <v>0</v>
      </c>
      <c r="AU110" s="4" t="s">
        <v>96</v>
      </c>
    </row>
    <row r="111" spans="1:47" x14ac:dyDescent="0.2">
      <c r="A111" s="168"/>
      <c r="B111" s="76" t="s">
        <v>61</v>
      </c>
      <c r="C111" s="14" t="str" cm="1">
        <f t="array" ref="C111:M111">_xlfn.LET(
  _xlpm.program_isNT, RIGHT(Athena_BV!B111,5)="_NT.c",
  _xlpm.program_isT,  RIGHT(Athena_BV!B111,4)="_T.c",
  _xlpm.bv_isCorrect, LOWER(Athena_BV!D111)="correct",
  _xlpm.ma_isCorrect, LOWER(Athena_MA!D111)="correct",
  _xlpm.mi_isCorrect, LOWER(Athena_MI!D111)="correct",
  _xlpm.bv_column, IF(_xlpm.program_isNT, Athena_BV!G111, IF(_xlpm.program_isT, Athena_BV!E111, "")),
  _xlpm.ma_column, IF(_xlpm.program_isNT, Athena_MA!G111, IF(_xlpm.program_isT, Athena_MA!E111, "")),
  _xlpm.mi_column, IF(_xlpm.program_isNT, Athena_MI!G111, IF(_xlpm.program_isT, Athena_MI!E111,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Athena_BV!C111:M111,
    Athena_MA!C111:M111,
    Athena_MI!C111:M111
  )
)</f>
        <v>(FSE_Bitvector_Mode_Missing_undef_Instruction_1_T_Loop0_TestCase0, MAYBE, 1337)</v>
      </c>
      <c r="D111" s="142" t="str">
        <v>correct</v>
      </c>
      <c r="E111" s="80">
        <v>0</v>
      </c>
      <c r="F111" s="1" t="str">
        <v>0/1</v>
      </c>
      <c r="G111" s="80" t="str">
        <v/>
      </c>
      <c r="H111" s="1" t="str">
        <v/>
      </c>
      <c r="I111" s="143">
        <v>0</v>
      </c>
      <c r="J111" s="1" t="str">
        <v>0/1</v>
      </c>
      <c r="K111" s="142">
        <v>0</v>
      </c>
      <c r="L111" s="1">
        <v>0</v>
      </c>
      <c r="M111" s="140">
        <v>0</v>
      </c>
      <c r="N111" s="14" t="str" cm="1">
        <f t="array" ref="N111:X111">_xlfn.LET(
  _xlpm.program_isNT, RIGHT(Athena_BV!B111,5)="_NT.c",
  _xlpm.program_isT,  RIGHT(Athena_BV!B111,4)="_T.c",
  _xlpm.bv_isCorrect, LOWER(Athena_BV!O111)="correct",
  _xlpm.ma_isCorrect, LOWER(Athena_MA!O111)="correct",
  _xlpm.mi_isCorrect, LOWER(Athena_MI!O111)="correct",
  _xlpm.bv_column, IF(_xlpm.program_isNT, Athena_BV!R111, IF(_xlpm.program_isT, Athena_BV!P111, "")),
  _xlpm.ma_column, IF(_xlpm.program_isNT, Athena_MA!R111, IF(_xlpm.program_isT, Athena_MA!P111, "")),
  _xlpm.mi_column, IF(_xlpm.program_isNT, Athena_MI!R111, IF(_xlpm.program_isT, Athena_MI!P111,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Athena_BV!N111:X111,
    Athena_MA!N111:X111,
    Athena_MI!N111:X111
  )
)</f>
        <v>(FSE_Bitvector_Mode_Missing_undef_Instruction_1_T_Loop0_TestCase0, MAYBE, 1335)</v>
      </c>
      <c r="O111" s="142" t="str">
        <v>correct</v>
      </c>
      <c r="P111" s="80">
        <v>0</v>
      </c>
      <c r="Q111" s="1" t="str">
        <v>0/1</v>
      </c>
      <c r="R111" s="80" t="str">
        <v/>
      </c>
      <c r="S111" s="149" t="str">
        <v/>
      </c>
      <c r="T111" s="80">
        <v>0</v>
      </c>
      <c r="U111" s="1" t="str">
        <v>0/1</v>
      </c>
      <c r="V111" s="142">
        <v>0</v>
      </c>
      <c r="W111" s="150">
        <v>0</v>
      </c>
      <c r="X111" s="142">
        <v>0</v>
      </c>
      <c r="Y111" s="14" t="str" cm="1">
        <f t="array" ref="Y111:AI111">_xlfn.LET(
  _xlpm.program_isNT, RIGHT(Athena_BV!B111,5)="_NT.c",
  _xlpm.program_isT,  RIGHT(Athena_BV!B111,4)="_T.c",
  _xlpm.bv_isCorrect, LOWER(Athena_BV!Z111)="correct",
  _xlpm.ma_isCorrect, LOWER(Athena_MA!Z111)="correct",
  _xlpm.mi_isCorrect, LOWER(Athena_MI!Z111)="correct",
  _xlpm.bv_column, IF(_xlpm.program_isNT, Athena_BV!AC111, IF(_xlpm.program_isT, Athena_BV!AA111, "")),
  _xlpm.ma_column, IF(_xlpm.program_isNT, Athena_MA!AC111, IF(_xlpm.program_isT, Athena_MA!AA111, "")),
  _xlpm.mi_column, IF(_xlpm.program_isNT, Athena_MI!AC111, IF(_xlpm.program_isT, Athena_MI!AA111,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Athena_BV!Y111:AI111,
    Athena_MA!Y111:AI111,
    Athena_MI!Y111:AI111
  )
)</f>
        <v>(FSE_Bitvector_Mode_Missing_undef_Instruction_1_T_Loop0_TestCase0, MAYBE, 1263)</v>
      </c>
      <c r="Z111" s="142" t="str">
        <v>correct</v>
      </c>
      <c r="AA111" s="80">
        <v>0</v>
      </c>
      <c r="AB111" s="1" t="str">
        <v>0/1</v>
      </c>
      <c r="AC111" s="80" t="str">
        <v/>
      </c>
      <c r="AD111" s="1" t="str">
        <v/>
      </c>
      <c r="AE111" s="143">
        <v>0</v>
      </c>
      <c r="AF111" s="1" t="str">
        <v>0/1</v>
      </c>
      <c r="AG111" s="142">
        <v>0</v>
      </c>
      <c r="AH111" s="150">
        <v>0</v>
      </c>
      <c r="AI111" s="142">
        <v>0</v>
      </c>
      <c r="AJ111" s="14" t="str" cm="1">
        <f t="array" ref="AJ111:AT111">_xlfn.LET(
  _xlpm.program_isNT, RIGHT(Athena_BV!B111,5)="_NT.c",
  _xlpm.program_isT,  RIGHT(Athena_BV!B111,4)="_T.c",
  _xlpm.bv_isCorrect, LOWER(Athena_BV!AK111)="correct",
  _xlpm.ma_isCorrect, LOWER(Athena_MA!AK111)="correct",
  _xlpm.mi_isCorrect, LOWER(Athena_MI!AK111)="correct",
  _xlpm.bv_column, IF(_xlpm.program_isNT, Athena_BV!AN111, IF(_xlpm.program_isT, Athena_BV!AL111, "")),
  _xlpm.ma_column, IF(_xlpm.program_isNT, Athena_MA!AN111, IF(_xlpm.program_isT, Athena_MA!AL111, "")),
  _xlpm.mi_column, IF(_xlpm.program_isNT, Athena_MI!AN111, IF(_xlpm.program_isT, Athena_MI!AL111,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Athena_BV!AJ111:AT111,
    Athena_MA!AJ111:AT111,
    Athena_MI!AJ111:AT111
  )
)</f>
        <v>(FSE_Bitvector_Mode_Missing_undef_Instruction_1_T_Loop0_TestCase0, MAYBE, 1294)</v>
      </c>
      <c r="AK111" s="142" t="str">
        <v>correct</v>
      </c>
      <c r="AL111" s="80">
        <v>0</v>
      </c>
      <c r="AM111" s="1" t="str">
        <v>0/1</v>
      </c>
      <c r="AN111" s="80" t="str">
        <v/>
      </c>
      <c r="AO111" s="1" t="str">
        <v/>
      </c>
      <c r="AP111" s="143">
        <v>0</v>
      </c>
      <c r="AQ111" s="1" t="str">
        <v>0/1</v>
      </c>
      <c r="AR111" s="142">
        <v>0</v>
      </c>
      <c r="AS111" s="150">
        <v>0</v>
      </c>
      <c r="AT111" s="142">
        <v>0</v>
      </c>
      <c r="AU111" s="4" t="s">
        <v>96</v>
      </c>
    </row>
    <row r="112" spans="1:47" x14ac:dyDescent="0.2">
      <c r="A112" s="168"/>
      <c r="B112" s="76" t="s">
        <v>136</v>
      </c>
      <c r="C112" s="14" t="str" cm="1">
        <f t="array" ref="C112:M112">_xlfn.LET(
  _xlpm.program_isNT, RIGHT(Athena_BV!B112,5)="_NT.c",
  _xlpm.program_isT,  RIGHT(Athena_BV!B112,4)="_T.c",
  _xlpm.bv_isCorrect, LOWER(Athena_BV!D112)="correct",
  _xlpm.ma_isCorrect, LOWER(Athena_MA!D112)="correct",
  _xlpm.mi_isCorrect, LOWER(Athena_MI!D112)="correct",
  _xlpm.bv_column, IF(_xlpm.program_isNT, Athena_BV!G112, IF(_xlpm.program_isT, Athena_BV!E112, "")),
  _xlpm.ma_column, IF(_xlpm.program_isNT, Athena_MA!G112, IF(_xlpm.program_isT, Athena_MA!E112, "")),
  _xlpm.mi_column, IF(_xlpm.program_isNT, Athena_MI!G112, IF(_xlpm.program_isT, Athena_MI!E112,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Athena_BV!C112:M112,
    Athena_MA!C112:M112,
    Athena_MI!C112:M112
  )
)</f>
        <v>(FSE_Bitvector_Mode_Misusing_Method_Overloading_1_NT_Loop0_TestCase0, MAYBE, 475)</v>
      </c>
      <c r="D112" s="142" t="str">
        <v>correct</v>
      </c>
      <c r="E112" s="80">
        <v>0</v>
      </c>
      <c r="F112" s="1" t="str">
        <v>0/0</v>
      </c>
      <c r="G112" s="80">
        <v>0</v>
      </c>
      <c r="H112" s="1" t="str">
        <v>0/1</v>
      </c>
      <c r="I112" s="143">
        <v>0</v>
      </c>
      <c r="J112" s="1" t="str">
        <v>0/1</v>
      </c>
      <c r="K112" s="142">
        <v>0</v>
      </c>
      <c r="L112" s="1">
        <v>0</v>
      </c>
      <c r="M112" s="140">
        <v>0</v>
      </c>
      <c r="N112" s="14" t="str" cm="1">
        <f t="array" ref="N112:X112">_xlfn.LET(
  _xlpm.program_isNT, RIGHT(Athena_BV!B112,5)="_NT.c",
  _xlpm.program_isT,  RIGHT(Athena_BV!B112,4)="_T.c",
  _xlpm.bv_isCorrect, LOWER(Athena_BV!O112)="correct",
  _xlpm.ma_isCorrect, LOWER(Athena_MA!O112)="correct",
  _xlpm.mi_isCorrect, LOWER(Athena_MI!O112)="correct",
  _xlpm.bv_column, IF(_xlpm.program_isNT, Athena_BV!R112, IF(_xlpm.program_isT, Athena_BV!P112, "")),
  _xlpm.ma_column, IF(_xlpm.program_isNT, Athena_MA!R112, IF(_xlpm.program_isT, Athena_MA!P112, "")),
  _xlpm.mi_column, IF(_xlpm.program_isNT, Athena_MI!R112, IF(_xlpm.program_isT, Athena_MI!P112,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Athena_BV!N112:X112,
    Athena_MA!N112:X112,
    Athena_MI!N112:X112
  )
)</f>
        <v>(FSE_Bitvector_Mode_Misusing_Method_Overloading_1_NT_Loop0_TestCase0, MAYBE, 487)</v>
      </c>
      <c r="O112" s="142" t="str">
        <v>correct</v>
      </c>
      <c r="P112" s="80">
        <v>0</v>
      </c>
      <c r="Q112" s="1" t="str">
        <v>0/0</v>
      </c>
      <c r="R112" s="80">
        <v>0</v>
      </c>
      <c r="S112" s="149" t="str">
        <v>0/1</v>
      </c>
      <c r="T112" s="80">
        <v>0</v>
      </c>
      <c r="U112" s="1" t="str">
        <v>0/1</v>
      </c>
      <c r="V112" s="142">
        <v>0</v>
      </c>
      <c r="W112" s="150">
        <v>0</v>
      </c>
      <c r="X112" s="142">
        <v>0</v>
      </c>
      <c r="Y112" s="14" t="str" cm="1">
        <f t="array" ref="Y112:AI112">_xlfn.LET(
  _xlpm.program_isNT, RIGHT(Athena_BV!B112,5)="_NT.c",
  _xlpm.program_isT,  RIGHT(Athena_BV!B112,4)="_T.c",
  _xlpm.bv_isCorrect, LOWER(Athena_BV!Z112)="correct",
  _xlpm.ma_isCorrect, LOWER(Athena_MA!Z112)="correct",
  _xlpm.mi_isCorrect, LOWER(Athena_MI!Z112)="correct",
  _xlpm.bv_column, IF(_xlpm.program_isNT, Athena_BV!AC112, IF(_xlpm.program_isT, Athena_BV!AA112, "")),
  _xlpm.ma_column, IF(_xlpm.program_isNT, Athena_MA!AC112, IF(_xlpm.program_isT, Athena_MA!AA112, "")),
  _xlpm.mi_column, IF(_xlpm.program_isNT, Athena_MI!AC112, IF(_xlpm.program_isT, Athena_MI!AA112,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Athena_BV!Y112:AI112,
    Athena_MA!Y112:AI112,
    Athena_MI!Y112:AI112
  )
)</f>
        <v>(FSE_Bitvector_Mode_Misusing_Method_Overloading_1_NT_Loop0_TestCase0, MAYBE, 478)</v>
      </c>
      <c r="Z112" s="142" t="str">
        <v>correct</v>
      </c>
      <c r="AA112" s="80">
        <v>0</v>
      </c>
      <c r="AB112" s="1" t="str">
        <v>0/0</v>
      </c>
      <c r="AC112" s="80">
        <v>0</v>
      </c>
      <c r="AD112" s="1" t="str">
        <v>0/1</v>
      </c>
      <c r="AE112" s="143">
        <v>0</v>
      </c>
      <c r="AF112" s="1" t="str">
        <v>0/1</v>
      </c>
      <c r="AG112" s="142">
        <v>0</v>
      </c>
      <c r="AH112" s="150">
        <v>0</v>
      </c>
      <c r="AI112" s="142">
        <v>0</v>
      </c>
      <c r="AJ112" s="14" t="str" cm="1">
        <f t="array" ref="AJ112:AT112">_xlfn.LET(
  _xlpm.program_isNT, RIGHT(Athena_BV!B112,5)="_NT.c",
  _xlpm.program_isT,  RIGHT(Athena_BV!B112,4)="_T.c",
  _xlpm.bv_isCorrect, LOWER(Athena_BV!AK112)="correct",
  _xlpm.ma_isCorrect, LOWER(Athena_MA!AK112)="correct",
  _xlpm.mi_isCorrect, LOWER(Athena_MI!AK112)="correct",
  _xlpm.bv_column, IF(_xlpm.program_isNT, Athena_BV!AN112, IF(_xlpm.program_isT, Athena_BV!AL112, "")),
  _xlpm.ma_column, IF(_xlpm.program_isNT, Athena_MA!AN112, IF(_xlpm.program_isT, Athena_MA!AL112, "")),
  _xlpm.mi_column, IF(_xlpm.program_isNT, Athena_MI!AN112, IF(_xlpm.program_isT, Athena_MI!AL112,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Athena_BV!AJ112:AT112,
    Athena_MA!AJ112:AT112,
    Athena_MI!AJ112:AT112
  )
)</f>
        <v>(FSE_Bitvector_Mode_Misusing_Method_Overloading_1_NT_Loop0_TestCase0, MAYBE, 478)</v>
      </c>
      <c r="AK112" s="142" t="str">
        <v>correct</v>
      </c>
      <c r="AL112" s="80">
        <v>0</v>
      </c>
      <c r="AM112" s="1" t="str">
        <v>0/0</v>
      </c>
      <c r="AN112" s="80">
        <v>0</v>
      </c>
      <c r="AO112" s="1" t="str">
        <v>0/1</v>
      </c>
      <c r="AP112" s="143">
        <v>0</v>
      </c>
      <c r="AQ112" s="1" t="str">
        <v>0/1</v>
      </c>
      <c r="AR112" s="142">
        <v>0</v>
      </c>
      <c r="AS112" s="150">
        <v>0</v>
      </c>
      <c r="AT112" s="142">
        <v>0</v>
      </c>
      <c r="AU112" s="4" t="s">
        <v>96</v>
      </c>
    </row>
    <row r="113" spans="1:47" x14ac:dyDescent="0.2">
      <c r="A113" s="168"/>
      <c r="B113" s="76" t="s">
        <v>137</v>
      </c>
      <c r="C113" s="14" t="str" cm="1">
        <f t="array" ref="C113:M113">_xlfn.LET(
  _xlpm.program_isNT, RIGHT(Athena_BV!B113,5)="_NT.c",
  _xlpm.program_isT,  RIGHT(Athena_BV!B113,4)="_T.c",
  _xlpm.bv_isCorrect, LOWER(Athena_BV!D113)="correct",
  _xlpm.ma_isCorrect, LOWER(Athena_MA!D113)="correct",
  _xlpm.mi_isCorrect, LOWER(Athena_MI!D113)="correct",
  _xlpm.bv_column, IF(_xlpm.program_isNT, Athena_BV!G113, IF(_xlpm.program_isT, Athena_BV!E113, "")),
  _xlpm.ma_column, IF(_xlpm.program_isNT, Athena_MA!G113, IF(_xlpm.program_isT, Athena_MA!E113, "")),
  _xlpm.mi_column, IF(_xlpm.program_isNT, Athena_MI!G113, IF(_xlpm.program_isT, Athena_MI!E113,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Athena_BV!C113:M113,
    Athena_MA!C113:M113,
    Athena_MI!C113:M113
  )
)</f>
        <v>(FSE_Bitvector_Mode_Misusing_Method_Overloading_1_T_Loop0_TestCase0, MAYBE, 465)</v>
      </c>
      <c r="D113" s="142" t="str">
        <v>correct</v>
      </c>
      <c r="E113" s="80">
        <v>0</v>
      </c>
      <c r="F113" s="1" t="str">
        <v>0/1</v>
      </c>
      <c r="G113" s="80" t="str">
        <v/>
      </c>
      <c r="H113" s="1" t="str">
        <v/>
      </c>
      <c r="I113" s="143">
        <v>0</v>
      </c>
      <c r="J113" s="1" t="str">
        <v>0/1</v>
      </c>
      <c r="K113" s="142">
        <v>0</v>
      </c>
      <c r="L113" s="1">
        <v>0</v>
      </c>
      <c r="M113" s="140">
        <v>0</v>
      </c>
      <c r="N113" s="14" t="str" cm="1">
        <f t="array" ref="N113:X113">_xlfn.LET(
  _xlpm.program_isNT, RIGHT(Athena_BV!B113,5)="_NT.c",
  _xlpm.program_isT,  RIGHT(Athena_BV!B113,4)="_T.c",
  _xlpm.bv_isCorrect, LOWER(Athena_BV!O113)="correct",
  _xlpm.ma_isCorrect, LOWER(Athena_MA!O113)="correct",
  _xlpm.mi_isCorrect, LOWER(Athena_MI!O113)="correct",
  _xlpm.bv_column, IF(_xlpm.program_isNT, Athena_BV!R113, IF(_xlpm.program_isT, Athena_BV!P113, "")),
  _xlpm.ma_column, IF(_xlpm.program_isNT, Athena_MA!R113, IF(_xlpm.program_isT, Athena_MA!P113, "")),
  _xlpm.mi_column, IF(_xlpm.program_isNT, Athena_MI!R113, IF(_xlpm.program_isT, Athena_MI!P113,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Athena_BV!N113:X113,
    Athena_MA!N113:X113,
    Athena_MI!N113:X113
  )
)</f>
        <v>(FSE_Bitvector_Mode_Misusing_Method_Overloading_1_T_Loop0_TestCase0, MAYBE, 473)</v>
      </c>
      <c r="O113" s="142" t="str">
        <v>correct</v>
      </c>
      <c r="P113" s="80">
        <v>0</v>
      </c>
      <c r="Q113" s="1" t="str">
        <v>0/1</v>
      </c>
      <c r="R113" s="80" t="str">
        <v/>
      </c>
      <c r="S113" s="149" t="str">
        <v/>
      </c>
      <c r="T113" s="80">
        <v>0</v>
      </c>
      <c r="U113" s="1" t="str">
        <v>0/1</v>
      </c>
      <c r="V113" s="142">
        <v>0</v>
      </c>
      <c r="W113" s="150">
        <v>0</v>
      </c>
      <c r="X113" s="142">
        <v>0</v>
      </c>
      <c r="Y113" s="14" t="str" cm="1">
        <f t="array" ref="Y113:AI113">_xlfn.LET(
  _xlpm.program_isNT, RIGHT(Athena_BV!B113,5)="_NT.c",
  _xlpm.program_isT,  RIGHT(Athena_BV!B113,4)="_T.c",
  _xlpm.bv_isCorrect, LOWER(Athena_BV!Z113)="correct",
  _xlpm.ma_isCorrect, LOWER(Athena_MA!Z113)="correct",
  _xlpm.mi_isCorrect, LOWER(Athena_MI!Z113)="correct",
  _xlpm.bv_column, IF(_xlpm.program_isNT, Athena_BV!AC113, IF(_xlpm.program_isT, Athena_BV!AA113, "")),
  _xlpm.ma_column, IF(_xlpm.program_isNT, Athena_MA!AC113, IF(_xlpm.program_isT, Athena_MA!AA113, "")),
  _xlpm.mi_column, IF(_xlpm.program_isNT, Athena_MI!AC113, IF(_xlpm.program_isT, Athena_MI!AA113,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Athena_BV!Y113:AI113,
    Athena_MA!Y113:AI113,
    Athena_MI!Y113:AI113
  )
)</f>
        <v>(FSE_Bitvector_Mode_Misusing_Method_Overloading_1_T_Loop0_TestCase0, MAYBE, 482)</v>
      </c>
      <c r="Z113" s="142" t="str">
        <v>correct</v>
      </c>
      <c r="AA113" s="80">
        <v>0</v>
      </c>
      <c r="AB113" s="1" t="str">
        <v>0/1</v>
      </c>
      <c r="AC113" s="80" t="str">
        <v/>
      </c>
      <c r="AD113" s="1" t="str">
        <v/>
      </c>
      <c r="AE113" s="143">
        <v>0</v>
      </c>
      <c r="AF113" s="1" t="str">
        <v>0/1</v>
      </c>
      <c r="AG113" s="142">
        <v>0</v>
      </c>
      <c r="AH113" s="150">
        <v>0</v>
      </c>
      <c r="AI113" s="142">
        <v>0</v>
      </c>
      <c r="AJ113" s="14" t="str" cm="1">
        <f t="array" ref="AJ113:AT113">_xlfn.LET(
  _xlpm.program_isNT, RIGHT(Athena_BV!B113,5)="_NT.c",
  _xlpm.program_isT,  RIGHT(Athena_BV!B113,4)="_T.c",
  _xlpm.bv_isCorrect, LOWER(Athena_BV!AK113)="correct",
  _xlpm.ma_isCorrect, LOWER(Athena_MA!AK113)="correct",
  _xlpm.mi_isCorrect, LOWER(Athena_MI!AK113)="correct",
  _xlpm.bv_column, IF(_xlpm.program_isNT, Athena_BV!AN113, IF(_xlpm.program_isT, Athena_BV!AL113, "")),
  _xlpm.ma_column, IF(_xlpm.program_isNT, Athena_MA!AN113, IF(_xlpm.program_isT, Athena_MA!AL113, "")),
  _xlpm.mi_column, IF(_xlpm.program_isNT, Athena_MI!AN113, IF(_xlpm.program_isT, Athena_MI!AL113,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Athena_BV!AJ113:AT113,
    Athena_MA!AJ113:AT113,
    Athena_MI!AJ113:AT113
  )
)</f>
        <v>(FSE_Bitvector_Mode_Misusing_Method_Overloading_1_T_Loop0_TestCase0, MAYBE, 469)</v>
      </c>
      <c r="AK113" s="142" t="str">
        <v>correct</v>
      </c>
      <c r="AL113" s="80">
        <v>0</v>
      </c>
      <c r="AM113" s="1" t="str">
        <v>0/1</v>
      </c>
      <c r="AN113" s="80" t="str">
        <v/>
      </c>
      <c r="AO113" s="1" t="str">
        <v/>
      </c>
      <c r="AP113" s="143">
        <v>0</v>
      </c>
      <c r="AQ113" s="1" t="str">
        <v>0/1</v>
      </c>
      <c r="AR113" s="142">
        <v>0</v>
      </c>
      <c r="AS113" s="150">
        <v>0</v>
      </c>
      <c r="AT113" s="142">
        <v>0</v>
      </c>
      <c r="AU113" s="4" t="s">
        <v>96</v>
      </c>
    </row>
    <row r="114" spans="1:47" x14ac:dyDescent="0.2">
      <c r="A114" s="168"/>
      <c r="B114" s="76" t="s">
        <v>138</v>
      </c>
      <c r="C114" s="14" t="str" cm="1">
        <f t="array" ref="C114:M114">_xlfn.LET(
  _xlpm.program_isNT, RIGHT(Athena_BV!B114,5)="_NT.c",
  _xlpm.program_isT,  RIGHT(Athena_BV!B114,4)="_T.c",
  _xlpm.bv_isCorrect, LOWER(Athena_BV!D114)="correct",
  _xlpm.ma_isCorrect, LOWER(Athena_MA!D114)="correct",
  _xlpm.mi_isCorrect, LOWER(Athena_MI!D114)="correct",
  _xlpm.bv_column, IF(_xlpm.program_isNT, Athena_BV!G114, IF(_xlpm.program_isT, Athena_BV!E114, "")),
  _xlpm.ma_column, IF(_xlpm.program_isNT, Athena_MA!G114, IF(_xlpm.program_isT, Athena_MA!E114, "")),
  _xlpm.mi_column, IF(_xlpm.program_isNT, Athena_MI!G114, IF(_xlpm.program_isT, Athena_MI!E114,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Athena_BV!C114:M114,
    Athena_MA!C114:M114,
    Athena_MI!C114:M114
  )
)</f>
        <v>(FSE_Bitvector_Mode_Misusing_Method_Overloading_2_NT_Loop0_TestCase0, MAYBE, 468)</v>
      </c>
      <c r="D114" s="142" t="str">
        <v>correct</v>
      </c>
      <c r="E114" s="80">
        <v>0</v>
      </c>
      <c r="F114" s="1" t="str">
        <v>0/0</v>
      </c>
      <c r="G114" s="80">
        <v>0</v>
      </c>
      <c r="H114" s="1" t="str">
        <v>0/1</v>
      </c>
      <c r="I114" s="143">
        <v>0</v>
      </c>
      <c r="J114" s="1" t="str">
        <v>0/1</v>
      </c>
      <c r="K114" s="142">
        <v>0</v>
      </c>
      <c r="L114" s="1">
        <v>0</v>
      </c>
      <c r="M114" s="140">
        <v>0</v>
      </c>
      <c r="N114" s="14" t="str" cm="1">
        <f t="array" ref="N114:X114">_xlfn.LET(
  _xlpm.program_isNT, RIGHT(Athena_BV!B114,5)="_NT.c",
  _xlpm.program_isT,  RIGHT(Athena_BV!B114,4)="_T.c",
  _xlpm.bv_isCorrect, LOWER(Athena_BV!O114)="correct",
  _xlpm.ma_isCorrect, LOWER(Athena_MA!O114)="correct",
  _xlpm.mi_isCorrect, LOWER(Athena_MI!O114)="correct",
  _xlpm.bv_column, IF(_xlpm.program_isNT, Athena_BV!R114, IF(_xlpm.program_isT, Athena_BV!P114, "")),
  _xlpm.ma_column, IF(_xlpm.program_isNT, Athena_MA!R114, IF(_xlpm.program_isT, Athena_MA!P114, "")),
  _xlpm.mi_column, IF(_xlpm.program_isNT, Athena_MI!R114, IF(_xlpm.program_isT, Athena_MI!P114,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Athena_BV!N114:X114,
    Athena_MA!N114:X114,
    Athena_MI!N114:X114
  )
)</f>
        <v>(FSE_Bitvector_Mode_Misusing_Method_Overloading_2_NT_Loop0_TestCase0, MAYBE, 474)</v>
      </c>
      <c r="O114" s="142" t="str">
        <v>correct</v>
      </c>
      <c r="P114" s="80">
        <v>0</v>
      </c>
      <c r="Q114" s="1" t="str">
        <v>0/0</v>
      </c>
      <c r="R114" s="80">
        <v>0</v>
      </c>
      <c r="S114" s="149" t="str">
        <v>0/1</v>
      </c>
      <c r="T114" s="80">
        <v>0</v>
      </c>
      <c r="U114" s="1" t="str">
        <v>0/1</v>
      </c>
      <c r="V114" s="142">
        <v>0</v>
      </c>
      <c r="W114" s="150">
        <v>0</v>
      </c>
      <c r="X114" s="142">
        <v>0</v>
      </c>
      <c r="Y114" s="14" t="str" cm="1">
        <f t="array" ref="Y114:AI114">_xlfn.LET(
  _xlpm.program_isNT, RIGHT(Athena_BV!B114,5)="_NT.c",
  _xlpm.program_isT,  RIGHT(Athena_BV!B114,4)="_T.c",
  _xlpm.bv_isCorrect, LOWER(Athena_BV!Z114)="correct",
  _xlpm.ma_isCorrect, LOWER(Athena_MA!Z114)="correct",
  _xlpm.mi_isCorrect, LOWER(Athena_MI!Z114)="correct",
  _xlpm.bv_column, IF(_xlpm.program_isNT, Athena_BV!AC114, IF(_xlpm.program_isT, Athena_BV!AA114, "")),
  _xlpm.ma_column, IF(_xlpm.program_isNT, Athena_MA!AC114, IF(_xlpm.program_isT, Athena_MA!AA114, "")),
  _xlpm.mi_column, IF(_xlpm.program_isNT, Athena_MI!AC114, IF(_xlpm.program_isT, Athena_MI!AA114,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Athena_BV!Y114:AI114,
    Athena_MA!Y114:AI114,
    Athena_MI!Y114:AI114
  )
)</f>
        <v>(FSE_Bitvector_Mode_Misusing_Method_Overloading_2_NT_Loop0_TestCase0, MAYBE, 470)</v>
      </c>
      <c r="Z114" s="142" t="str">
        <v>correct</v>
      </c>
      <c r="AA114" s="80">
        <v>0</v>
      </c>
      <c r="AB114" s="1" t="str">
        <v>0/0</v>
      </c>
      <c r="AC114" s="80">
        <v>0</v>
      </c>
      <c r="AD114" s="1" t="str">
        <v>0/1</v>
      </c>
      <c r="AE114" s="143">
        <v>0</v>
      </c>
      <c r="AF114" s="1" t="str">
        <v>0/1</v>
      </c>
      <c r="AG114" s="142">
        <v>0</v>
      </c>
      <c r="AH114" s="150">
        <v>0</v>
      </c>
      <c r="AI114" s="142">
        <v>0</v>
      </c>
      <c r="AJ114" s="14" t="str" cm="1">
        <f t="array" ref="AJ114:AT114">_xlfn.LET(
  _xlpm.program_isNT, RIGHT(Athena_BV!B114,5)="_NT.c",
  _xlpm.program_isT,  RIGHT(Athena_BV!B114,4)="_T.c",
  _xlpm.bv_isCorrect, LOWER(Athena_BV!AK114)="correct",
  _xlpm.ma_isCorrect, LOWER(Athena_MA!AK114)="correct",
  _xlpm.mi_isCorrect, LOWER(Athena_MI!AK114)="correct",
  _xlpm.bv_column, IF(_xlpm.program_isNT, Athena_BV!AN114, IF(_xlpm.program_isT, Athena_BV!AL114, "")),
  _xlpm.ma_column, IF(_xlpm.program_isNT, Athena_MA!AN114, IF(_xlpm.program_isT, Athena_MA!AL114, "")),
  _xlpm.mi_column, IF(_xlpm.program_isNT, Athena_MI!AN114, IF(_xlpm.program_isT, Athena_MI!AL114,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Athena_BV!AJ114:AT114,
    Athena_MA!AJ114:AT114,
    Athena_MI!AJ114:AT114
  )
)</f>
        <v>(FSE_Bitvector_Mode_Misusing_Method_Overloading_2_NT_Loop0_TestCase0, MAYBE, 463)</v>
      </c>
      <c r="AK114" s="142" t="str">
        <v>correct</v>
      </c>
      <c r="AL114" s="80">
        <v>0</v>
      </c>
      <c r="AM114" s="1" t="str">
        <v>0/0</v>
      </c>
      <c r="AN114" s="80">
        <v>0</v>
      </c>
      <c r="AO114" s="1" t="str">
        <v>0/1</v>
      </c>
      <c r="AP114" s="143">
        <v>0</v>
      </c>
      <c r="AQ114" s="1" t="str">
        <v>0/1</v>
      </c>
      <c r="AR114" s="142">
        <v>0</v>
      </c>
      <c r="AS114" s="150">
        <v>0</v>
      </c>
      <c r="AT114" s="142">
        <v>0</v>
      </c>
      <c r="AU114" s="4" t="s">
        <v>96</v>
      </c>
    </row>
    <row r="115" spans="1:47" x14ac:dyDescent="0.2">
      <c r="A115" s="168"/>
      <c r="B115" s="76" t="s">
        <v>139</v>
      </c>
      <c r="C115" s="14" t="str" cm="1">
        <f t="array" ref="C115:M115">_xlfn.LET(
  _xlpm.program_isNT, RIGHT(Athena_BV!B115,5)="_NT.c",
  _xlpm.program_isT,  RIGHT(Athena_BV!B115,4)="_T.c",
  _xlpm.bv_isCorrect, LOWER(Athena_BV!D115)="correct",
  _xlpm.ma_isCorrect, LOWER(Athena_MA!D115)="correct",
  _xlpm.mi_isCorrect, LOWER(Athena_MI!D115)="correct",
  _xlpm.bv_column, IF(_xlpm.program_isNT, Athena_BV!G115, IF(_xlpm.program_isT, Athena_BV!E115, "")),
  _xlpm.ma_column, IF(_xlpm.program_isNT, Athena_MA!G115, IF(_xlpm.program_isT, Athena_MA!E115, "")),
  _xlpm.mi_column, IF(_xlpm.program_isNT, Athena_MI!G115, IF(_xlpm.program_isT, Athena_MI!E115,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Athena_BV!C115:M115,
    Athena_MA!C115:M115,
    Athena_MI!C115:M115
  )
)</f>
        <v>(FSE_Bitvector_Mode_Misusing_Method_Overloading_2_T_Loop0_TestCase0, MAYBE, 480)</v>
      </c>
      <c r="D115" s="142" t="str">
        <v>correct</v>
      </c>
      <c r="E115" s="80">
        <v>0</v>
      </c>
      <c r="F115" s="1" t="str">
        <v>0/1</v>
      </c>
      <c r="G115" s="80" t="str">
        <v/>
      </c>
      <c r="H115" s="1" t="str">
        <v/>
      </c>
      <c r="I115" s="143">
        <v>0</v>
      </c>
      <c r="J115" s="1" t="str">
        <v>0/1</v>
      </c>
      <c r="K115" s="142">
        <v>0</v>
      </c>
      <c r="L115" s="1">
        <v>0</v>
      </c>
      <c r="M115" s="140">
        <v>0</v>
      </c>
      <c r="N115" s="14" t="str" cm="1">
        <f t="array" ref="N115:X115">_xlfn.LET(
  _xlpm.program_isNT, RIGHT(Athena_BV!B115,5)="_NT.c",
  _xlpm.program_isT,  RIGHT(Athena_BV!B115,4)="_T.c",
  _xlpm.bv_isCorrect, LOWER(Athena_BV!O115)="correct",
  _xlpm.ma_isCorrect, LOWER(Athena_MA!O115)="correct",
  _xlpm.mi_isCorrect, LOWER(Athena_MI!O115)="correct",
  _xlpm.bv_column, IF(_xlpm.program_isNT, Athena_BV!R115, IF(_xlpm.program_isT, Athena_BV!P115, "")),
  _xlpm.ma_column, IF(_xlpm.program_isNT, Athena_MA!R115, IF(_xlpm.program_isT, Athena_MA!P115, "")),
  _xlpm.mi_column, IF(_xlpm.program_isNT, Athena_MI!R115, IF(_xlpm.program_isT, Athena_MI!P115,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Athena_BV!N115:X115,
    Athena_MA!N115:X115,
    Athena_MI!N115:X115
  )
)</f>
        <v>(FSE_Bitvector_Mode_Misusing_Method_Overloading_2_T_Loop0_TestCase0, MAYBE, 464)</v>
      </c>
      <c r="O115" s="142" t="str">
        <v>correct</v>
      </c>
      <c r="P115" s="80">
        <v>0</v>
      </c>
      <c r="Q115" s="1" t="str">
        <v>0/1</v>
      </c>
      <c r="R115" s="80" t="str">
        <v/>
      </c>
      <c r="S115" s="149" t="str">
        <v/>
      </c>
      <c r="T115" s="80">
        <v>0</v>
      </c>
      <c r="U115" s="1" t="str">
        <v>0/1</v>
      </c>
      <c r="V115" s="142">
        <v>0</v>
      </c>
      <c r="W115" s="150">
        <v>0</v>
      </c>
      <c r="X115" s="142">
        <v>0</v>
      </c>
      <c r="Y115" s="14" t="str" cm="1">
        <f t="array" ref="Y115:AI115">_xlfn.LET(
  _xlpm.program_isNT, RIGHT(Athena_BV!B115,5)="_NT.c",
  _xlpm.program_isT,  RIGHT(Athena_BV!B115,4)="_T.c",
  _xlpm.bv_isCorrect, LOWER(Athena_BV!Z115)="correct",
  _xlpm.ma_isCorrect, LOWER(Athena_MA!Z115)="correct",
  _xlpm.mi_isCorrect, LOWER(Athena_MI!Z115)="correct",
  _xlpm.bv_column, IF(_xlpm.program_isNT, Athena_BV!AC115, IF(_xlpm.program_isT, Athena_BV!AA115, "")),
  _xlpm.ma_column, IF(_xlpm.program_isNT, Athena_MA!AC115, IF(_xlpm.program_isT, Athena_MA!AA115, "")),
  _xlpm.mi_column, IF(_xlpm.program_isNT, Athena_MI!AC115, IF(_xlpm.program_isT, Athena_MI!AA115,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Athena_BV!Y115:AI115,
    Athena_MA!Y115:AI115,
    Athena_MI!Y115:AI115
  )
)</f>
        <v>(FSE_Bitvector_Mode_Misusing_Method_Overloading_2_T_Loop0_TestCase0, MAYBE, 499)</v>
      </c>
      <c r="Z115" s="142" t="str">
        <v>correct</v>
      </c>
      <c r="AA115" s="80">
        <v>0</v>
      </c>
      <c r="AB115" s="1" t="str">
        <v>0/1</v>
      </c>
      <c r="AC115" s="80" t="str">
        <v/>
      </c>
      <c r="AD115" s="1" t="str">
        <v/>
      </c>
      <c r="AE115" s="143">
        <v>0</v>
      </c>
      <c r="AF115" s="1" t="str">
        <v>0/1</v>
      </c>
      <c r="AG115" s="142">
        <v>0</v>
      </c>
      <c r="AH115" s="150">
        <v>0</v>
      </c>
      <c r="AI115" s="142">
        <v>0</v>
      </c>
      <c r="AJ115" s="14" t="str" cm="1">
        <f t="array" ref="AJ115:AT115">_xlfn.LET(
  _xlpm.program_isNT, RIGHT(Athena_BV!B115,5)="_NT.c",
  _xlpm.program_isT,  RIGHT(Athena_BV!B115,4)="_T.c",
  _xlpm.bv_isCorrect, LOWER(Athena_BV!AK115)="correct",
  _xlpm.ma_isCorrect, LOWER(Athena_MA!AK115)="correct",
  _xlpm.mi_isCorrect, LOWER(Athena_MI!AK115)="correct",
  _xlpm.bv_column, IF(_xlpm.program_isNT, Athena_BV!AN115, IF(_xlpm.program_isT, Athena_BV!AL115, "")),
  _xlpm.ma_column, IF(_xlpm.program_isNT, Athena_MA!AN115, IF(_xlpm.program_isT, Athena_MA!AL115, "")),
  _xlpm.mi_column, IF(_xlpm.program_isNT, Athena_MI!AN115, IF(_xlpm.program_isT, Athena_MI!AL115,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Athena_BV!AJ115:AT115,
    Athena_MA!AJ115:AT115,
    Athena_MI!AJ115:AT115
  )
)</f>
        <v>(FSE_Bitvector_Mode_Misusing_Method_Overloading_2_T_Loop0_TestCase0, MAYBE, 484)</v>
      </c>
      <c r="AK115" s="142" t="str">
        <v>correct</v>
      </c>
      <c r="AL115" s="80">
        <v>0</v>
      </c>
      <c r="AM115" s="1" t="str">
        <v>0/1</v>
      </c>
      <c r="AN115" s="80" t="str">
        <v/>
      </c>
      <c r="AO115" s="1" t="str">
        <v/>
      </c>
      <c r="AP115" s="143">
        <v>0</v>
      </c>
      <c r="AQ115" s="1" t="str">
        <v>0/1</v>
      </c>
      <c r="AR115" s="142">
        <v>0</v>
      </c>
      <c r="AS115" s="150">
        <v>0</v>
      </c>
      <c r="AT115" s="142">
        <v>0</v>
      </c>
      <c r="AU115" s="4" t="s">
        <v>96</v>
      </c>
    </row>
    <row r="116" spans="1:47" x14ac:dyDescent="0.2">
      <c r="A116" s="168"/>
      <c r="B116" s="76" t="s">
        <v>140</v>
      </c>
      <c r="C116" s="14" t="str" cm="1">
        <f t="array" ref="C116:M116">_xlfn.LET(
  _xlpm.program_isNT, RIGHT(Athena_BV!B116,5)="_NT.c",
  _xlpm.program_isT,  RIGHT(Athena_BV!B116,4)="_T.c",
  _xlpm.bv_isCorrect, LOWER(Athena_BV!D116)="correct",
  _xlpm.ma_isCorrect, LOWER(Athena_MA!D116)="correct",
  _xlpm.mi_isCorrect, LOWER(Athena_MI!D116)="correct",
  _xlpm.bv_column, IF(_xlpm.program_isNT, Athena_BV!G116, IF(_xlpm.program_isT, Athena_BV!E116, "")),
  _xlpm.ma_column, IF(_xlpm.program_isNT, Athena_MA!G116, IF(_xlpm.program_isT, Athena_MA!E116, "")),
  _xlpm.mi_column, IF(_xlpm.program_isNT, Athena_MI!G116, IF(_xlpm.program_isT, Athena_MI!E116,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Athena_BV!C116:M116,
    Athena_MA!C116:M116,
    Athena_MI!C116:M116
  )
)</f>
        <v>(FSE_Bitvector_Mode_Misusing_Method_Overloading_3_NT_Loop0_TestCase0, MAYBE, 484)</v>
      </c>
      <c r="D116" s="142" t="str">
        <v>correct</v>
      </c>
      <c r="E116" s="80">
        <v>0</v>
      </c>
      <c r="F116" s="1" t="str">
        <v>0/0</v>
      </c>
      <c r="G116" s="80">
        <v>0</v>
      </c>
      <c r="H116" s="1" t="str">
        <v>0/1</v>
      </c>
      <c r="I116" s="143">
        <v>0</v>
      </c>
      <c r="J116" s="1" t="str">
        <v>0/1</v>
      </c>
      <c r="K116" s="142">
        <v>0</v>
      </c>
      <c r="L116" s="1">
        <v>0</v>
      </c>
      <c r="M116" s="140">
        <v>0</v>
      </c>
      <c r="N116" s="14" t="str" cm="1">
        <f t="array" ref="N116:X116">_xlfn.LET(
  _xlpm.program_isNT, RIGHT(Athena_BV!B116,5)="_NT.c",
  _xlpm.program_isT,  RIGHT(Athena_BV!B116,4)="_T.c",
  _xlpm.bv_isCorrect, LOWER(Athena_BV!O116)="correct",
  _xlpm.ma_isCorrect, LOWER(Athena_MA!O116)="correct",
  _xlpm.mi_isCorrect, LOWER(Athena_MI!O116)="correct",
  _xlpm.bv_column, IF(_xlpm.program_isNT, Athena_BV!R116, IF(_xlpm.program_isT, Athena_BV!P116, "")),
  _xlpm.ma_column, IF(_xlpm.program_isNT, Athena_MA!R116, IF(_xlpm.program_isT, Athena_MA!P116, "")),
  _xlpm.mi_column, IF(_xlpm.program_isNT, Athena_MI!R116, IF(_xlpm.program_isT, Athena_MI!P116,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Athena_BV!N116:X116,
    Athena_MA!N116:X116,
    Athena_MI!N116:X116
  )
)</f>
        <v>(FSE_Bitvector_Mode_Misusing_Method_Overloading_3_NT_Loop0_TestCase0, MAYBE, 458)</v>
      </c>
      <c r="O116" s="142" t="str">
        <v>correct</v>
      </c>
      <c r="P116" s="80">
        <v>0</v>
      </c>
      <c r="Q116" s="1" t="str">
        <v>0/0</v>
      </c>
      <c r="R116" s="80">
        <v>0</v>
      </c>
      <c r="S116" s="149" t="str">
        <v>0/1</v>
      </c>
      <c r="T116" s="80">
        <v>0</v>
      </c>
      <c r="U116" s="1" t="str">
        <v>0/1</v>
      </c>
      <c r="V116" s="142">
        <v>0</v>
      </c>
      <c r="W116" s="150">
        <v>0</v>
      </c>
      <c r="X116" s="142">
        <v>0</v>
      </c>
      <c r="Y116" s="14" t="str" cm="1">
        <f t="array" ref="Y116:AI116">_xlfn.LET(
  _xlpm.program_isNT, RIGHT(Athena_BV!B116,5)="_NT.c",
  _xlpm.program_isT,  RIGHT(Athena_BV!B116,4)="_T.c",
  _xlpm.bv_isCorrect, LOWER(Athena_BV!Z116)="correct",
  _xlpm.ma_isCorrect, LOWER(Athena_MA!Z116)="correct",
  _xlpm.mi_isCorrect, LOWER(Athena_MI!Z116)="correct",
  _xlpm.bv_column, IF(_xlpm.program_isNT, Athena_BV!AC116, IF(_xlpm.program_isT, Athena_BV!AA116, "")),
  _xlpm.ma_column, IF(_xlpm.program_isNT, Athena_MA!AC116, IF(_xlpm.program_isT, Athena_MA!AA116, "")),
  _xlpm.mi_column, IF(_xlpm.program_isNT, Athena_MI!AC116, IF(_xlpm.program_isT, Athena_MI!AA116,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Athena_BV!Y116:AI116,
    Athena_MA!Y116:AI116,
    Athena_MI!Y116:AI116
  )
)</f>
        <v>(FSE_Bitvector_Mode_Misusing_Method_Overloading_3_NT_Loop0_TestCase0, MAYBE, 465)</v>
      </c>
      <c r="Z116" s="142" t="str">
        <v>correct</v>
      </c>
      <c r="AA116" s="80">
        <v>0</v>
      </c>
      <c r="AB116" s="1" t="str">
        <v>0/0</v>
      </c>
      <c r="AC116" s="80">
        <v>0</v>
      </c>
      <c r="AD116" s="1" t="str">
        <v>0/1</v>
      </c>
      <c r="AE116" s="143">
        <v>0</v>
      </c>
      <c r="AF116" s="1" t="str">
        <v>0/1</v>
      </c>
      <c r="AG116" s="142">
        <v>0</v>
      </c>
      <c r="AH116" s="150">
        <v>0</v>
      </c>
      <c r="AI116" s="142">
        <v>0</v>
      </c>
      <c r="AJ116" s="14" t="str" cm="1">
        <f t="array" ref="AJ116:AT116">_xlfn.LET(
  _xlpm.program_isNT, RIGHT(Athena_BV!B116,5)="_NT.c",
  _xlpm.program_isT,  RIGHT(Athena_BV!B116,4)="_T.c",
  _xlpm.bv_isCorrect, LOWER(Athena_BV!AK116)="correct",
  _xlpm.ma_isCorrect, LOWER(Athena_MA!AK116)="correct",
  _xlpm.mi_isCorrect, LOWER(Athena_MI!AK116)="correct",
  _xlpm.bv_column, IF(_xlpm.program_isNT, Athena_BV!AN116, IF(_xlpm.program_isT, Athena_BV!AL116, "")),
  _xlpm.ma_column, IF(_xlpm.program_isNT, Athena_MA!AN116, IF(_xlpm.program_isT, Athena_MA!AL116, "")),
  _xlpm.mi_column, IF(_xlpm.program_isNT, Athena_MI!AN116, IF(_xlpm.program_isT, Athena_MI!AL116,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Athena_BV!AJ116:AT116,
    Athena_MA!AJ116:AT116,
    Athena_MI!AJ116:AT116
  )
)</f>
        <v>(FSE_Bitvector_Mode_Misusing_Method_Overloading_3_NT_Loop0_TestCase0, MAYBE, 461)</v>
      </c>
      <c r="AK116" s="142" t="str">
        <v>correct</v>
      </c>
      <c r="AL116" s="80">
        <v>0</v>
      </c>
      <c r="AM116" s="1" t="str">
        <v>0/0</v>
      </c>
      <c r="AN116" s="80">
        <v>0</v>
      </c>
      <c r="AO116" s="1" t="str">
        <v>0/1</v>
      </c>
      <c r="AP116" s="143">
        <v>0</v>
      </c>
      <c r="AQ116" s="1" t="str">
        <v>0/1</v>
      </c>
      <c r="AR116" s="142">
        <v>0</v>
      </c>
      <c r="AS116" s="150">
        <v>0</v>
      </c>
      <c r="AT116" s="142">
        <v>0</v>
      </c>
      <c r="AU116" s="4" t="s">
        <v>96</v>
      </c>
    </row>
    <row r="117" spans="1:47" x14ac:dyDescent="0.2">
      <c r="A117" s="168"/>
      <c r="B117" s="76" t="s">
        <v>141</v>
      </c>
      <c r="C117" s="14" t="str" cm="1">
        <f t="array" ref="C117:M117">_xlfn.LET(
  _xlpm.program_isNT, RIGHT(Athena_BV!B117,5)="_NT.c",
  _xlpm.program_isT,  RIGHT(Athena_BV!B117,4)="_T.c",
  _xlpm.bv_isCorrect, LOWER(Athena_BV!D117)="correct",
  _xlpm.ma_isCorrect, LOWER(Athena_MA!D117)="correct",
  _xlpm.mi_isCorrect, LOWER(Athena_MI!D117)="correct",
  _xlpm.bv_column, IF(_xlpm.program_isNT, Athena_BV!G117, IF(_xlpm.program_isT, Athena_BV!E117, "")),
  _xlpm.ma_column, IF(_xlpm.program_isNT, Athena_MA!G117, IF(_xlpm.program_isT, Athena_MA!E117, "")),
  _xlpm.mi_column, IF(_xlpm.program_isNT, Athena_MI!G117, IF(_xlpm.program_isT, Athena_MI!E117,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Athena_BV!C117:M117,
    Athena_MA!C117:M117,
    Athena_MI!C117:M117
  )
)</f>
        <v>(FSE_Bitvector_Mode_Misusing_Method_Overloading_3_T_Loop0_TestCase0, MAYBE, 468)</v>
      </c>
      <c r="D117" s="142" t="str">
        <v>correct</v>
      </c>
      <c r="E117" s="80">
        <v>0</v>
      </c>
      <c r="F117" s="1" t="str">
        <v>0/1</v>
      </c>
      <c r="G117" s="80" t="str">
        <v/>
      </c>
      <c r="H117" s="1" t="str">
        <v/>
      </c>
      <c r="I117" s="143">
        <v>0</v>
      </c>
      <c r="J117" s="1" t="str">
        <v>0/1</v>
      </c>
      <c r="K117" s="142">
        <v>0</v>
      </c>
      <c r="L117" s="1">
        <v>0</v>
      </c>
      <c r="M117" s="140">
        <v>0</v>
      </c>
      <c r="N117" s="14" t="str" cm="1">
        <f t="array" ref="N117:X117">_xlfn.LET(
  _xlpm.program_isNT, RIGHT(Athena_BV!B117,5)="_NT.c",
  _xlpm.program_isT,  RIGHT(Athena_BV!B117,4)="_T.c",
  _xlpm.bv_isCorrect, LOWER(Athena_BV!O117)="correct",
  _xlpm.ma_isCorrect, LOWER(Athena_MA!O117)="correct",
  _xlpm.mi_isCorrect, LOWER(Athena_MI!O117)="correct",
  _xlpm.bv_column, IF(_xlpm.program_isNT, Athena_BV!R117, IF(_xlpm.program_isT, Athena_BV!P117, "")),
  _xlpm.ma_column, IF(_xlpm.program_isNT, Athena_MA!R117, IF(_xlpm.program_isT, Athena_MA!P117, "")),
  _xlpm.mi_column, IF(_xlpm.program_isNT, Athena_MI!R117, IF(_xlpm.program_isT, Athena_MI!P117,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Athena_BV!N117:X117,
    Athena_MA!N117:X117,
    Athena_MI!N117:X117
  )
)</f>
        <v>(FSE_Bitvector_Mode_Misusing_Method_Overloading_3_T_Loop0_TestCase0, MAYBE, 465)</v>
      </c>
      <c r="O117" s="142" t="str">
        <v>correct</v>
      </c>
      <c r="P117" s="80">
        <v>0</v>
      </c>
      <c r="Q117" s="1" t="str">
        <v>0/1</v>
      </c>
      <c r="R117" s="80" t="str">
        <v/>
      </c>
      <c r="S117" s="149" t="str">
        <v/>
      </c>
      <c r="T117" s="80">
        <v>0</v>
      </c>
      <c r="U117" s="1" t="str">
        <v>0/1</v>
      </c>
      <c r="V117" s="142">
        <v>0</v>
      </c>
      <c r="W117" s="150">
        <v>0</v>
      </c>
      <c r="X117" s="142">
        <v>0</v>
      </c>
      <c r="Y117" s="14" t="str" cm="1">
        <f t="array" ref="Y117:AI117">_xlfn.LET(
  _xlpm.program_isNT, RIGHT(Athena_BV!B117,5)="_NT.c",
  _xlpm.program_isT,  RIGHT(Athena_BV!B117,4)="_T.c",
  _xlpm.bv_isCorrect, LOWER(Athena_BV!Z117)="correct",
  _xlpm.ma_isCorrect, LOWER(Athena_MA!Z117)="correct",
  _xlpm.mi_isCorrect, LOWER(Athena_MI!Z117)="correct",
  _xlpm.bv_column, IF(_xlpm.program_isNT, Athena_BV!AC117, IF(_xlpm.program_isT, Athena_BV!AA117, "")),
  _xlpm.ma_column, IF(_xlpm.program_isNT, Athena_MA!AC117, IF(_xlpm.program_isT, Athena_MA!AA117, "")),
  _xlpm.mi_column, IF(_xlpm.program_isNT, Athena_MI!AC117, IF(_xlpm.program_isT, Athena_MI!AA117,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Athena_BV!Y117:AI117,
    Athena_MA!Y117:AI117,
    Athena_MI!Y117:AI117
  )
)</f>
        <v>(FSE_Bitvector_Mode_Misusing_Method_Overloading_3_T_Loop0_TestCase0, MAYBE, 467)</v>
      </c>
      <c r="Z117" s="142" t="str">
        <v>correct</v>
      </c>
      <c r="AA117" s="80">
        <v>0</v>
      </c>
      <c r="AB117" s="1" t="str">
        <v>0/1</v>
      </c>
      <c r="AC117" s="80" t="str">
        <v/>
      </c>
      <c r="AD117" s="1" t="str">
        <v/>
      </c>
      <c r="AE117" s="143">
        <v>0</v>
      </c>
      <c r="AF117" s="1" t="str">
        <v>0/1</v>
      </c>
      <c r="AG117" s="142">
        <v>0</v>
      </c>
      <c r="AH117" s="150">
        <v>0</v>
      </c>
      <c r="AI117" s="142">
        <v>0</v>
      </c>
      <c r="AJ117" s="14" t="str" cm="1">
        <f t="array" ref="AJ117:AT117">_xlfn.LET(
  _xlpm.program_isNT, RIGHT(Athena_BV!B117,5)="_NT.c",
  _xlpm.program_isT,  RIGHT(Athena_BV!B117,4)="_T.c",
  _xlpm.bv_isCorrect, LOWER(Athena_BV!AK117)="correct",
  _xlpm.ma_isCorrect, LOWER(Athena_MA!AK117)="correct",
  _xlpm.mi_isCorrect, LOWER(Athena_MI!AK117)="correct",
  _xlpm.bv_column, IF(_xlpm.program_isNT, Athena_BV!AN117, IF(_xlpm.program_isT, Athena_BV!AL117, "")),
  _xlpm.ma_column, IF(_xlpm.program_isNT, Athena_MA!AN117, IF(_xlpm.program_isT, Athena_MA!AL117, "")),
  _xlpm.mi_column, IF(_xlpm.program_isNT, Athena_MI!AN117, IF(_xlpm.program_isT, Athena_MI!AL117,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Athena_BV!AJ117:AT117,
    Athena_MA!AJ117:AT117,
    Athena_MI!AJ117:AT117
  )
)</f>
        <v>(FSE_Bitvector_Mode_Misusing_Method_Overloading_3_T_Loop0_TestCase0, MAYBE, 490)</v>
      </c>
      <c r="AK117" s="142" t="str">
        <v>correct</v>
      </c>
      <c r="AL117" s="80">
        <v>0</v>
      </c>
      <c r="AM117" s="1" t="str">
        <v>0/1</v>
      </c>
      <c r="AN117" s="80" t="str">
        <v/>
      </c>
      <c r="AO117" s="1" t="str">
        <v/>
      </c>
      <c r="AP117" s="143">
        <v>0</v>
      </c>
      <c r="AQ117" s="1" t="str">
        <v>0/1</v>
      </c>
      <c r="AR117" s="142">
        <v>0</v>
      </c>
      <c r="AS117" s="150">
        <v>0</v>
      </c>
      <c r="AT117" s="142">
        <v>0</v>
      </c>
      <c r="AU117" s="4" t="s">
        <v>96</v>
      </c>
    </row>
    <row r="118" spans="1:47" x14ac:dyDescent="0.2">
      <c r="A118" s="168"/>
      <c r="B118" s="76" t="s">
        <v>142</v>
      </c>
      <c r="C118" s="14" t="str" cm="1">
        <f t="array" ref="C118:M118">_xlfn.LET(
  _xlpm.program_isNT, RIGHT(Athena_BV!B118,5)="_NT.c",
  _xlpm.program_isT,  RIGHT(Athena_BV!B118,4)="_T.c",
  _xlpm.bv_isCorrect, LOWER(Athena_BV!D118)="correct",
  _xlpm.ma_isCorrect, LOWER(Athena_MA!D118)="correct",
  _xlpm.mi_isCorrect, LOWER(Athena_MI!D118)="correct",
  _xlpm.bv_column, IF(_xlpm.program_isNT, Athena_BV!G118, IF(_xlpm.program_isT, Athena_BV!E118, "")),
  _xlpm.ma_column, IF(_xlpm.program_isNT, Athena_MA!G118, IF(_xlpm.program_isT, Athena_MA!E118, "")),
  _xlpm.mi_column, IF(_xlpm.program_isNT, Athena_MI!G118, IF(_xlpm.program_isT, Athena_MI!E118,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Athena_BV!C118:M118,
    Athena_MA!C118:M118,
    Athena_MI!C118:M118
  )
)</f>
        <v>(FSE_Bitvector_Mode_Misusing_Method_Overloading_4_NT_Loop0_TestCase0, MAYBE, 471)</v>
      </c>
      <c r="D118" s="142" t="str">
        <v>correct</v>
      </c>
      <c r="E118" s="80">
        <v>0</v>
      </c>
      <c r="F118" s="1" t="str">
        <v>0/0</v>
      </c>
      <c r="G118" s="80">
        <v>0</v>
      </c>
      <c r="H118" s="1" t="str">
        <v>0/1</v>
      </c>
      <c r="I118" s="143">
        <v>0</v>
      </c>
      <c r="J118" s="1" t="str">
        <v>0/1</v>
      </c>
      <c r="K118" s="142">
        <v>0</v>
      </c>
      <c r="L118" s="1">
        <v>0</v>
      </c>
      <c r="M118" s="140">
        <v>0</v>
      </c>
      <c r="N118" s="14" t="str" cm="1">
        <f t="array" ref="N118:X118">_xlfn.LET(
  _xlpm.program_isNT, RIGHT(Athena_BV!B118,5)="_NT.c",
  _xlpm.program_isT,  RIGHT(Athena_BV!B118,4)="_T.c",
  _xlpm.bv_isCorrect, LOWER(Athena_BV!O118)="correct",
  _xlpm.ma_isCorrect, LOWER(Athena_MA!O118)="correct",
  _xlpm.mi_isCorrect, LOWER(Athena_MI!O118)="correct",
  _xlpm.bv_column, IF(_xlpm.program_isNT, Athena_BV!R118, IF(_xlpm.program_isT, Athena_BV!P118, "")),
  _xlpm.ma_column, IF(_xlpm.program_isNT, Athena_MA!R118, IF(_xlpm.program_isT, Athena_MA!P118, "")),
  _xlpm.mi_column, IF(_xlpm.program_isNT, Athena_MI!R118, IF(_xlpm.program_isT, Athena_MI!P118,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Athena_BV!N118:X118,
    Athena_MA!N118:X118,
    Athena_MI!N118:X118
  )
)</f>
        <v>(FSE_Bitvector_Mode_Misusing_Method_Overloading_4_NT_Loop0_TestCase0, MAYBE, 472)</v>
      </c>
      <c r="O118" s="142" t="str">
        <v>correct</v>
      </c>
      <c r="P118" s="80">
        <v>0</v>
      </c>
      <c r="Q118" s="1" t="str">
        <v>0/0</v>
      </c>
      <c r="R118" s="80">
        <v>0</v>
      </c>
      <c r="S118" s="149" t="str">
        <v>0/1</v>
      </c>
      <c r="T118" s="80">
        <v>0</v>
      </c>
      <c r="U118" s="1" t="str">
        <v>0/1</v>
      </c>
      <c r="V118" s="142">
        <v>0</v>
      </c>
      <c r="W118" s="150">
        <v>0</v>
      </c>
      <c r="X118" s="142">
        <v>0</v>
      </c>
      <c r="Y118" s="14" t="str" cm="1">
        <f t="array" ref="Y118:AI118">_xlfn.LET(
  _xlpm.program_isNT, RIGHT(Athena_BV!B118,5)="_NT.c",
  _xlpm.program_isT,  RIGHT(Athena_BV!B118,4)="_T.c",
  _xlpm.bv_isCorrect, LOWER(Athena_BV!Z118)="correct",
  _xlpm.ma_isCorrect, LOWER(Athena_MA!Z118)="correct",
  _xlpm.mi_isCorrect, LOWER(Athena_MI!Z118)="correct",
  _xlpm.bv_column, IF(_xlpm.program_isNT, Athena_BV!AC118, IF(_xlpm.program_isT, Athena_BV!AA118, "")),
  _xlpm.ma_column, IF(_xlpm.program_isNT, Athena_MA!AC118, IF(_xlpm.program_isT, Athena_MA!AA118, "")),
  _xlpm.mi_column, IF(_xlpm.program_isNT, Athena_MI!AC118, IF(_xlpm.program_isT, Athena_MI!AA118,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Athena_BV!Y118:AI118,
    Athena_MA!Y118:AI118,
    Athena_MI!Y118:AI118
  )
)</f>
        <v>(FSE_Bitvector_Mode_Misusing_Method_Overloading_4_NT_Loop0_TestCase0, MAYBE, 485)</v>
      </c>
      <c r="Z118" s="142" t="str">
        <v>correct</v>
      </c>
      <c r="AA118" s="80">
        <v>0</v>
      </c>
      <c r="AB118" s="1" t="str">
        <v>0/0</v>
      </c>
      <c r="AC118" s="80">
        <v>0</v>
      </c>
      <c r="AD118" s="1" t="str">
        <v>0/1</v>
      </c>
      <c r="AE118" s="143">
        <v>0</v>
      </c>
      <c r="AF118" s="1" t="str">
        <v>0/1</v>
      </c>
      <c r="AG118" s="142">
        <v>0</v>
      </c>
      <c r="AH118" s="150">
        <v>0</v>
      </c>
      <c r="AI118" s="142">
        <v>0</v>
      </c>
      <c r="AJ118" s="14" t="str" cm="1">
        <f t="array" ref="AJ118:AT118">_xlfn.LET(
  _xlpm.program_isNT, RIGHT(Athena_BV!B118,5)="_NT.c",
  _xlpm.program_isT,  RIGHT(Athena_BV!B118,4)="_T.c",
  _xlpm.bv_isCorrect, LOWER(Athena_BV!AK118)="correct",
  _xlpm.ma_isCorrect, LOWER(Athena_MA!AK118)="correct",
  _xlpm.mi_isCorrect, LOWER(Athena_MI!AK118)="correct",
  _xlpm.bv_column, IF(_xlpm.program_isNT, Athena_BV!AN118, IF(_xlpm.program_isT, Athena_BV!AL118, "")),
  _xlpm.ma_column, IF(_xlpm.program_isNT, Athena_MA!AN118, IF(_xlpm.program_isT, Athena_MA!AL118, "")),
  _xlpm.mi_column, IF(_xlpm.program_isNT, Athena_MI!AN118, IF(_xlpm.program_isT, Athena_MI!AL118,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Athena_BV!AJ118:AT118,
    Athena_MA!AJ118:AT118,
    Athena_MI!AJ118:AT118
  )
)</f>
        <v>(FSE_Bitvector_Mode_Misusing_Method_Overloading_4_NT_Loop0_TestCase0, MAYBE, 461)</v>
      </c>
      <c r="AK118" s="142" t="str">
        <v>correct</v>
      </c>
      <c r="AL118" s="80">
        <v>0</v>
      </c>
      <c r="AM118" s="1" t="str">
        <v>0/0</v>
      </c>
      <c r="AN118" s="80">
        <v>0</v>
      </c>
      <c r="AO118" s="1" t="str">
        <v>0/1</v>
      </c>
      <c r="AP118" s="143">
        <v>0</v>
      </c>
      <c r="AQ118" s="1" t="str">
        <v>0/1</v>
      </c>
      <c r="AR118" s="142">
        <v>0</v>
      </c>
      <c r="AS118" s="150">
        <v>0</v>
      </c>
      <c r="AT118" s="142">
        <v>0</v>
      </c>
      <c r="AU118" s="4" t="s">
        <v>96</v>
      </c>
    </row>
    <row r="119" spans="1:47" x14ac:dyDescent="0.2">
      <c r="A119" s="168"/>
      <c r="B119" s="76" t="s">
        <v>143</v>
      </c>
      <c r="C119" s="14" t="str" cm="1">
        <f t="array" ref="C119:M119">_xlfn.LET(
  _xlpm.program_isNT, RIGHT(Athena_BV!B119,5)="_NT.c",
  _xlpm.program_isT,  RIGHT(Athena_BV!B119,4)="_T.c",
  _xlpm.bv_isCorrect, LOWER(Athena_BV!D119)="correct",
  _xlpm.ma_isCorrect, LOWER(Athena_MA!D119)="correct",
  _xlpm.mi_isCorrect, LOWER(Athena_MI!D119)="correct",
  _xlpm.bv_column, IF(_xlpm.program_isNT, Athena_BV!G119, IF(_xlpm.program_isT, Athena_BV!E119, "")),
  _xlpm.ma_column, IF(_xlpm.program_isNT, Athena_MA!G119, IF(_xlpm.program_isT, Athena_MA!E119, "")),
  _xlpm.mi_column, IF(_xlpm.program_isNT, Athena_MI!G119, IF(_xlpm.program_isT, Athena_MI!E119,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Athena_BV!C119:M119,
    Athena_MA!C119:M119,
    Athena_MI!C119:M119
  )
)</f>
        <v>(FSE_Bitvector_Mode_Misusing_Method_Overloading_4_T_Loop0_TestCase0, MAYBE, 479)</v>
      </c>
      <c r="D119" s="142" t="str">
        <v>correct</v>
      </c>
      <c r="E119" s="80">
        <v>0</v>
      </c>
      <c r="F119" s="1" t="str">
        <v>0/1</v>
      </c>
      <c r="G119" s="80" t="str">
        <v/>
      </c>
      <c r="H119" s="1" t="str">
        <v/>
      </c>
      <c r="I119" s="143">
        <v>0</v>
      </c>
      <c r="J119" s="1" t="str">
        <v>0/1</v>
      </c>
      <c r="K119" s="142">
        <v>0</v>
      </c>
      <c r="L119" s="1">
        <v>0</v>
      </c>
      <c r="M119" s="140">
        <v>0</v>
      </c>
      <c r="N119" s="14" t="str" cm="1">
        <f t="array" ref="N119:X119">_xlfn.LET(
  _xlpm.program_isNT, RIGHT(Athena_BV!B119,5)="_NT.c",
  _xlpm.program_isT,  RIGHT(Athena_BV!B119,4)="_T.c",
  _xlpm.bv_isCorrect, LOWER(Athena_BV!O119)="correct",
  _xlpm.ma_isCorrect, LOWER(Athena_MA!O119)="correct",
  _xlpm.mi_isCorrect, LOWER(Athena_MI!O119)="correct",
  _xlpm.bv_column, IF(_xlpm.program_isNT, Athena_BV!R119, IF(_xlpm.program_isT, Athena_BV!P119, "")),
  _xlpm.ma_column, IF(_xlpm.program_isNT, Athena_MA!R119, IF(_xlpm.program_isT, Athena_MA!P119, "")),
  _xlpm.mi_column, IF(_xlpm.program_isNT, Athena_MI!R119, IF(_xlpm.program_isT, Athena_MI!P119,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Athena_BV!N119:X119,
    Athena_MA!N119:X119,
    Athena_MI!N119:X119
  )
)</f>
        <v>(FSE_Bitvector_Mode_Misusing_Method_Overloading_4_T_Loop0_TestCase0, MAYBE, 475)</v>
      </c>
      <c r="O119" s="142" t="str">
        <v>correct</v>
      </c>
      <c r="P119" s="80">
        <v>0</v>
      </c>
      <c r="Q119" s="1" t="str">
        <v>0/1</v>
      </c>
      <c r="R119" s="80" t="str">
        <v/>
      </c>
      <c r="S119" s="149" t="str">
        <v/>
      </c>
      <c r="T119" s="80">
        <v>0</v>
      </c>
      <c r="U119" s="1" t="str">
        <v>0/1</v>
      </c>
      <c r="V119" s="142">
        <v>0</v>
      </c>
      <c r="W119" s="150">
        <v>0</v>
      </c>
      <c r="X119" s="142">
        <v>0</v>
      </c>
      <c r="Y119" s="14" t="str" cm="1">
        <f t="array" ref="Y119:AI119">_xlfn.LET(
  _xlpm.program_isNT, RIGHT(Athena_BV!B119,5)="_NT.c",
  _xlpm.program_isT,  RIGHT(Athena_BV!B119,4)="_T.c",
  _xlpm.bv_isCorrect, LOWER(Athena_BV!Z119)="correct",
  _xlpm.ma_isCorrect, LOWER(Athena_MA!Z119)="correct",
  _xlpm.mi_isCorrect, LOWER(Athena_MI!Z119)="correct",
  _xlpm.bv_column, IF(_xlpm.program_isNT, Athena_BV!AC119, IF(_xlpm.program_isT, Athena_BV!AA119, "")),
  _xlpm.ma_column, IF(_xlpm.program_isNT, Athena_MA!AC119, IF(_xlpm.program_isT, Athena_MA!AA119, "")),
  _xlpm.mi_column, IF(_xlpm.program_isNT, Athena_MI!AC119, IF(_xlpm.program_isT, Athena_MI!AA119,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Athena_BV!Y119:AI119,
    Athena_MA!Y119:AI119,
    Athena_MI!Y119:AI119
  )
)</f>
        <v>(FSE_Bitvector_Mode_Misusing_Method_Overloading_4_T_Loop0_TestCase0, MAYBE, 466)</v>
      </c>
      <c r="Z119" s="142" t="str">
        <v>correct</v>
      </c>
      <c r="AA119" s="80">
        <v>0</v>
      </c>
      <c r="AB119" s="1" t="str">
        <v>0/1</v>
      </c>
      <c r="AC119" s="80" t="str">
        <v/>
      </c>
      <c r="AD119" s="1" t="str">
        <v/>
      </c>
      <c r="AE119" s="143">
        <v>0</v>
      </c>
      <c r="AF119" s="1" t="str">
        <v>0/1</v>
      </c>
      <c r="AG119" s="142">
        <v>0</v>
      </c>
      <c r="AH119" s="150">
        <v>0</v>
      </c>
      <c r="AI119" s="142">
        <v>0</v>
      </c>
      <c r="AJ119" s="14" t="str" cm="1">
        <f t="array" ref="AJ119:AT119">_xlfn.LET(
  _xlpm.program_isNT, RIGHT(Athena_BV!B119,5)="_NT.c",
  _xlpm.program_isT,  RIGHT(Athena_BV!B119,4)="_T.c",
  _xlpm.bv_isCorrect, LOWER(Athena_BV!AK119)="correct",
  _xlpm.ma_isCorrect, LOWER(Athena_MA!AK119)="correct",
  _xlpm.mi_isCorrect, LOWER(Athena_MI!AK119)="correct",
  _xlpm.bv_column, IF(_xlpm.program_isNT, Athena_BV!AN119, IF(_xlpm.program_isT, Athena_BV!AL119, "")),
  _xlpm.ma_column, IF(_xlpm.program_isNT, Athena_MA!AN119, IF(_xlpm.program_isT, Athena_MA!AL119, "")),
  _xlpm.mi_column, IF(_xlpm.program_isNT, Athena_MI!AN119, IF(_xlpm.program_isT, Athena_MI!AL119,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Athena_BV!AJ119:AT119,
    Athena_MA!AJ119:AT119,
    Athena_MI!AJ119:AT119
  )
)</f>
        <v>(FSE_Bitvector_Mode_Misusing_Method_Overloading_4_T_Loop0_TestCase0, MAYBE, 458)</v>
      </c>
      <c r="AK119" s="142" t="str">
        <v>correct</v>
      </c>
      <c r="AL119" s="80">
        <v>0</v>
      </c>
      <c r="AM119" s="1" t="str">
        <v>0/1</v>
      </c>
      <c r="AN119" s="80" t="str">
        <v/>
      </c>
      <c r="AO119" s="1" t="str">
        <v/>
      </c>
      <c r="AP119" s="143">
        <v>0</v>
      </c>
      <c r="AQ119" s="1" t="str">
        <v>0/1</v>
      </c>
      <c r="AR119" s="142">
        <v>0</v>
      </c>
      <c r="AS119" s="150">
        <v>0</v>
      </c>
      <c r="AT119" s="142">
        <v>0</v>
      </c>
      <c r="AU119" s="4" t="s">
        <v>96</v>
      </c>
    </row>
  </sheetData>
  <mergeCells count="16">
    <mergeCell ref="A96:A119"/>
    <mergeCell ref="A1:A2"/>
    <mergeCell ref="B1:B2"/>
    <mergeCell ref="C1:M1"/>
    <mergeCell ref="N1:X1"/>
    <mergeCell ref="A3:A95"/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D348-F28B-4F54-966D-EE19F4AB9C0C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9"/>
      <c r="B1" s="171" t="s">
        <v>95</v>
      </c>
      <c r="C1" s="163" t="s">
        <v>114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3" t="s">
        <v>115</v>
      </c>
      <c r="O1" s="164"/>
      <c r="P1" s="164"/>
      <c r="Q1" s="164"/>
      <c r="R1" s="164"/>
      <c r="S1" s="164"/>
      <c r="T1" s="164"/>
      <c r="U1" s="164"/>
      <c r="V1" s="164"/>
      <c r="W1" s="164"/>
      <c r="X1" s="165"/>
      <c r="Y1" s="163" t="s">
        <v>152</v>
      </c>
      <c r="Z1" s="164"/>
      <c r="AA1" s="164"/>
      <c r="AB1" s="164"/>
      <c r="AC1" s="164"/>
      <c r="AD1" s="164"/>
      <c r="AE1" s="164"/>
      <c r="AF1" s="164"/>
      <c r="AG1" s="164"/>
      <c r="AH1" s="164"/>
      <c r="AI1" s="165"/>
      <c r="AJ1" s="163" t="s">
        <v>153</v>
      </c>
      <c r="AK1" s="164"/>
      <c r="AL1" s="164"/>
      <c r="AM1" s="164"/>
      <c r="AN1" s="164"/>
      <c r="AO1" s="164"/>
      <c r="AP1" s="164"/>
      <c r="AQ1" s="164"/>
      <c r="AR1" s="164"/>
      <c r="AS1" s="164"/>
      <c r="AT1" s="165"/>
      <c r="AU1" s="66"/>
    </row>
    <row r="2" spans="1:47" s="5" customFormat="1" ht="21" thickBot="1" x14ac:dyDescent="0.25">
      <c r="A2" s="170"/>
      <c r="B2" s="172"/>
      <c r="C2" s="66" t="s">
        <v>154</v>
      </c>
      <c r="D2" s="166" t="s">
        <v>158</v>
      </c>
      <c r="E2" s="167"/>
      <c r="F2" s="167"/>
      <c r="G2" s="167"/>
      <c r="H2" s="167"/>
      <c r="I2" s="166" t="s">
        <v>159</v>
      </c>
      <c r="J2" s="167"/>
      <c r="K2" s="68" t="s">
        <v>157</v>
      </c>
      <c r="L2" s="77" t="s">
        <v>156</v>
      </c>
      <c r="M2" s="68" t="s">
        <v>155</v>
      </c>
      <c r="N2" s="66" t="s">
        <v>154</v>
      </c>
      <c r="O2" s="166" t="s">
        <v>158</v>
      </c>
      <c r="P2" s="167"/>
      <c r="Q2" s="167"/>
      <c r="R2" s="167"/>
      <c r="S2" s="167"/>
      <c r="T2" s="166" t="s">
        <v>159</v>
      </c>
      <c r="U2" s="167"/>
      <c r="V2" s="68" t="s">
        <v>157</v>
      </c>
      <c r="W2" s="68" t="s">
        <v>156</v>
      </c>
      <c r="X2" s="68" t="s">
        <v>155</v>
      </c>
      <c r="Y2" s="66" t="s">
        <v>154</v>
      </c>
      <c r="Z2" s="166" t="s">
        <v>158</v>
      </c>
      <c r="AA2" s="167"/>
      <c r="AB2" s="167"/>
      <c r="AC2" s="167"/>
      <c r="AD2" s="167"/>
      <c r="AE2" s="166" t="s">
        <v>159</v>
      </c>
      <c r="AF2" s="167"/>
      <c r="AG2" s="68" t="s">
        <v>157</v>
      </c>
      <c r="AH2" s="68" t="s">
        <v>156</v>
      </c>
      <c r="AI2" s="68" t="s">
        <v>155</v>
      </c>
      <c r="AJ2" s="66" t="s">
        <v>154</v>
      </c>
      <c r="AK2" s="166" t="s">
        <v>158</v>
      </c>
      <c r="AL2" s="167"/>
      <c r="AM2" s="167"/>
      <c r="AN2" s="167"/>
      <c r="AO2" s="167"/>
      <c r="AP2" s="166" t="s">
        <v>159</v>
      </c>
      <c r="AQ2" s="167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3" t="s">
        <v>100</v>
      </c>
      <c r="B3" s="9" t="s">
        <v>0</v>
      </c>
      <c r="C3" s="1" t="s">
        <v>2476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2501</v>
      </c>
      <c r="L3" s="142">
        <v>2501</v>
      </c>
      <c r="M3" s="142">
        <v>2501</v>
      </c>
      <c r="N3" s="14" t="s">
        <v>2475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2032</v>
      </c>
      <c r="W3" s="142">
        <v>2032</v>
      </c>
      <c r="X3" s="142">
        <v>2032</v>
      </c>
      <c r="Y3" s="14" t="s">
        <v>2474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44909</v>
      </c>
      <c r="AH3" s="142">
        <v>4490.8999999999996</v>
      </c>
      <c r="AI3" s="142">
        <v>4200.5</v>
      </c>
      <c r="AJ3" s="14" t="s">
        <v>2473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44779</v>
      </c>
      <c r="AS3" s="142">
        <v>4477.8999999999996</v>
      </c>
      <c r="AT3" s="142">
        <v>4179</v>
      </c>
    </row>
    <row r="4" spans="1:47" x14ac:dyDescent="0.2">
      <c r="A4" s="174"/>
      <c r="B4" s="9" t="s">
        <v>1</v>
      </c>
      <c r="C4" s="1" t="s">
        <v>2472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182330</v>
      </c>
      <c r="L4" s="142">
        <v>182330</v>
      </c>
      <c r="M4" s="142">
        <v>182330</v>
      </c>
      <c r="N4" s="14" t="s">
        <v>2471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182327</v>
      </c>
      <c r="W4" s="142">
        <v>182327</v>
      </c>
      <c r="X4" s="142">
        <v>182327</v>
      </c>
      <c r="Y4" s="14" t="s">
        <v>2470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66045</v>
      </c>
      <c r="AH4" s="142">
        <v>6604.5</v>
      </c>
      <c r="AI4" s="142">
        <v>6285.5</v>
      </c>
      <c r="AJ4" s="14" t="s">
        <v>2469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67219</v>
      </c>
      <c r="AS4" s="142">
        <v>6721.9</v>
      </c>
      <c r="AT4" s="142">
        <v>6360.5</v>
      </c>
    </row>
    <row r="5" spans="1:47" x14ac:dyDescent="0.2">
      <c r="A5" s="174"/>
      <c r="B5" s="9" t="s">
        <v>2</v>
      </c>
      <c r="C5" s="1" t="s">
        <v>2468</v>
      </c>
      <c r="D5" s="142" t="s">
        <v>106</v>
      </c>
      <c r="E5" s="80">
        <v>0</v>
      </c>
      <c r="F5" s="1" t="s">
        <v>169</v>
      </c>
      <c r="G5" s="80">
        <v>1</v>
      </c>
      <c r="H5" s="1" t="s">
        <v>452</v>
      </c>
      <c r="I5" s="143">
        <v>1</v>
      </c>
      <c r="J5" s="1" t="s">
        <v>452</v>
      </c>
      <c r="K5" s="142">
        <v>2097</v>
      </c>
      <c r="L5" s="142">
        <v>2097</v>
      </c>
      <c r="M5" s="142">
        <v>2097</v>
      </c>
      <c r="N5" s="14" t="s">
        <v>2467</v>
      </c>
      <c r="O5" s="142" t="s">
        <v>106</v>
      </c>
      <c r="P5" s="80">
        <v>0</v>
      </c>
      <c r="Q5" s="1" t="s">
        <v>169</v>
      </c>
      <c r="R5" s="80">
        <v>1</v>
      </c>
      <c r="S5" s="1" t="s">
        <v>452</v>
      </c>
      <c r="T5" s="143">
        <v>1</v>
      </c>
      <c r="U5" s="1" t="s">
        <v>452</v>
      </c>
      <c r="V5" s="142">
        <v>2066</v>
      </c>
      <c r="W5" s="142">
        <v>2066</v>
      </c>
      <c r="X5" s="142">
        <v>2066</v>
      </c>
      <c r="Y5" s="14" t="s">
        <v>2466</v>
      </c>
      <c r="Z5" s="142" t="s">
        <v>106</v>
      </c>
      <c r="AA5" s="80">
        <v>1</v>
      </c>
      <c r="AB5" s="1" t="s">
        <v>516</v>
      </c>
      <c r="AC5" s="80">
        <v>1</v>
      </c>
      <c r="AD5" s="1" t="s">
        <v>516</v>
      </c>
      <c r="AE5" s="143">
        <v>1</v>
      </c>
      <c r="AF5" s="1" t="s">
        <v>529</v>
      </c>
      <c r="AG5" s="142">
        <v>41975</v>
      </c>
      <c r="AH5" s="142">
        <v>4197.5</v>
      </c>
      <c r="AI5" s="142">
        <v>4182</v>
      </c>
      <c r="AJ5" s="14" t="s">
        <v>2465</v>
      </c>
      <c r="AK5" s="142" t="s">
        <v>106</v>
      </c>
      <c r="AL5" s="80">
        <v>1</v>
      </c>
      <c r="AM5" s="1" t="s">
        <v>516</v>
      </c>
      <c r="AN5" s="80">
        <v>1</v>
      </c>
      <c r="AO5" s="1" t="s">
        <v>516</v>
      </c>
      <c r="AP5" s="143">
        <v>1</v>
      </c>
      <c r="AQ5" s="1" t="s">
        <v>529</v>
      </c>
      <c r="AR5" s="142">
        <v>42008</v>
      </c>
      <c r="AS5" s="142">
        <v>4200.8</v>
      </c>
      <c r="AT5" s="142">
        <v>4169</v>
      </c>
    </row>
    <row r="6" spans="1:47" x14ac:dyDescent="0.2">
      <c r="A6" s="174"/>
      <c r="B6" s="9" t="s">
        <v>3</v>
      </c>
      <c r="C6" s="1" t="s">
        <v>2464</v>
      </c>
      <c r="D6" s="142" t="s">
        <v>106</v>
      </c>
      <c r="E6" s="80">
        <v>1</v>
      </c>
      <c r="F6" s="1" t="s">
        <v>452</v>
      </c>
      <c r="G6" s="1" t="s">
        <v>164</v>
      </c>
      <c r="H6" s="1" t="s">
        <v>164</v>
      </c>
      <c r="I6" s="143">
        <v>1</v>
      </c>
      <c r="J6" s="1" t="s">
        <v>452</v>
      </c>
      <c r="K6" s="142">
        <v>182504</v>
      </c>
      <c r="L6" s="142">
        <v>182504</v>
      </c>
      <c r="M6" s="142">
        <v>182504</v>
      </c>
      <c r="N6" s="14" t="s">
        <v>2463</v>
      </c>
      <c r="O6" s="142" t="s">
        <v>106</v>
      </c>
      <c r="P6" s="80">
        <v>1</v>
      </c>
      <c r="Q6" s="1" t="s">
        <v>452</v>
      </c>
      <c r="R6" s="1" t="s">
        <v>164</v>
      </c>
      <c r="S6" s="1" t="s">
        <v>164</v>
      </c>
      <c r="T6" s="143">
        <v>1</v>
      </c>
      <c r="U6" s="1" t="s">
        <v>452</v>
      </c>
      <c r="V6" s="142">
        <v>182484</v>
      </c>
      <c r="W6" s="142">
        <v>182484</v>
      </c>
      <c r="X6" s="142">
        <v>182484</v>
      </c>
      <c r="Y6" s="14" t="s">
        <v>2462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63420</v>
      </c>
      <c r="AH6" s="142">
        <v>6342</v>
      </c>
      <c r="AI6" s="142">
        <v>6354</v>
      </c>
      <c r="AJ6" s="14" t="s">
        <v>2461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63361</v>
      </c>
      <c r="AS6" s="142">
        <v>6336.1</v>
      </c>
      <c r="AT6" s="142">
        <v>6351</v>
      </c>
    </row>
    <row r="7" spans="1:47" x14ac:dyDescent="0.2">
      <c r="A7" s="174"/>
      <c r="B7" s="9" t="s">
        <v>4</v>
      </c>
      <c r="C7" s="1" t="s">
        <v>2460</v>
      </c>
      <c r="D7" s="142" t="s">
        <v>106</v>
      </c>
      <c r="E7" s="80">
        <v>0</v>
      </c>
      <c r="F7" s="1" t="s">
        <v>169</v>
      </c>
      <c r="G7" s="80">
        <v>1</v>
      </c>
      <c r="H7" s="1" t="s">
        <v>452</v>
      </c>
      <c r="I7" s="143">
        <v>1</v>
      </c>
      <c r="J7" s="1" t="s">
        <v>452</v>
      </c>
      <c r="K7" s="142">
        <v>2980</v>
      </c>
      <c r="L7" s="142">
        <v>2980</v>
      </c>
      <c r="M7" s="142">
        <v>2980</v>
      </c>
      <c r="N7" s="14" t="s">
        <v>2459</v>
      </c>
      <c r="O7" s="142" t="s">
        <v>106</v>
      </c>
      <c r="P7" s="80">
        <v>0</v>
      </c>
      <c r="Q7" s="1" t="s">
        <v>169</v>
      </c>
      <c r="R7" s="80">
        <v>1</v>
      </c>
      <c r="S7" s="1" t="s">
        <v>1073</v>
      </c>
      <c r="T7" s="143">
        <v>1</v>
      </c>
      <c r="U7" s="1" t="s">
        <v>1073</v>
      </c>
      <c r="V7" s="142">
        <v>6072</v>
      </c>
      <c r="W7" s="142">
        <v>3036</v>
      </c>
      <c r="X7" s="142">
        <v>3036</v>
      </c>
      <c r="Y7" s="14" t="s">
        <v>2458</v>
      </c>
      <c r="Z7" s="142" t="s">
        <v>106</v>
      </c>
      <c r="AA7" s="80">
        <v>1</v>
      </c>
      <c r="AB7" s="1" t="s">
        <v>516</v>
      </c>
      <c r="AC7" s="80">
        <v>1</v>
      </c>
      <c r="AD7" s="1" t="s">
        <v>516</v>
      </c>
      <c r="AE7" s="143">
        <v>1</v>
      </c>
      <c r="AF7" s="1" t="s">
        <v>529</v>
      </c>
      <c r="AG7" s="142">
        <v>60401</v>
      </c>
      <c r="AH7" s="142">
        <v>6040.1</v>
      </c>
      <c r="AI7" s="142">
        <v>6183</v>
      </c>
      <c r="AJ7" s="14" t="s">
        <v>2457</v>
      </c>
      <c r="AK7" s="142" t="s">
        <v>106</v>
      </c>
      <c r="AL7" s="80">
        <v>1</v>
      </c>
      <c r="AM7" s="1" t="s">
        <v>529</v>
      </c>
      <c r="AN7" s="80">
        <v>1</v>
      </c>
      <c r="AO7" s="1" t="s">
        <v>1325</v>
      </c>
      <c r="AP7" s="143">
        <v>0.95</v>
      </c>
      <c r="AQ7" s="1" t="s">
        <v>1315</v>
      </c>
      <c r="AR7" s="142">
        <v>114923</v>
      </c>
      <c r="AS7" s="142">
        <v>6048.58</v>
      </c>
      <c r="AT7" s="142">
        <v>6289</v>
      </c>
    </row>
    <row r="8" spans="1:47" x14ac:dyDescent="0.2">
      <c r="A8" s="174"/>
      <c r="B8" s="9" t="s">
        <v>5</v>
      </c>
      <c r="C8" s="1" t="s">
        <v>2456</v>
      </c>
      <c r="D8" s="142" t="s">
        <v>106</v>
      </c>
      <c r="E8" s="80">
        <v>1</v>
      </c>
      <c r="F8" s="1" t="s">
        <v>452</v>
      </c>
      <c r="G8" s="1" t="s">
        <v>164</v>
      </c>
      <c r="H8" s="1" t="s">
        <v>164</v>
      </c>
      <c r="I8" s="143">
        <v>1</v>
      </c>
      <c r="J8" s="1" t="s">
        <v>452</v>
      </c>
      <c r="K8" s="142">
        <v>185694</v>
      </c>
      <c r="L8" s="142">
        <v>185694</v>
      </c>
      <c r="M8" s="142">
        <v>185694</v>
      </c>
      <c r="N8" s="14" t="s">
        <v>2455</v>
      </c>
      <c r="O8" s="142" t="s">
        <v>106</v>
      </c>
      <c r="P8" s="80">
        <v>1</v>
      </c>
      <c r="Q8" s="1" t="s">
        <v>1073</v>
      </c>
      <c r="R8" s="1" t="s">
        <v>164</v>
      </c>
      <c r="S8" s="1" t="s">
        <v>164</v>
      </c>
      <c r="T8" s="143">
        <v>1</v>
      </c>
      <c r="U8" s="1" t="s">
        <v>1073</v>
      </c>
      <c r="V8" s="142">
        <v>371595</v>
      </c>
      <c r="W8" s="142">
        <v>185797.5</v>
      </c>
      <c r="X8" s="142">
        <v>185797.5</v>
      </c>
      <c r="Y8" s="14" t="s">
        <v>2454</v>
      </c>
      <c r="Z8" s="142" t="s">
        <v>106</v>
      </c>
      <c r="AA8" s="80">
        <v>1</v>
      </c>
      <c r="AB8" s="1" t="s">
        <v>529</v>
      </c>
      <c r="AC8" s="1" t="s">
        <v>164</v>
      </c>
      <c r="AD8" s="1" t="s">
        <v>164</v>
      </c>
      <c r="AE8" s="143">
        <v>1</v>
      </c>
      <c r="AF8" s="1" t="s">
        <v>529</v>
      </c>
      <c r="AG8" s="142">
        <v>80983</v>
      </c>
      <c r="AH8" s="142">
        <v>8098.3</v>
      </c>
      <c r="AI8" s="142">
        <v>8160</v>
      </c>
      <c r="AJ8" s="14" t="s">
        <v>2453</v>
      </c>
      <c r="AK8" s="142" t="s">
        <v>106</v>
      </c>
      <c r="AL8" s="80">
        <v>1</v>
      </c>
      <c r="AM8" s="1" t="s">
        <v>1070</v>
      </c>
      <c r="AN8" s="1" t="s">
        <v>164</v>
      </c>
      <c r="AO8" s="1" t="s">
        <v>164</v>
      </c>
      <c r="AP8" s="143">
        <v>1</v>
      </c>
      <c r="AQ8" s="1" t="s">
        <v>1070</v>
      </c>
      <c r="AR8" s="142">
        <v>162645</v>
      </c>
      <c r="AS8" s="142">
        <v>8132.25</v>
      </c>
      <c r="AT8" s="142">
        <v>8194</v>
      </c>
    </row>
    <row r="9" spans="1:47" x14ac:dyDescent="0.2">
      <c r="A9" s="174"/>
      <c r="B9" s="9" t="s">
        <v>6</v>
      </c>
      <c r="C9" s="1" t="s">
        <v>2452</v>
      </c>
      <c r="D9" s="142" t="s">
        <v>106</v>
      </c>
      <c r="E9" s="80">
        <v>0</v>
      </c>
      <c r="F9" s="1" t="s">
        <v>169</v>
      </c>
      <c r="G9" s="80">
        <v>1</v>
      </c>
      <c r="H9" s="1" t="s">
        <v>452</v>
      </c>
      <c r="I9" s="143">
        <v>1</v>
      </c>
      <c r="J9" s="1" t="s">
        <v>452</v>
      </c>
      <c r="K9" s="142">
        <v>4113</v>
      </c>
      <c r="L9" s="142">
        <v>4113</v>
      </c>
      <c r="M9" s="142">
        <v>4113</v>
      </c>
      <c r="N9" s="14" t="s">
        <v>2451</v>
      </c>
      <c r="O9" s="142" t="s">
        <v>106</v>
      </c>
      <c r="P9" s="80">
        <v>0</v>
      </c>
      <c r="Q9" s="1" t="s">
        <v>169</v>
      </c>
      <c r="R9" s="80">
        <v>1</v>
      </c>
      <c r="S9" s="1" t="s">
        <v>1073</v>
      </c>
      <c r="T9" s="143">
        <v>1</v>
      </c>
      <c r="U9" s="1" t="s">
        <v>1073</v>
      </c>
      <c r="V9" s="142">
        <v>7991</v>
      </c>
      <c r="W9" s="142">
        <v>3995.5</v>
      </c>
      <c r="X9" s="142">
        <v>3995.5</v>
      </c>
      <c r="Y9" s="14" t="s">
        <v>2450</v>
      </c>
      <c r="Z9" s="142" t="s">
        <v>106</v>
      </c>
      <c r="AA9" s="80">
        <v>1</v>
      </c>
      <c r="AB9" s="1" t="s">
        <v>516</v>
      </c>
      <c r="AC9" s="80">
        <v>1</v>
      </c>
      <c r="AD9" s="1" t="s">
        <v>516</v>
      </c>
      <c r="AE9" s="143">
        <v>1</v>
      </c>
      <c r="AF9" s="1" t="s">
        <v>529</v>
      </c>
      <c r="AG9" s="142">
        <v>108329</v>
      </c>
      <c r="AH9" s="142">
        <v>10832.9</v>
      </c>
      <c r="AI9" s="142">
        <v>6342</v>
      </c>
      <c r="AJ9" s="14" t="s">
        <v>2449</v>
      </c>
      <c r="AK9" s="142" t="s">
        <v>106</v>
      </c>
      <c r="AL9" s="80">
        <v>1</v>
      </c>
      <c r="AM9" s="1" t="s">
        <v>529</v>
      </c>
      <c r="AN9" s="80">
        <v>1</v>
      </c>
      <c r="AO9" s="1" t="s">
        <v>529</v>
      </c>
      <c r="AP9" s="143">
        <v>1</v>
      </c>
      <c r="AQ9" s="1" t="s">
        <v>1070</v>
      </c>
      <c r="AR9" s="142">
        <v>317138</v>
      </c>
      <c r="AS9" s="142">
        <v>15856.9</v>
      </c>
      <c r="AT9" s="142">
        <v>6369</v>
      </c>
    </row>
    <row r="10" spans="1:47" x14ac:dyDescent="0.2">
      <c r="A10" s="174"/>
      <c r="B10" s="9" t="s">
        <v>7</v>
      </c>
      <c r="C10" s="1" t="s">
        <v>2448</v>
      </c>
      <c r="D10" s="142" t="s">
        <v>106</v>
      </c>
      <c r="E10" s="80">
        <v>1</v>
      </c>
      <c r="F10" s="1" t="s">
        <v>452</v>
      </c>
      <c r="G10" s="1" t="s">
        <v>164</v>
      </c>
      <c r="H10" s="1" t="s">
        <v>164</v>
      </c>
      <c r="I10" s="143">
        <v>1</v>
      </c>
      <c r="J10" s="1" t="s">
        <v>452</v>
      </c>
      <c r="K10" s="142">
        <v>185235</v>
      </c>
      <c r="L10" s="142">
        <v>185235</v>
      </c>
      <c r="M10" s="142">
        <v>185235</v>
      </c>
      <c r="N10" s="14" t="s">
        <v>2447</v>
      </c>
      <c r="O10" s="142" t="s">
        <v>106</v>
      </c>
      <c r="P10" s="80">
        <v>1</v>
      </c>
      <c r="Q10" s="1" t="s">
        <v>1073</v>
      </c>
      <c r="R10" s="1" t="s">
        <v>164</v>
      </c>
      <c r="S10" s="1" t="s">
        <v>164</v>
      </c>
      <c r="T10" s="143">
        <v>1</v>
      </c>
      <c r="U10" s="1" t="s">
        <v>1073</v>
      </c>
      <c r="V10" s="142">
        <v>370417</v>
      </c>
      <c r="W10" s="142">
        <v>185208.5</v>
      </c>
      <c r="X10" s="142">
        <v>185208.5</v>
      </c>
      <c r="Y10" s="14" t="s">
        <v>2446</v>
      </c>
      <c r="Z10" s="142" t="s">
        <v>106</v>
      </c>
      <c r="AA10" s="80">
        <v>1</v>
      </c>
      <c r="AB10" s="1" t="s">
        <v>529</v>
      </c>
      <c r="AC10" s="1" t="s">
        <v>164</v>
      </c>
      <c r="AD10" s="1" t="s">
        <v>164</v>
      </c>
      <c r="AE10" s="143">
        <v>1</v>
      </c>
      <c r="AF10" s="1" t="s">
        <v>529</v>
      </c>
      <c r="AG10" s="142">
        <v>79415</v>
      </c>
      <c r="AH10" s="142">
        <v>7941.5</v>
      </c>
      <c r="AI10" s="142">
        <v>7889</v>
      </c>
      <c r="AJ10" s="14" t="s">
        <v>2445</v>
      </c>
      <c r="AK10" s="142" t="s">
        <v>106</v>
      </c>
      <c r="AL10" s="80">
        <v>1</v>
      </c>
      <c r="AM10" s="1" t="s">
        <v>1070</v>
      </c>
      <c r="AN10" s="1" t="s">
        <v>164</v>
      </c>
      <c r="AO10" s="1" t="s">
        <v>164</v>
      </c>
      <c r="AP10" s="143">
        <v>1</v>
      </c>
      <c r="AQ10" s="1" t="s">
        <v>1070</v>
      </c>
      <c r="AR10" s="142">
        <v>164487</v>
      </c>
      <c r="AS10" s="142">
        <v>8224.35</v>
      </c>
      <c r="AT10" s="142">
        <v>7911</v>
      </c>
    </row>
    <row r="11" spans="1:47" x14ac:dyDescent="0.2">
      <c r="A11" s="174"/>
      <c r="B11" s="9" t="s">
        <v>8</v>
      </c>
      <c r="C11" s="1" t="s">
        <v>2444</v>
      </c>
      <c r="D11" s="142" t="s">
        <v>106</v>
      </c>
      <c r="E11" s="80">
        <v>0</v>
      </c>
      <c r="F11" s="1" t="s">
        <v>169</v>
      </c>
      <c r="G11" s="80">
        <v>1</v>
      </c>
      <c r="H11" s="1" t="s">
        <v>452</v>
      </c>
      <c r="I11" s="143">
        <v>1</v>
      </c>
      <c r="J11" s="1" t="s">
        <v>452</v>
      </c>
      <c r="K11" s="142">
        <v>2323</v>
      </c>
      <c r="L11" s="142">
        <v>2323</v>
      </c>
      <c r="M11" s="142">
        <v>2323</v>
      </c>
      <c r="N11" s="14" t="s">
        <v>2443</v>
      </c>
      <c r="O11" s="142" t="s">
        <v>106</v>
      </c>
      <c r="P11" s="80">
        <v>1</v>
      </c>
      <c r="Q11" s="1" t="s">
        <v>452</v>
      </c>
      <c r="R11" s="80">
        <v>1</v>
      </c>
      <c r="S11" s="1" t="s">
        <v>452</v>
      </c>
      <c r="T11" s="143">
        <v>1</v>
      </c>
      <c r="U11" s="1" t="s">
        <v>1073</v>
      </c>
      <c r="V11" s="142">
        <v>49089</v>
      </c>
      <c r="W11" s="142">
        <v>24544.5</v>
      </c>
      <c r="X11" s="142">
        <v>24544.5</v>
      </c>
      <c r="Y11" s="14" t="s">
        <v>2442</v>
      </c>
      <c r="Z11" s="142" t="s">
        <v>106</v>
      </c>
      <c r="AA11" s="80">
        <v>1</v>
      </c>
      <c r="AB11" s="1" t="s">
        <v>516</v>
      </c>
      <c r="AC11" s="80">
        <v>0.8</v>
      </c>
      <c r="AD11" s="1" t="s">
        <v>506</v>
      </c>
      <c r="AE11" s="143">
        <v>0.9</v>
      </c>
      <c r="AF11" s="1" t="s">
        <v>951</v>
      </c>
      <c r="AG11" s="142">
        <v>59203</v>
      </c>
      <c r="AH11" s="142">
        <v>6578.11</v>
      </c>
      <c r="AI11" s="142">
        <v>7363</v>
      </c>
      <c r="AJ11" s="14" t="s">
        <v>2441</v>
      </c>
      <c r="AK11" s="142" t="s">
        <v>106</v>
      </c>
      <c r="AL11" s="80">
        <v>1</v>
      </c>
      <c r="AM11" s="1" t="s">
        <v>2400</v>
      </c>
      <c r="AN11" s="80">
        <v>0.8</v>
      </c>
      <c r="AO11" s="1" t="s">
        <v>506</v>
      </c>
      <c r="AP11" s="143">
        <v>0.95</v>
      </c>
      <c r="AQ11" s="1" t="s">
        <v>1315</v>
      </c>
      <c r="AR11" s="142">
        <v>152603</v>
      </c>
      <c r="AS11" s="142">
        <v>8031.74</v>
      </c>
      <c r="AT11" s="142">
        <v>7416</v>
      </c>
      <c r="AU11" s="4" t="s">
        <v>98</v>
      </c>
    </row>
    <row r="12" spans="1:47" x14ac:dyDescent="0.2">
      <c r="A12" s="174"/>
      <c r="B12" s="9" t="s">
        <v>9</v>
      </c>
      <c r="C12" s="1" t="s">
        <v>2440</v>
      </c>
      <c r="D12" s="142" t="s">
        <v>107</v>
      </c>
      <c r="E12" s="1" t="s">
        <v>164</v>
      </c>
      <c r="F12" s="1" t="s">
        <v>164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2439</v>
      </c>
      <c r="O12" s="142" t="s">
        <v>107</v>
      </c>
      <c r="P12" s="1" t="s">
        <v>164</v>
      </c>
      <c r="Q12" s="1" t="s">
        <v>164</v>
      </c>
      <c r="R12" s="1" t="s">
        <v>164</v>
      </c>
      <c r="S12" s="1" t="s">
        <v>164</v>
      </c>
      <c r="T12" s="143">
        <v>0.5</v>
      </c>
      <c r="U12" s="1" t="s">
        <v>1108</v>
      </c>
      <c r="V12" s="142">
        <v>45889</v>
      </c>
      <c r="W12" s="142">
        <v>45889</v>
      </c>
      <c r="X12" s="142">
        <v>45889</v>
      </c>
      <c r="Y12" s="14" t="s">
        <v>2438</v>
      </c>
      <c r="Z12" s="142" t="s">
        <v>107</v>
      </c>
      <c r="AA12" s="1" t="s">
        <v>164</v>
      </c>
      <c r="AB12" s="1" t="s">
        <v>164</v>
      </c>
      <c r="AC12" s="1" t="s">
        <v>164</v>
      </c>
      <c r="AD12" s="1" t="s">
        <v>164</v>
      </c>
      <c r="AE12" s="143">
        <v>0.6</v>
      </c>
      <c r="AF12" s="1" t="s">
        <v>963</v>
      </c>
      <c r="AG12" s="142">
        <v>44602</v>
      </c>
      <c r="AH12" s="142">
        <v>7433.67</v>
      </c>
      <c r="AI12" s="142">
        <v>7426</v>
      </c>
      <c r="AJ12" s="14" t="s">
        <v>2437</v>
      </c>
      <c r="AK12" s="142" t="s">
        <v>107</v>
      </c>
      <c r="AL12" s="1" t="s">
        <v>164</v>
      </c>
      <c r="AM12" s="1" t="s">
        <v>164</v>
      </c>
      <c r="AN12" s="1" t="s">
        <v>164</v>
      </c>
      <c r="AO12" s="1" t="s">
        <v>164</v>
      </c>
      <c r="AP12" s="143">
        <v>0.8</v>
      </c>
      <c r="AQ12" s="1" t="s">
        <v>1320</v>
      </c>
      <c r="AR12" s="142">
        <v>137661</v>
      </c>
      <c r="AS12" s="142">
        <v>8603.81</v>
      </c>
      <c r="AT12" s="142">
        <v>7417</v>
      </c>
      <c r="AU12" s="4" t="s">
        <v>98</v>
      </c>
    </row>
    <row r="13" spans="1:47" x14ac:dyDescent="0.2">
      <c r="A13" s="174"/>
      <c r="B13" s="9" t="s">
        <v>12</v>
      </c>
      <c r="C13" s="1" t="s">
        <v>2436</v>
      </c>
      <c r="D13" s="142" t="s">
        <v>106</v>
      </c>
      <c r="E13" s="80">
        <v>0</v>
      </c>
      <c r="F13" s="1" t="s">
        <v>169</v>
      </c>
      <c r="G13" s="80">
        <v>1</v>
      </c>
      <c r="H13" s="1" t="s">
        <v>452</v>
      </c>
      <c r="I13" s="143">
        <v>1</v>
      </c>
      <c r="J13" s="1" t="s">
        <v>452</v>
      </c>
      <c r="K13" s="142">
        <v>2018</v>
      </c>
      <c r="L13" s="142">
        <v>2018</v>
      </c>
      <c r="M13" s="142">
        <v>2018</v>
      </c>
      <c r="N13" s="14" t="s">
        <v>2435</v>
      </c>
      <c r="O13" s="142" t="s">
        <v>106</v>
      </c>
      <c r="P13" s="80">
        <v>0</v>
      </c>
      <c r="Q13" s="1" t="s">
        <v>169</v>
      </c>
      <c r="R13" s="80">
        <v>1</v>
      </c>
      <c r="S13" s="1" t="s">
        <v>452</v>
      </c>
      <c r="T13" s="143">
        <v>1</v>
      </c>
      <c r="U13" s="1" t="s">
        <v>452</v>
      </c>
      <c r="V13" s="142">
        <v>2001</v>
      </c>
      <c r="W13" s="142">
        <v>2001</v>
      </c>
      <c r="X13" s="142">
        <v>2001</v>
      </c>
      <c r="Y13" s="14" t="s">
        <v>2434</v>
      </c>
      <c r="Z13" s="142" t="s">
        <v>106</v>
      </c>
      <c r="AA13" s="80">
        <v>1</v>
      </c>
      <c r="AB13" s="1" t="s">
        <v>516</v>
      </c>
      <c r="AC13" s="80">
        <v>1</v>
      </c>
      <c r="AD13" s="1" t="s">
        <v>516</v>
      </c>
      <c r="AE13" s="143">
        <v>1</v>
      </c>
      <c r="AF13" s="1" t="s">
        <v>529</v>
      </c>
      <c r="AG13" s="142">
        <v>43132</v>
      </c>
      <c r="AH13" s="142">
        <v>4313.2</v>
      </c>
      <c r="AI13" s="142">
        <v>4156</v>
      </c>
      <c r="AJ13" s="14" t="s">
        <v>2433</v>
      </c>
      <c r="AK13" s="142" t="s">
        <v>106</v>
      </c>
      <c r="AL13" s="80">
        <v>1</v>
      </c>
      <c r="AM13" s="1" t="s">
        <v>516</v>
      </c>
      <c r="AN13" s="80">
        <v>1</v>
      </c>
      <c r="AO13" s="1" t="s">
        <v>516</v>
      </c>
      <c r="AP13" s="143">
        <v>1</v>
      </c>
      <c r="AQ13" s="1" t="s">
        <v>529</v>
      </c>
      <c r="AR13" s="142">
        <v>42907</v>
      </c>
      <c r="AS13" s="142">
        <v>4290.7</v>
      </c>
      <c r="AT13" s="142">
        <v>4138.5</v>
      </c>
      <c r="AU13" s="4" t="s">
        <v>97</v>
      </c>
    </row>
    <row r="14" spans="1:47" x14ac:dyDescent="0.2">
      <c r="A14" s="174"/>
      <c r="B14" s="9" t="s">
        <v>13</v>
      </c>
      <c r="C14" s="1" t="s">
        <v>2432</v>
      </c>
      <c r="D14" s="142" t="s">
        <v>106</v>
      </c>
      <c r="E14" s="80">
        <v>1</v>
      </c>
      <c r="F14" s="1" t="s">
        <v>452</v>
      </c>
      <c r="G14" s="1" t="s">
        <v>164</v>
      </c>
      <c r="H14" s="1" t="s">
        <v>164</v>
      </c>
      <c r="I14" s="143">
        <v>1</v>
      </c>
      <c r="J14" s="1" t="s">
        <v>452</v>
      </c>
      <c r="K14" s="142">
        <v>43704</v>
      </c>
      <c r="L14" s="142">
        <v>43704</v>
      </c>
      <c r="M14" s="142">
        <v>43704</v>
      </c>
      <c r="N14" s="14" t="s">
        <v>2431</v>
      </c>
      <c r="O14" s="142" t="s">
        <v>106</v>
      </c>
      <c r="P14" s="80">
        <v>1</v>
      </c>
      <c r="Q14" s="1" t="s">
        <v>452</v>
      </c>
      <c r="R14" s="1" t="s">
        <v>164</v>
      </c>
      <c r="S14" s="1" t="s">
        <v>164</v>
      </c>
      <c r="T14" s="143">
        <v>1</v>
      </c>
      <c r="U14" s="1" t="s">
        <v>452</v>
      </c>
      <c r="V14" s="142">
        <v>42580</v>
      </c>
      <c r="W14" s="142">
        <v>42580</v>
      </c>
      <c r="X14" s="142">
        <v>42580</v>
      </c>
      <c r="Y14" s="14" t="s">
        <v>2430</v>
      </c>
      <c r="Z14" s="142" t="s">
        <v>106</v>
      </c>
      <c r="AA14" s="80">
        <v>1</v>
      </c>
      <c r="AB14" s="1" t="s">
        <v>529</v>
      </c>
      <c r="AC14" s="1" t="s">
        <v>164</v>
      </c>
      <c r="AD14" s="1" t="s">
        <v>164</v>
      </c>
      <c r="AE14" s="143">
        <v>1</v>
      </c>
      <c r="AF14" s="1" t="s">
        <v>529</v>
      </c>
      <c r="AG14" s="142">
        <v>67069</v>
      </c>
      <c r="AH14" s="142">
        <v>6706.9</v>
      </c>
      <c r="AI14" s="142">
        <v>6270</v>
      </c>
      <c r="AJ14" s="14" t="s">
        <v>2429</v>
      </c>
      <c r="AK14" s="142" t="s">
        <v>106</v>
      </c>
      <c r="AL14" s="80">
        <v>1</v>
      </c>
      <c r="AM14" s="1" t="s">
        <v>529</v>
      </c>
      <c r="AN14" s="1" t="s">
        <v>164</v>
      </c>
      <c r="AO14" s="1" t="s">
        <v>164</v>
      </c>
      <c r="AP14" s="143">
        <v>1</v>
      </c>
      <c r="AQ14" s="1" t="s">
        <v>529</v>
      </c>
      <c r="AR14" s="142">
        <v>66974</v>
      </c>
      <c r="AS14" s="142">
        <v>6697.4</v>
      </c>
      <c r="AT14" s="142">
        <v>6264.5</v>
      </c>
      <c r="AU14" s="4" t="s">
        <v>97</v>
      </c>
    </row>
    <row r="15" spans="1:47" x14ac:dyDescent="0.2">
      <c r="A15" s="174"/>
      <c r="B15" s="9" t="s">
        <v>14</v>
      </c>
      <c r="C15" s="1" t="s">
        <v>2428</v>
      </c>
      <c r="D15" s="142" t="s">
        <v>106</v>
      </c>
      <c r="E15" s="80">
        <v>0</v>
      </c>
      <c r="F15" s="1" t="s">
        <v>169</v>
      </c>
      <c r="G15" s="80">
        <v>1</v>
      </c>
      <c r="H15" s="1" t="s">
        <v>452</v>
      </c>
      <c r="I15" s="143">
        <v>1</v>
      </c>
      <c r="J15" s="1" t="s">
        <v>452</v>
      </c>
      <c r="K15" s="142">
        <v>2060</v>
      </c>
      <c r="L15" s="142">
        <v>2060</v>
      </c>
      <c r="M15" s="142">
        <v>2060</v>
      </c>
      <c r="N15" s="14" t="s">
        <v>2427</v>
      </c>
      <c r="O15" s="142" t="s">
        <v>106</v>
      </c>
      <c r="P15" s="80">
        <v>0</v>
      </c>
      <c r="Q15" s="1" t="s">
        <v>169</v>
      </c>
      <c r="R15" s="80">
        <v>1</v>
      </c>
      <c r="S15" s="1" t="s">
        <v>452</v>
      </c>
      <c r="T15" s="143">
        <v>1</v>
      </c>
      <c r="U15" s="1" t="s">
        <v>452</v>
      </c>
      <c r="V15" s="142">
        <v>1989</v>
      </c>
      <c r="W15" s="142">
        <v>1989</v>
      </c>
      <c r="X15" s="142">
        <v>1989</v>
      </c>
      <c r="Y15" s="14" t="s">
        <v>2426</v>
      </c>
      <c r="Z15" s="142" t="s">
        <v>106</v>
      </c>
      <c r="AA15" s="80">
        <v>1</v>
      </c>
      <c r="AB15" s="1" t="s">
        <v>516</v>
      </c>
      <c r="AC15" s="80">
        <v>1</v>
      </c>
      <c r="AD15" s="1" t="s">
        <v>516</v>
      </c>
      <c r="AE15" s="143">
        <v>1</v>
      </c>
      <c r="AF15" s="1" t="s">
        <v>529</v>
      </c>
      <c r="AG15" s="142">
        <v>44459</v>
      </c>
      <c r="AH15" s="142">
        <v>4445.8999999999996</v>
      </c>
      <c r="AI15" s="142">
        <v>4146</v>
      </c>
      <c r="AJ15" s="14" t="s">
        <v>2425</v>
      </c>
      <c r="AK15" s="142" t="s">
        <v>106</v>
      </c>
      <c r="AL15" s="80">
        <v>1</v>
      </c>
      <c r="AM15" s="1" t="s">
        <v>516</v>
      </c>
      <c r="AN15" s="80">
        <v>1</v>
      </c>
      <c r="AO15" s="1" t="s">
        <v>516</v>
      </c>
      <c r="AP15" s="143">
        <v>1</v>
      </c>
      <c r="AQ15" s="1" t="s">
        <v>529</v>
      </c>
      <c r="AR15" s="142">
        <v>44663</v>
      </c>
      <c r="AS15" s="142">
        <v>4466.3</v>
      </c>
      <c r="AT15" s="142">
        <v>4178</v>
      </c>
      <c r="AU15" s="4" t="s">
        <v>97</v>
      </c>
    </row>
    <row r="16" spans="1:47" x14ac:dyDescent="0.2">
      <c r="A16" s="174"/>
      <c r="B16" s="9" t="s">
        <v>15</v>
      </c>
      <c r="C16" s="1" t="s">
        <v>2424</v>
      </c>
      <c r="D16" s="142" t="s">
        <v>106</v>
      </c>
      <c r="E16" s="80">
        <v>1</v>
      </c>
      <c r="F16" s="1" t="s">
        <v>452</v>
      </c>
      <c r="G16" s="1" t="s">
        <v>164</v>
      </c>
      <c r="H16" s="1" t="s">
        <v>164</v>
      </c>
      <c r="I16" s="143">
        <v>1</v>
      </c>
      <c r="J16" s="1" t="s">
        <v>452</v>
      </c>
      <c r="K16" s="142">
        <v>51760</v>
      </c>
      <c r="L16" s="142">
        <v>51760</v>
      </c>
      <c r="M16" s="142">
        <v>51760</v>
      </c>
      <c r="N16" s="14" t="s">
        <v>2423</v>
      </c>
      <c r="O16" s="142" t="s">
        <v>106</v>
      </c>
      <c r="P16" s="80">
        <v>1</v>
      </c>
      <c r="Q16" s="1" t="s">
        <v>452</v>
      </c>
      <c r="R16" s="1" t="s">
        <v>164</v>
      </c>
      <c r="S16" s="1" t="s">
        <v>164</v>
      </c>
      <c r="T16" s="143">
        <v>1</v>
      </c>
      <c r="U16" s="1" t="s">
        <v>452</v>
      </c>
      <c r="V16" s="142">
        <v>54075</v>
      </c>
      <c r="W16" s="142">
        <v>54075</v>
      </c>
      <c r="X16" s="142">
        <v>54075</v>
      </c>
      <c r="Y16" s="14" t="s">
        <v>2422</v>
      </c>
      <c r="Z16" s="142" t="s">
        <v>106</v>
      </c>
      <c r="AA16" s="80">
        <v>1</v>
      </c>
      <c r="AB16" s="1" t="s">
        <v>529</v>
      </c>
      <c r="AC16" s="1" t="s">
        <v>164</v>
      </c>
      <c r="AD16" s="1" t="s">
        <v>164</v>
      </c>
      <c r="AE16" s="143">
        <v>1</v>
      </c>
      <c r="AF16" s="1" t="s">
        <v>529</v>
      </c>
      <c r="AG16" s="142">
        <v>65680</v>
      </c>
      <c r="AH16" s="142">
        <v>6568</v>
      </c>
      <c r="AI16" s="142">
        <v>6273</v>
      </c>
      <c r="AJ16" s="14" t="s">
        <v>2421</v>
      </c>
      <c r="AK16" s="142" t="s">
        <v>106</v>
      </c>
      <c r="AL16" s="80">
        <v>1</v>
      </c>
      <c r="AM16" s="1" t="s">
        <v>529</v>
      </c>
      <c r="AN16" s="1" t="s">
        <v>164</v>
      </c>
      <c r="AO16" s="1" t="s">
        <v>164</v>
      </c>
      <c r="AP16" s="143">
        <v>1</v>
      </c>
      <c r="AQ16" s="1" t="s">
        <v>529</v>
      </c>
      <c r="AR16" s="142">
        <v>65720</v>
      </c>
      <c r="AS16" s="142">
        <v>6572</v>
      </c>
      <c r="AT16" s="142">
        <v>6274</v>
      </c>
      <c r="AU16" s="4" t="s">
        <v>97</v>
      </c>
    </row>
    <row r="17" spans="1:47" x14ac:dyDescent="0.2">
      <c r="A17" s="174"/>
      <c r="B17" s="9" t="s">
        <v>16</v>
      </c>
      <c r="C17" s="1" t="s">
        <v>2420</v>
      </c>
      <c r="D17" s="142" t="s">
        <v>106</v>
      </c>
      <c r="E17" s="80">
        <v>0</v>
      </c>
      <c r="F17" s="1" t="s">
        <v>169</v>
      </c>
      <c r="G17" s="80">
        <v>1</v>
      </c>
      <c r="H17" s="1" t="s">
        <v>452</v>
      </c>
      <c r="I17" s="143">
        <v>1</v>
      </c>
      <c r="J17" s="1" t="s">
        <v>452</v>
      </c>
      <c r="K17" s="142">
        <v>1981</v>
      </c>
      <c r="L17" s="142">
        <v>1981</v>
      </c>
      <c r="M17" s="142">
        <v>1981</v>
      </c>
      <c r="N17" s="14" t="s">
        <v>2419</v>
      </c>
      <c r="O17" s="142" t="s">
        <v>106</v>
      </c>
      <c r="P17" s="80">
        <v>0</v>
      </c>
      <c r="Q17" s="1" t="s">
        <v>169</v>
      </c>
      <c r="R17" s="80">
        <v>1</v>
      </c>
      <c r="S17" s="1" t="s">
        <v>452</v>
      </c>
      <c r="T17" s="143">
        <v>1</v>
      </c>
      <c r="U17" s="1" t="s">
        <v>452</v>
      </c>
      <c r="V17" s="142">
        <v>1996</v>
      </c>
      <c r="W17" s="142">
        <v>1996</v>
      </c>
      <c r="X17" s="142">
        <v>1996</v>
      </c>
      <c r="Y17" s="14" t="s">
        <v>2418</v>
      </c>
      <c r="Z17" s="142" t="s">
        <v>106</v>
      </c>
      <c r="AA17" s="80">
        <v>1</v>
      </c>
      <c r="AB17" s="1" t="s">
        <v>516</v>
      </c>
      <c r="AC17" s="80">
        <v>1</v>
      </c>
      <c r="AD17" s="1" t="s">
        <v>516</v>
      </c>
      <c r="AE17" s="143">
        <v>1</v>
      </c>
      <c r="AF17" s="1" t="s">
        <v>529</v>
      </c>
      <c r="AG17" s="142">
        <v>47061</v>
      </c>
      <c r="AH17" s="142">
        <v>4706.1000000000004</v>
      </c>
      <c r="AI17" s="142">
        <v>4747.5</v>
      </c>
      <c r="AJ17" s="14" t="s">
        <v>2417</v>
      </c>
      <c r="AK17" s="142" t="s">
        <v>106</v>
      </c>
      <c r="AL17" s="80">
        <v>1</v>
      </c>
      <c r="AM17" s="1" t="s">
        <v>516</v>
      </c>
      <c r="AN17" s="80">
        <v>1</v>
      </c>
      <c r="AO17" s="1" t="s">
        <v>516</v>
      </c>
      <c r="AP17" s="143">
        <v>1</v>
      </c>
      <c r="AQ17" s="1" t="s">
        <v>529</v>
      </c>
      <c r="AR17" s="142">
        <v>47022</v>
      </c>
      <c r="AS17" s="142">
        <v>4702.2</v>
      </c>
      <c r="AT17" s="142">
        <v>4776.5</v>
      </c>
      <c r="AU17" s="4" t="s">
        <v>97</v>
      </c>
    </row>
    <row r="18" spans="1:47" x14ac:dyDescent="0.2">
      <c r="A18" s="174"/>
      <c r="B18" s="9" t="s">
        <v>17</v>
      </c>
      <c r="C18" s="1" t="s">
        <v>2416</v>
      </c>
      <c r="D18" s="142" t="s">
        <v>106</v>
      </c>
      <c r="E18" s="80">
        <v>1</v>
      </c>
      <c r="F18" s="1" t="s">
        <v>452</v>
      </c>
      <c r="G18" s="1" t="s">
        <v>164</v>
      </c>
      <c r="H18" s="1" t="s">
        <v>164</v>
      </c>
      <c r="I18" s="143">
        <v>1</v>
      </c>
      <c r="J18" s="1" t="s">
        <v>452</v>
      </c>
      <c r="K18" s="142">
        <v>60716</v>
      </c>
      <c r="L18" s="142">
        <v>60716</v>
      </c>
      <c r="M18" s="142">
        <v>60716</v>
      </c>
      <c r="N18" s="14" t="s">
        <v>2415</v>
      </c>
      <c r="O18" s="142" t="s">
        <v>106</v>
      </c>
      <c r="P18" s="80">
        <v>1</v>
      </c>
      <c r="Q18" s="1" t="s">
        <v>452</v>
      </c>
      <c r="R18" s="1" t="s">
        <v>164</v>
      </c>
      <c r="S18" s="1" t="s">
        <v>164</v>
      </c>
      <c r="T18" s="143">
        <v>1</v>
      </c>
      <c r="U18" s="1" t="s">
        <v>452</v>
      </c>
      <c r="V18" s="142">
        <v>69400</v>
      </c>
      <c r="W18" s="142">
        <v>69400</v>
      </c>
      <c r="X18" s="142">
        <v>69400</v>
      </c>
      <c r="Y18" s="14" t="s">
        <v>2414</v>
      </c>
      <c r="Z18" s="142" t="s">
        <v>106</v>
      </c>
      <c r="AA18" s="80">
        <v>1</v>
      </c>
      <c r="AB18" s="1" t="s">
        <v>529</v>
      </c>
      <c r="AC18" s="1" t="s">
        <v>164</v>
      </c>
      <c r="AD18" s="1" t="s">
        <v>164</v>
      </c>
      <c r="AE18" s="143">
        <v>1</v>
      </c>
      <c r="AF18" s="1" t="s">
        <v>529</v>
      </c>
      <c r="AG18" s="142">
        <v>72234</v>
      </c>
      <c r="AH18" s="142">
        <v>7223.4</v>
      </c>
      <c r="AI18" s="142">
        <v>7486</v>
      </c>
      <c r="AJ18" s="14" t="s">
        <v>2413</v>
      </c>
      <c r="AK18" s="142" t="s">
        <v>106</v>
      </c>
      <c r="AL18" s="80">
        <v>1</v>
      </c>
      <c r="AM18" s="1" t="s">
        <v>529</v>
      </c>
      <c r="AN18" s="1" t="s">
        <v>164</v>
      </c>
      <c r="AO18" s="1" t="s">
        <v>164</v>
      </c>
      <c r="AP18" s="143">
        <v>1</v>
      </c>
      <c r="AQ18" s="1" t="s">
        <v>529</v>
      </c>
      <c r="AR18" s="142">
        <v>72085</v>
      </c>
      <c r="AS18" s="142">
        <v>7208.5</v>
      </c>
      <c r="AT18" s="142">
        <v>7466.5</v>
      </c>
      <c r="AU18" s="4" t="s">
        <v>97</v>
      </c>
    </row>
    <row r="19" spans="1:47" x14ac:dyDescent="0.2">
      <c r="A19" s="174"/>
      <c r="B19" s="9" t="s">
        <v>18</v>
      </c>
      <c r="C19" s="1" t="s">
        <v>2412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2411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4508</v>
      </c>
      <c r="W19" s="142">
        <v>4508</v>
      </c>
      <c r="X19" s="142">
        <v>4508</v>
      </c>
      <c r="Y19" s="14" t="s">
        <v>2410</v>
      </c>
      <c r="Z19" s="142" t="s">
        <v>106</v>
      </c>
      <c r="AA19" s="80">
        <v>1</v>
      </c>
      <c r="AB19" s="1" t="s">
        <v>516</v>
      </c>
      <c r="AC19" s="80">
        <v>1</v>
      </c>
      <c r="AD19" s="1" t="s">
        <v>516</v>
      </c>
      <c r="AE19" s="143">
        <v>1</v>
      </c>
      <c r="AF19" s="1" t="s">
        <v>529</v>
      </c>
      <c r="AG19" s="142">
        <v>99142</v>
      </c>
      <c r="AH19" s="142">
        <v>9914.2000000000007</v>
      </c>
      <c r="AI19" s="142">
        <v>9914.5</v>
      </c>
      <c r="AJ19" s="14" t="s">
        <v>2409</v>
      </c>
      <c r="AK19" s="142" t="s">
        <v>106</v>
      </c>
      <c r="AL19" s="80">
        <v>1</v>
      </c>
      <c r="AM19" s="1" t="s">
        <v>2400</v>
      </c>
      <c r="AN19" s="80">
        <v>1</v>
      </c>
      <c r="AO19" s="1" t="s">
        <v>516</v>
      </c>
      <c r="AP19" s="143">
        <v>1</v>
      </c>
      <c r="AQ19" s="1" t="s">
        <v>1070</v>
      </c>
      <c r="AR19" s="142">
        <v>197591</v>
      </c>
      <c r="AS19" s="142">
        <v>9879.5499999999993</v>
      </c>
      <c r="AT19" s="142">
        <v>9747.5</v>
      </c>
      <c r="AU19" s="4" t="s">
        <v>99</v>
      </c>
    </row>
    <row r="20" spans="1:47" x14ac:dyDescent="0.2">
      <c r="A20" s="174"/>
      <c r="B20" s="9" t="s">
        <v>19</v>
      </c>
      <c r="C20" s="1" t="s">
        <v>2408</v>
      </c>
      <c r="D20" s="142" t="s">
        <v>106</v>
      </c>
      <c r="E20" s="80">
        <v>1</v>
      </c>
      <c r="F20" s="1" t="s">
        <v>452</v>
      </c>
      <c r="G20" s="1" t="s">
        <v>164</v>
      </c>
      <c r="H20" s="1" t="s">
        <v>164</v>
      </c>
      <c r="I20" s="143">
        <v>1</v>
      </c>
      <c r="J20" s="1" t="s">
        <v>452</v>
      </c>
      <c r="K20" s="142">
        <v>194247</v>
      </c>
      <c r="L20" s="142">
        <v>194247</v>
      </c>
      <c r="M20" s="142">
        <v>194247</v>
      </c>
      <c r="N20" s="14" t="s">
        <v>2407</v>
      </c>
      <c r="O20" s="142" t="s">
        <v>106</v>
      </c>
      <c r="P20" s="80">
        <v>1</v>
      </c>
      <c r="Q20" s="1" t="s">
        <v>1073</v>
      </c>
      <c r="R20" s="1" t="s">
        <v>164</v>
      </c>
      <c r="S20" s="1" t="s">
        <v>164</v>
      </c>
      <c r="T20" s="143">
        <v>1</v>
      </c>
      <c r="U20" s="1" t="s">
        <v>1073</v>
      </c>
      <c r="V20" s="142">
        <v>195751</v>
      </c>
      <c r="W20" s="142">
        <v>97875.5</v>
      </c>
      <c r="X20" s="142">
        <v>97875.5</v>
      </c>
      <c r="Y20" s="14" t="s">
        <v>2406</v>
      </c>
      <c r="Z20" s="142" t="s">
        <v>106</v>
      </c>
      <c r="AA20" s="80">
        <v>1</v>
      </c>
      <c r="AB20" s="1" t="s">
        <v>529</v>
      </c>
      <c r="AC20" s="1" t="s">
        <v>164</v>
      </c>
      <c r="AD20" s="1" t="s">
        <v>164</v>
      </c>
      <c r="AE20" s="143">
        <v>1</v>
      </c>
      <c r="AF20" s="1" t="s">
        <v>529</v>
      </c>
      <c r="AG20" s="142">
        <v>98943</v>
      </c>
      <c r="AH20" s="142">
        <v>9894.2999999999993</v>
      </c>
      <c r="AI20" s="142">
        <v>9876</v>
      </c>
      <c r="AJ20" s="14" t="s">
        <v>2405</v>
      </c>
      <c r="AK20" s="142" t="s">
        <v>106</v>
      </c>
      <c r="AL20" s="80">
        <v>1</v>
      </c>
      <c r="AM20" s="1" t="s">
        <v>1070</v>
      </c>
      <c r="AN20" s="1" t="s">
        <v>164</v>
      </c>
      <c r="AO20" s="1" t="s">
        <v>164</v>
      </c>
      <c r="AP20" s="143">
        <v>1</v>
      </c>
      <c r="AQ20" s="1" t="s">
        <v>1070</v>
      </c>
      <c r="AR20" s="142">
        <v>196359</v>
      </c>
      <c r="AS20" s="142">
        <v>9817.9500000000007</v>
      </c>
      <c r="AT20" s="142">
        <v>9778</v>
      </c>
      <c r="AU20" s="4" t="s">
        <v>99</v>
      </c>
    </row>
    <row r="21" spans="1:47" x14ac:dyDescent="0.2">
      <c r="A21" s="174"/>
      <c r="B21" s="9" t="s">
        <v>20</v>
      </c>
      <c r="C21" s="1" t="s">
        <v>2404</v>
      </c>
      <c r="D21" s="142" t="s">
        <v>106</v>
      </c>
      <c r="E21" s="80">
        <v>0</v>
      </c>
      <c r="F21" s="1" t="s">
        <v>169</v>
      </c>
      <c r="G21" s="80">
        <v>1</v>
      </c>
      <c r="H21" s="1" t="s">
        <v>452</v>
      </c>
      <c r="I21" s="143">
        <v>1</v>
      </c>
      <c r="J21" s="1" t="s">
        <v>452</v>
      </c>
      <c r="K21" s="142">
        <v>4423</v>
      </c>
      <c r="L21" s="142">
        <v>4423</v>
      </c>
      <c r="M21" s="142">
        <v>4423</v>
      </c>
      <c r="N21" s="14" t="s">
        <v>2403</v>
      </c>
      <c r="O21" s="142" t="s">
        <v>106</v>
      </c>
      <c r="P21" s="80">
        <v>1</v>
      </c>
      <c r="Q21" s="1" t="s">
        <v>452</v>
      </c>
      <c r="R21" s="80">
        <v>1</v>
      </c>
      <c r="S21" s="1" t="s">
        <v>452</v>
      </c>
      <c r="T21" s="143">
        <v>1</v>
      </c>
      <c r="U21" s="1" t="s">
        <v>1073</v>
      </c>
      <c r="V21" s="142">
        <v>7049</v>
      </c>
      <c r="W21" s="142">
        <v>3524.5</v>
      </c>
      <c r="X21" s="142">
        <v>3524.5</v>
      </c>
      <c r="Y21" s="14" t="s">
        <v>2402</v>
      </c>
      <c r="Z21" s="142" t="s">
        <v>106</v>
      </c>
      <c r="AA21" s="80">
        <v>1</v>
      </c>
      <c r="AB21" s="1" t="s">
        <v>516</v>
      </c>
      <c r="AC21" s="80">
        <v>1</v>
      </c>
      <c r="AD21" s="1" t="s">
        <v>516</v>
      </c>
      <c r="AE21" s="143">
        <v>1</v>
      </c>
      <c r="AF21" s="1" t="s">
        <v>529</v>
      </c>
      <c r="AG21" s="142">
        <v>64855</v>
      </c>
      <c r="AH21" s="142">
        <v>6485.5</v>
      </c>
      <c r="AI21" s="142">
        <v>6485</v>
      </c>
      <c r="AJ21" s="14" t="s">
        <v>2401</v>
      </c>
      <c r="AK21" s="142" t="s">
        <v>106</v>
      </c>
      <c r="AL21" s="80">
        <v>1</v>
      </c>
      <c r="AM21" s="1" t="s">
        <v>2400</v>
      </c>
      <c r="AN21" s="80">
        <v>1</v>
      </c>
      <c r="AO21" s="1" t="s">
        <v>516</v>
      </c>
      <c r="AP21" s="143">
        <v>1</v>
      </c>
      <c r="AQ21" s="1" t="s">
        <v>1070</v>
      </c>
      <c r="AR21" s="142">
        <v>148239</v>
      </c>
      <c r="AS21" s="142">
        <v>7411.95</v>
      </c>
      <c r="AT21" s="142">
        <v>8349.5</v>
      </c>
      <c r="AU21" s="4" t="s">
        <v>93</v>
      </c>
    </row>
    <row r="22" spans="1:47" x14ac:dyDescent="0.2">
      <c r="A22" s="174"/>
      <c r="B22" s="9" t="s">
        <v>21</v>
      </c>
      <c r="C22" s="1" t="s">
        <v>2399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8404</v>
      </c>
      <c r="L22" s="142">
        <v>8404</v>
      </c>
      <c r="M22" s="142">
        <v>8404</v>
      </c>
      <c r="N22" s="14" t="s">
        <v>2398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11100</v>
      </c>
      <c r="W22" s="142">
        <v>5550</v>
      </c>
      <c r="X22" s="142">
        <v>5550</v>
      </c>
      <c r="Y22" s="14" t="s">
        <v>2397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84616</v>
      </c>
      <c r="AH22" s="142">
        <v>8461.6</v>
      </c>
      <c r="AI22" s="142">
        <v>8454.5</v>
      </c>
      <c r="AJ22" s="14" t="s">
        <v>2396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167798</v>
      </c>
      <c r="AS22" s="142">
        <v>8389.9</v>
      </c>
      <c r="AT22" s="142">
        <v>8384</v>
      </c>
      <c r="AU22" s="4" t="s">
        <v>93</v>
      </c>
    </row>
    <row r="23" spans="1:47" x14ac:dyDescent="0.2">
      <c r="A23" s="174"/>
      <c r="B23" s="9" t="s">
        <v>26</v>
      </c>
      <c r="C23" s="1" t="s">
        <v>2395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2394</v>
      </c>
      <c r="O23" s="142" t="s">
        <v>106</v>
      </c>
      <c r="P23" s="80">
        <v>1</v>
      </c>
      <c r="Q23" s="1" t="s">
        <v>452</v>
      </c>
      <c r="R23" s="80">
        <v>0</v>
      </c>
      <c r="S23" s="1" t="s">
        <v>1161</v>
      </c>
      <c r="T23" s="143">
        <v>0.25</v>
      </c>
      <c r="U23" s="1" t="s">
        <v>1247</v>
      </c>
      <c r="V23" s="142">
        <v>3824</v>
      </c>
      <c r="W23" s="142">
        <v>3824</v>
      </c>
      <c r="X23" s="142">
        <v>3824</v>
      </c>
      <c r="Y23" s="14" t="s">
        <v>2393</v>
      </c>
      <c r="Z23" s="142" t="s">
        <v>106</v>
      </c>
      <c r="AA23" s="80">
        <v>1</v>
      </c>
      <c r="AB23" s="1" t="s">
        <v>452</v>
      </c>
      <c r="AC23" s="80">
        <v>1</v>
      </c>
      <c r="AD23" s="1" t="s">
        <v>1325</v>
      </c>
      <c r="AE23" s="143">
        <v>1</v>
      </c>
      <c r="AF23" s="1" t="s">
        <v>529</v>
      </c>
      <c r="AG23" s="142">
        <v>93741</v>
      </c>
      <c r="AH23" s="142">
        <v>9374.1</v>
      </c>
      <c r="AI23" s="142">
        <v>8887</v>
      </c>
      <c r="AJ23" s="14" t="s">
        <v>2392</v>
      </c>
      <c r="AK23" s="142" t="s">
        <v>106</v>
      </c>
      <c r="AL23" s="80">
        <v>1</v>
      </c>
      <c r="AM23" s="1" t="s">
        <v>2391</v>
      </c>
      <c r="AN23" s="80">
        <v>1</v>
      </c>
      <c r="AO23" s="1" t="s">
        <v>2390</v>
      </c>
      <c r="AP23" s="143">
        <v>1</v>
      </c>
      <c r="AQ23" s="1" t="s">
        <v>1564</v>
      </c>
      <c r="AR23" s="142">
        <v>385242</v>
      </c>
      <c r="AS23" s="142">
        <v>9631.0499999999993</v>
      </c>
      <c r="AT23" s="142">
        <v>9739</v>
      </c>
      <c r="AU23" s="4" t="s">
        <v>99</v>
      </c>
    </row>
    <row r="24" spans="1:47" x14ac:dyDescent="0.2">
      <c r="A24" s="174"/>
      <c r="B24" s="9" t="s">
        <v>27</v>
      </c>
      <c r="C24" s="1" t="s">
        <v>2389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2388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4041</v>
      </c>
      <c r="W24" s="142">
        <v>4041</v>
      </c>
      <c r="X24" s="142">
        <v>4041</v>
      </c>
      <c r="Y24" s="14" t="s">
        <v>2387</v>
      </c>
      <c r="Z24" s="142" t="s">
        <v>106</v>
      </c>
      <c r="AA24" s="80">
        <v>1</v>
      </c>
      <c r="AB24" s="1" t="s">
        <v>529</v>
      </c>
      <c r="AC24" s="1" t="s">
        <v>164</v>
      </c>
      <c r="AD24" s="1" t="s">
        <v>164</v>
      </c>
      <c r="AE24" s="143">
        <v>1</v>
      </c>
      <c r="AF24" s="1" t="s">
        <v>529</v>
      </c>
      <c r="AG24" s="142">
        <v>100416</v>
      </c>
      <c r="AH24" s="142">
        <v>10041.6</v>
      </c>
      <c r="AI24" s="142">
        <v>9998.5</v>
      </c>
      <c r="AJ24" s="14" t="s">
        <v>2386</v>
      </c>
      <c r="AK24" s="142" t="s">
        <v>106</v>
      </c>
      <c r="AL24" s="80">
        <v>1</v>
      </c>
      <c r="AM24" s="1" t="s">
        <v>1564</v>
      </c>
      <c r="AN24" s="1" t="s">
        <v>164</v>
      </c>
      <c r="AO24" s="1" t="s">
        <v>164</v>
      </c>
      <c r="AP24" s="143">
        <v>1</v>
      </c>
      <c r="AQ24" s="1" t="s">
        <v>1564</v>
      </c>
      <c r="AR24" s="142">
        <v>399924</v>
      </c>
      <c r="AS24" s="142">
        <v>9998.1</v>
      </c>
      <c r="AT24" s="142">
        <v>9936</v>
      </c>
      <c r="AU24" s="4" t="s">
        <v>99</v>
      </c>
    </row>
    <row r="25" spans="1:47" x14ac:dyDescent="0.2">
      <c r="A25" s="174"/>
      <c r="B25" s="9" t="s">
        <v>28</v>
      </c>
      <c r="C25" s="1" t="s">
        <v>2385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2289</v>
      </c>
      <c r="L25" s="142">
        <v>2289</v>
      </c>
      <c r="M25" s="142">
        <v>2289</v>
      </c>
      <c r="N25" s="14" t="s">
        <v>2384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4328</v>
      </c>
      <c r="W25" s="142">
        <v>2164</v>
      </c>
      <c r="X25" s="142">
        <v>2164</v>
      </c>
      <c r="Y25" s="14" t="s">
        <v>2383</v>
      </c>
      <c r="Z25" s="142" t="s">
        <v>107</v>
      </c>
      <c r="AA25" s="1" t="s">
        <v>164</v>
      </c>
      <c r="AB25" s="1" t="s">
        <v>164</v>
      </c>
      <c r="AC25" s="1" t="s">
        <v>164</v>
      </c>
      <c r="AD25" s="1" t="s">
        <v>164</v>
      </c>
      <c r="AE25" s="143">
        <v>0.6</v>
      </c>
      <c r="AF25" s="1" t="s">
        <v>963</v>
      </c>
      <c r="AG25" s="142">
        <v>19278</v>
      </c>
      <c r="AH25" s="142">
        <v>3213</v>
      </c>
      <c r="AI25" s="142">
        <v>2591.5</v>
      </c>
      <c r="AJ25" s="14" t="s">
        <v>2382</v>
      </c>
      <c r="AK25" s="142" t="s">
        <v>107</v>
      </c>
      <c r="AL25" s="1" t="s">
        <v>164</v>
      </c>
      <c r="AM25" s="1" t="s">
        <v>164</v>
      </c>
      <c r="AN25" s="1" t="s">
        <v>164</v>
      </c>
      <c r="AO25" s="1" t="s">
        <v>164</v>
      </c>
      <c r="AP25" s="143">
        <v>0.6</v>
      </c>
      <c r="AQ25" s="1" t="s">
        <v>1239</v>
      </c>
      <c r="AR25" s="142">
        <v>38868</v>
      </c>
      <c r="AS25" s="142">
        <v>3239</v>
      </c>
      <c r="AT25" s="142">
        <v>2611.5</v>
      </c>
    </row>
    <row r="26" spans="1:47" x14ac:dyDescent="0.2">
      <c r="A26" s="174"/>
      <c r="B26" s="9" t="s">
        <v>112</v>
      </c>
      <c r="C26" s="1" t="s">
        <v>2381</v>
      </c>
      <c r="D26" s="142" t="s">
        <v>106</v>
      </c>
      <c r="E26" s="80">
        <v>0</v>
      </c>
      <c r="F26" s="1" t="s">
        <v>169</v>
      </c>
      <c r="G26" s="80">
        <v>1</v>
      </c>
      <c r="H26" s="1" t="s">
        <v>452</v>
      </c>
      <c r="I26" s="143">
        <v>1</v>
      </c>
      <c r="J26" s="1" t="s">
        <v>452</v>
      </c>
      <c r="K26" s="142">
        <v>2179</v>
      </c>
      <c r="L26" s="142">
        <v>2179</v>
      </c>
      <c r="M26" s="142">
        <v>2179</v>
      </c>
      <c r="N26" s="14" t="s">
        <v>2380</v>
      </c>
      <c r="O26" s="142" t="s">
        <v>106</v>
      </c>
      <c r="P26" s="80">
        <v>0</v>
      </c>
      <c r="Q26" s="1" t="s">
        <v>169</v>
      </c>
      <c r="R26" s="80">
        <v>1</v>
      </c>
      <c r="S26" s="1" t="s">
        <v>1073</v>
      </c>
      <c r="T26" s="143">
        <v>1</v>
      </c>
      <c r="U26" s="1" t="s">
        <v>1073</v>
      </c>
      <c r="V26" s="142">
        <v>4252</v>
      </c>
      <c r="W26" s="142">
        <v>2126</v>
      </c>
      <c r="X26" s="142">
        <v>2126</v>
      </c>
      <c r="Y26" s="14" t="s">
        <v>2379</v>
      </c>
      <c r="Z26" s="142" t="s">
        <v>107</v>
      </c>
      <c r="AA26" s="1" t="s">
        <v>164</v>
      </c>
      <c r="AB26" s="1" t="s">
        <v>164</v>
      </c>
      <c r="AC26" s="1" t="s">
        <v>164</v>
      </c>
      <c r="AD26" s="1" t="s">
        <v>164</v>
      </c>
      <c r="AE26" s="143">
        <v>0.6</v>
      </c>
      <c r="AF26" s="1" t="s">
        <v>963</v>
      </c>
      <c r="AG26" s="142">
        <v>19382</v>
      </c>
      <c r="AH26" s="142">
        <v>3230.33</v>
      </c>
      <c r="AI26" s="142">
        <v>2614</v>
      </c>
      <c r="AJ26" s="14" t="s">
        <v>2378</v>
      </c>
      <c r="AK26" s="142" t="s">
        <v>107</v>
      </c>
      <c r="AL26" s="1" t="s">
        <v>164</v>
      </c>
      <c r="AM26" s="1" t="s">
        <v>164</v>
      </c>
      <c r="AN26" s="1" t="s">
        <v>164</v>
      </c>
      <c r="AO26" s="1" t="s">
        <v>164</v>
      </c>
      <c r="AP26" s="143">
        <v>0.6</v>
      </c>
      <c r="AQ26" s="1" t="s">
        <v>1239</v>
      </c>
      <c r="AR26" s="142">
        <v>33485</v>
      </c>
      <c r="AS26" s="142">
        <v>2790.42</v>
      </c>
      <c r="AT26" s="142">
        <v>2076.5</v>
      </c>
    </row>
    <row r="27" spans="1:47" x14ac:dyDescent="0.2">
      <c r="A27" s="174"/>
      <c r="B27" s="9" t="s">
        <v>29</v>
      </c>
      <c r="C27" s="1" t="s">
        <v>2377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2376</v>
      </c>
      <c r="O27" s="142" t="s">
        <v>106</v>
      </c>
      <c r="P27" s="80">
        <v>1</v>
      </c>
      <c r="Q27" s="1" t="s">
        <v>452</v>
      </c>
      <c r="R27" s="80">
        <v>0.5</v>
      </c>
      <c r="S27" s="1" t="s">
        <v>1108</v>
      </c>
      <c r="T27" s="143">
        <v>0.66669999999999996</v>
      </c>
      <c r="U27" s="1" t="s">
        <v>1881</v>
      </c>
      <c r="V27" s="142">
        <v>11440</v>
      </c>
      <c r="W27" s="142">
        <v>5720</v>
      </c>
      <c r="X27" s="142">
        <v>5720</v>
      </c>
      <c r="Y27" s="14" t="s">
        <v>2375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2374</v>
      </c>
      <c r="AK27" s="142" t="s">
        <v>106</v>
      </c>
      <c r="AL27" s="80">
        <v>1</v>
      </c>
      <c r="AM27" s="1" t="s">
        <v>452</v>
      </c>
      <c r="AN27" s="80">
        <v>0.5</v>
      </c>
      <c r="AO27" s="1" t="s">
        <v>1108</v>
      </c>
      <c r="AP27" s="143">
        <v>0.66669999999999996</v>
      </c>
      <c r="AQ27" s="1" t="s">
        <v>1881</v>
      </c>
      <c r="AR27" s="142">
        <v>11687</v>
      </c>
      <c r="AS27" s="142">
        <v>5843.5</v>
      </c>
      <c r="AT27" s="142">
        <v>5843.5</v>
      </c>
      <c r="AU27" s="4" t="s">
        <v>99</v>
      </c>
    </row>
    <row r="28" spans="1:47" x14ac:dyDescent="0.2">
      <c r="A28" s="174"/>
      <c r="B28" s="9" t="s">
        <v>30</v>
      </c>
      <c r="C28" s="1" t="s">
        <v>2373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2372</v>
      </c>
      <c r="O28" s="142" t="s">
        <v>106</v>
      </c>
      <c r="P28" s="80">
        <v>0.66669999999999996</v>
      </c>
      <c r="Q28" s="1" t="s">
        <v>1881</v>
      </c>
      <c r="R28" s="1" t="s">
        <v>164</v>
      </c>
      <c r="S28" s="1" t="s">
        <v>164</v>
      </c>
      <c r="T28" s="143">
        <v>0.66669999999999996</v>
      </c>
      <c r="U28" s="1" t="s">
        <v>1881</v>
      </c>
      <c r="V28" s="142">
        <v>60776</v>
      </c>
      <c r="W28" s="142">
        <v>30388</v>
      </c>
      <c r="X28" s="142">
        <v>30388</v>
      </c>
      <c r="Y28" s="14" t="s">
        <v>2371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2370</v>
      </c>
      <c r="AK28" s="142" t="s">
        <v>106</v>
      </c>
      <c r="AL28" s="80">
        <v>0.66669999999999996</v>
      </c>
      <c r="AM28" s="1" t="s">
        <v>1881</v>
      </c>
      <c r="AN28" s="1" t="s">
        <v>164</v>
      </c>
      <c r="AO28" s="1" t="s">
        <v>164</v>
      </c>
      <c r="AP28" s="143">
        <v>0.66669999999999996</v>
      </c>
      <c r="AQ28" s="1" t="s">
        <v>1881</v>
      </c>
      <c r="AR28" s="142">
        <v>60801</v>
      </c>
      <c r="AS28" s="142">
        <v>30400.5</v>
      </c>
      <c r="AT28" s="142">
        <v>30400.5</v>
      </c>
      <c r="AU28" s="4" t="s">
        <v>99</v>
      </c>
    </row>
    <row r="29" spans="1:47" x14ac:dyDescent="0.2">
      <c r="A29" s="174"/>
      <c r="B29" s="9" t="s">
        <v>31</v>
      </c>
      <c r="C29" s="1" t="s">
        <v>2369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2639</v>
      </c>
      <c r="L29" s="142">
        <v>2639</v>
      </c>
      <c r="M29" s="142">
        <v>2639</v>
      </c>
      <c r="N29" s="14" t="s">
        <v>2368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2145</v>
      </c>
      <c r="W29" s="142">
        <v>2145</v>
      </c>
      <c r="X29" s="142">
        <v>2145</v>
      </c>
      <c r="Y29" s="14" t="s">
        <v>2367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42460</v>
      </c>
      <c r="AH29" s="142">
        <v>4246</v>
      </c>
      <c r="AI29" s="142">
        <v>4212</v>
      </c>
      <c r="AJ29" s="14" t="s">
        <v>2366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42288</v>
      </c>
      <c r="AS29" s="142">
        <v>4228.8</v>
      </c>
      <c r="AT29" s="142">
        <v>4200</v>
      </c>
    </row>
    <row r="30" spans="1:47" x14ac:dyDescent="0.2">
      <c r="A30" s="174"/>
      <c r="B30" s="9" t="s">
        <v>32</v>
      </c>
      <c r="C30" s="1" t="s">
        <v>2365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182545</v>
      </c>
      <c r="L30" s="142">
        <v>182545</v>
      </c>
      <c r="M30" s="142">
        <v>182545</v>
      </c>
      <c r="N30" s="14" t="s">
        <v>2364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182476</v>
      </c>
      <c r="W30" s="142">
        <v>182476</v>
      </c>
      <c r="X30" s="142">
        <v>182476</v>
      </c>
      <c r="Y30" s="14" t="s">
        <v>2363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70201</v>
      </c>
      <c r="AH30" s="142">
        <v>7020.1</v>
      </c>
      <c r="AI30" s="142">
        <v>7078.5</v>
      </c>
      <c r="AJ30" s="14" t="s">
        <v>2362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69973</v>
      </c>
      <c r="AS30" s="142">
        <v>6997.3</v>
      </c>
      <c r="AT30" s="142">
        <v>6993.5</v>
      </c>
    </row>
    <row r="31" spans="1:47" x14ac:dyDescent="0.2">
      <c r="A31" s="174"/>
      <c r="B31" s="9" t="s">
        <v>35</v>
      </c>
      <c r="C31" s="1" t="s">
        <v>2361</v>
      </c>
      <c r="D31" s="142" t="s">
        <v>106</v>
      </c>
      <c r="E31" s="80">
        <v>0</v>
      </c>
      <c r="F31" s="1" t="s">
        <v>169</v>
      </c>
      <c r="G31" s="80">
        <v>1</v>
      </c>
      <c r="H31" s="1" t="s">
        <v>452</v>
      </c>
      <c r="I31" s="143">
        <v>1</v>
      </c>
      <c r="J31" s="1" t="s">
        <v>452</v>
      </c>
      <c r="K31" s="142">
        <v>2106</v>
      </c>
      <c r="L31" s="142">
        <v>2106</v>
      </c>
      <c r="M31" s="142">
        <v>2106</v>
      </c>
      <c r="N31" s="14" t="s">
        <v>2360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2064</v>
      </c>
      <c r="W31" s="142">
        <v>2064</v>
      </c>
      <c r="X31" s="142">
        <v>2064</v>
      </c>
      <c r="Y31" s="14" t="s">
        <v>2359</v>
      </c>
      <c r="Z31" s="142" t="s">
        <v>106</v>
      </c>
      <c r="AA31" s="80">
        <v>1</v>
      </c>
      <c r="AB31" s="1" t="s">
        <v>516</v>
      </c>
      <c r="AC31" s="80">
        <v>1</v>
      </c>
      <c r="AD31" s="1" t="s">
        <v>516</v>
      </c>
      <c r="AE31" s="143">
        <v>1</v>
      </c>
      <c r="AF31" s="1" t="s">
        <v>529</v>
      </c>
      <c r="AG31" s="142">
        <v>56325</v>
      </c>
      <c r="AH31" s="142">
        <v>5632.5</v>
      </c>
      <c r="AI31" s="142">
        <v>5759</v>
      </c>
      <c r="AJ31" s="14" t="s">
        <v>2358</v>
      </c>
      <c r="AK31" s="142" t="s">
        <v>106</v>
      </c>
      <c r="AL31" s="80">
        <v>1</v>
      </c>
      <c r="AM31" s="1" t="s">
        <v>516</v>
      </c>
      <c r="AN31" s="80">
        <v>1</v>
      </c>
      <c r="AO31" s="1" t="s">
        <v>516</v>
      </c>
      <c r="AP31" s="143">
        <v>1</v>
      </c>
      <c r="AQ31" s="1" t="s">
        <v>529</v>
      </c>
      <c r="AR31" s="142">
        <v>56627</v>
      </c>
      <c r="AS31" s="142">
        <v>5662.7</v>
      </c>
      <c r="AT31" s="142">
        <v>5793.5</v>
      </c>
      <c r="AU31" s="4" t="s">
        <v>102</v>
      </c>
    </row>
    <row r="32" spans="1:47" x14ac:dyDescent="0.2">
      <c r="A32" s="174"/>
      <c r="B32" s="9" t="s">
        <v>36</v>
      </c>
      <c r="C32" s="1" t="s">
        <v>2357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126396</v>
      </c>
      <c r="L32" s="142">
        <v>126396</v>
      </c>
      <c r="M32" s="142">
        <v>126396</v>
      </c>
      <c r="N32" s="14" t="s">
        <v>2356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181802</v>
      </c>
      <c r="W32" s="142">
        <v>181802</v>
      </c>
      <c r="X32" s="142">
        <v>181802</v>
      </c>
      <c r="Y32" s="14" t="s">
        <v>2355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63291</v>
      </c>
      <c r="AH32" s="142">
        <v>6329.1</v>
      </c>
      <c r="AI32" s="142">
        <v>6334.5</v>
      </c>
      <c r="AJ32" s="14" t="s">
        <v>2354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64029</v>
      </c>
      <c r="AS32" s="142">
        <v>6402.9</v>
      </c>
      <c r="AT32" s="142">
        <v>6369.5</v>
      </c>
      <c r="AU32" s="4" t="s">
        <v>102</v>
      </c>
    </row>
    <row r="33" spans="1:47" x14ac:dyDescent="0.2">
      <c r="A33" s="174"/>
      <c r="B33" s="9" t="s">
        <v>37</v>
      </c>
      <c r="C33" s="1" t="s">
        <v>2353</v>
      </c>
      <c r="D33" s="142" t="s">
        <v>106</v>
      </c>
      <c r="E33" s="80">
        <v>0</v>
      </c>
      <c r="F33" s="1" t="s">
        <v>169</v>
      </c>
      <c r="G33" s="80">
        <v>1</v>
      </c>
      <c r="H33" s="1" t="s">
        <v>452</v>
      </c>
      <c r="I33" s="143">
        <v>1</v>
      </c>
      <c r="J33" s="1" t="s">
        <v>452</v>
      </c>
      <c r="K33" s="142">
        <v>62936</v>
      </c>
      <c r="L33" s="142">
        <v>62936</v>
      </c>
      <c r="M33" s="142">
        <v>62936</v>
      </c>
      <c r="N33" s="14" t="s">
        <v>2352</v>
      </c>
      <c r="O33" s="142" t="s">
        <v>106</v>
      </c>
      <c r="P33" s="80">
        <v>0</v>
      </c>
      <c r="Q33" s="1" t="s">
        <v>169</v>
      </c>
      <c r="R33" s="80">
        <v>1</v>
      </c>
      <c r="S33" s="1" t="s">
        <v>452</v>
      </c>
      <c r="T33" s="143">
        <v>1</v>
      </c>
      <c r="U33" s="1" t="s">
        <v>452</v>
      </c>
      <c r="V33" s="142">
        <v>71603</v>
      </c>
      <c r="W33" s="142">
        <v>71603</v>
      </c>
      <c r="X33" s="142">
        <v>71603</v>
      </c>
      <c r="Y33" s="14" t="s">
        <v>2351</v>
      </c>
      <c r="Z33" s="142" t="s">
        <v>106</v>
      </c>
      <c r="AA33" s="80">
        <v>1</v>
      </c>
      <c r="AB33" s="1" t="s">
        <v>516</v>
      </c>
      <c r="AC33" s="80">
        <v>1</v>
      </c>
      <c r="AD33" s="1" t="s">
        <v>516</v>
      </c>
      <c r="AE33" s="143">
        <v>1</v>
      </c>
      <c r="AF33" s="1" t="s">
        <v>529</v>
      </c>
      <c r="AG33" s="142">
        <v>92224</v>
      </c>
      <c r="AH33" s="142">
        <v>9222.4</v>
      </c>
      <c r="AI33" s="142">
        <v>10265</v>
      </c>
      <c r="AJ33" s="14" t="s">
        <v>2350</v>
      </c>
      <c r="AK33" s="142" t="s">
        <v>106</v>
      </c>
      <c r="AL33" s="80">
        <v>1</v>
      </c>
      <c r="AM33" s="1" t="s">
        <v>516</v>
      </c>
      <c r="AN33" s="80">
        <v>1</v>
      </c>
      <c r="AO33" s="1" t="s">
        <v>516</v>
      </c>
      <c r="AP33" s="143">
        <v>1</v>
      </c>
      <c r="AQ33" s="1" t="s">
        <v>529</v>
      </c>
      <c r="AR33" s="142">
        <v>93153</v>
      </c>
      <c r="AS33" s="142">
        <v>9315.2999999999993</v>
      </c>
      <c r="AT33" s="142">
        <v>10302</v>
      </c>
      <c r="AU33" s="4" t="s">
        <v>102</v>
      </c>
    </row>
    <row r="34" spans="1:47" x14ac:dyDescent="0.2">
      <c r="A34" s="174"/>
      <c r="B34" s="9" t="s">
        <v>38</v>
      </c>
      <c r="C34" s="1" t="s">
        <v>2349</v>
      </c>
      <c r="D34" s="142" t="s">
        <v>106</v>
      </c>
      <c r="E34" s="80">
        <v>1</v>
      </c>
      <c r="F34" s="1" t="s">
        <v>452</v>
      </c>
      <c r="G34" s="1" t="s">
        <v>164</v>
      </c>
      <c r="H34" s="1" t="s">
        <v>164</v>
      </c>
      <c r="I34" s="143">
        <v>1</v>
      </c>
      <c r="J34" s="1" t="s">
        <v>452</v>
      </c>
      <c r="K34" s="142">
        <v>125702</v>
      </c>
      <c r="L34" s="142">
        <v>125702</v>
      </c>
      <c r="M34" s="142">
        <v>125702</v>
      </c>
      <c r="N34" s="14" t="s">
        <v>2348</v>
      </c>
      <c r="O34" s="142" t="s">
        <v>106</v>
      </c>
      <c r="P34" s="80">
        <v>1</v>
      </c>
      <c r="Q34" s="1" t="s">
        <v>452</v>
      </c>
      <c r="R34" s="1" t="s">
        <v>164</v>
      </c>
      <c r="S34" s="1" t="s">
        <v>164</v>
      </c>
      <c r="T34" s="143">
        <v>1</v>
      </c>
      <c r="U34" s="1" t="s">
        <v>452</v>
      </c>
      <c r="V34" s="142">
        <v>121462</v>
      </c>
      <c r="W34" s="142">
        <v>121462</v>
      </c>
      <c r="X34" s="142">
        <v>121462</v>
      </c>
      <c r="Y34" s="14" t="s">
        <v>2347</v>
      </c>
      <c r="Z34" s="142" t="s">
        <v>106</v>
      </c>
      <c r="AA34" s="80">
        <v>1</v>
      </c>
      <c r="AB34" s="1" t="s">
        <v>529</v>
      </c>
      <c r="AC34" s="1" t="s">
        <v>164</v>
      </c>
      <c r="AD34" s="1" t="s">
        <v>164</v>
      </c>
      <c r="AE34" s="143">
        <v>1</v>
      </c>
      <c r="AF34" s="1" t="s">
        <v>529</v>
      </c>
      <c r="AG34" s="142">
        <v>81850</v>
      </c>
      <c r="AH34" s="142">
        <v>8185</v>
      </c>
      <c r="AI34" s="142">
        <v>7801.5</v>
      </c>
      <c r="AJ34" s="14" t="s">
        <v>2346</v>
      </c>
      <c r="AK34" s="142" t="s">
        <v>106</v>
      </c>
      <c r="AL34" s="80">
        <v>1</v>
      </c>
      <c r="AM34" s="1" t="s">
        <v>529</v>
      </c>
      <c r="AN34" s="1" t="s">
        <v>164</v>
      </c>
      <c r="AO34" s="1" t="s">
        <v>164</v>
      </c>
      <c r="AP34" s="143">
        <v>1</v>
      </c>
      <c r="AQ34" s="1" t="s">
        <v>529</v>
      </c>
      <c r="AR34" s="142">
        <v>84096</v>
      </c>
      <c r="AS34" s="142">
        <v>8409.6</v>
      </c>
      <c r="AT34" s="142">
        <v>7848</v>
      </c>
      <c r="AU34" s="4" t="s">
        <v>102</v>
      </c>
    </row>
    <row r="35" spans="1:47" x14ac:dyDescent="0.2">
      <c r="A35" s="174"/>
      <c r="B35" s="9" t="s">
        <v>39</v>
      </c>
      <c r="C35" s="1" t="s">
        <v>2345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2050</v>
      </c>
      <c r="L35" s="142">
        <v>2050</v>
      </c>
      <c r="M35" s="142">
        <v>2050</v>
      </c>
      <c r="N35" s="14" t="s">
        <v>2344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2130</v>
      </c>
      <c r="W35" s="142">
        <v>2130</v>
      </c>
      <c r="X35" s="142">
        <v>2130</v>
      </c>
      <c r="Y35" s="14" t="s">
        <v>2343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56897</v>
      </c>
      <c r="AH35" s="142">
        <v>5689.7</v>
      </c>
      <c r="AI35" s="142">
        <v>5095</v>
      </c>
      <c r="AJ35" s="14" t="s">
        <v>2342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56944</v>
      </c>
      <c r="AS35" s="142">
        <v>5694.4</v>
      </c>
      <c r="AT35" s="142">
        <v>5104.5</v>
      </c>
      <c r="AU35" s="4" t="s">
        <v>102</v>
      </c>
    </row>
    <row r="36" spans="1:47" x14ac:dyDescent="0.2">
      <c r="A36" s="174"/>
      <c r="B36" s="9" t="s">
        <v>40</v>
      </c>
      <c r="C36" s="1" t="s">
        <v>2341</v>
      </c>
      <c r="D36" s="142" t="s">
        <v>106</v>
      </c>
      <c r="E36" s="80">
        <v>0</v>
      </c>
      <c r="F36" s="1" t="s">
        <v>169</v>
      </c>
      <c r="G36" s="80">
        <v>1</v>
      </c>
      <c r="H36" s="1" t="s">
        <v>452</v>
      </c>
      <c r="I36" s="143">
        <v>1</v>
      </c>
      <c r="J36" s="1" t="s">
        <v>452</v>
      </c>
      <c r="K36" s="142">
        <v>2055</v>
      </c>
      <c r="L36" s="142">
        <v>2055</v>
      </c>
      <c r="M36" s="142">
        <v>2055</v>
      </c>
      <c r="N36" s="14" t="s">
        <v>2340</v>
      </c>
      <c r="O36" s="142" t="s">
        <v>106</v>
      </c>
      <c r="P36" s="80">
        <v>0</v>
      </c>
      <c r="Q36" s="1" t="s">
        <v>169</v>
      </c>
      <c r="R36" s="80">
        <v>1</v>
      </c>
      <c r="S36" s="1" t="s">
        <v>452</v>
      </c>
      <c r="T36" s="143">
        <v>1</v>
      </c>
      <c r="U36" s="1" t="s">
        <v>452</v>
      </c>
      <c r="V36" s="142">
        <v>2086</v>
      </c>
      <c r="W36" s="142">
        <v>2086</v>
      </c>
      <c r="X36" s="142">
        <v>2086</v>
      </c>
      <c r="Y36" s="14" t="s">
        <v>2339</v>
      </c>
      <c r="Z36" s="142" t="s">
        <v>106</v>
      </c>
      <c r="AA36" s="80">
        <v>1</v>
      </c>
      <c r="AB36" s="1" t="s">
        <v>516</v>
      </c>
      <c r="AC36" s="80">
        <v>1</v>
      </c>
      <c r="AD36" s="1" t="s">
        <v>516</v>
      </c>
      <c r="AE36" s="143">
        <v>1</v>
      </c>
      <c r="AF36" s="1" t="s">
        <v>529</v>
      </c>
      <c r="AG36" s="142">
        <v>440422</v>
      </c>
      <c r="AH36" s="142">
        <v>44042.2</v>
      </c>
      <c r="AI36" s="142">
        <v>6461.5</v>
      </c>
      <c r="AJ36" s="14" t="s">
        <v>2338</v>
      </c>
      <c r="AK36" s="142" t="s">
        <v>106</v>
      </c>
      <c r="AL36" s="80">
        <v>1</v>
      </c>
      <c r="AM36" s="1" t="s">
        <v>516</v>
      </c>
      <c r="AN36" s="80">
        <v>1</v>
      </c>
      <c r="AO36" s="1" t="s">
        <v>516</v>
      </c>
      <c r="AP36" s="143">
        <v>1</v>
      </c>
      <c r="AQ36" s="1" t="s">
        <v>529</v>
      </c>
      <c r="AR36" s="142">
        <v>745925</v>
      </c>
      <c r="AS36" s="142">
        <v>74592.5</v>
      </c>
      <c r="AT36" s="142">
        <v>6478</v>
      </c>
    </row>
    <row r="37" spans="1:47" x14ac:dyDescent="0.2">
      <c r="A37" s="174"/>
      <c r="B37" s="9" t="s">
        <v>41</v>
      </c>
      <c r="C37" s="1" t="s">
        <v>2337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192208</v>
      </c>
      <c r="L37" s="142">
        <v>192208</v>
      </c>
      <c r="M37" s="142">
        <v>192208</v>
      </c>
      <c r="N37" s="14" t="s">
        <v>2336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190960</v>
      </c>
      <c r="W37" s="142">
        <v>190960</v>
      </c>
      <c r="X37" s="142">
        <v>190960</v>
      </c>
      <c r="Y37" s="14" t="s">
        <v>2335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75074</v>
      </c>
      <c r="AH37" s="142">
        <v>7507.4</v>
      </c>
      <c r="AI37" s="142">
        <v>6441</v>
      </c>
      <c r="AJ37" s="14" t="s">
        <v>2334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74350</v>
      </c>
      <c r="AS37" s="142">
        <v>7435</v>
      </c>
      <c r="AT37" s="142">
        <v>6377.5</v>
      </c>
    </row>
    <row r="38" spans="1:47" x14ac:dyDescent="0.2">
      <c r="A38" s="174"/>
      <c r="B38" s="9" t="s">
        <v>42</v>
      </c>
      <c r="C38" s="1" t="s">
        <v>2333</v>
      </c>
      <c r="D38" s="142" t="s">
        <v>106</v>
      </c>
      <c r="E38" s="80">
        <v>0</v>
      </c>
      <c r="F38" s="1" t="s">
        <v>169</v>
      </c>
      <c r="G38" s="80">
        <v>0</v>
      </c>
      <c r="H38" s="1" t="s">
        <v>163</v>
      </c>
      <c r="I38" s="143">
        <v>0</v>
      </c>
      <c r="J38" s="1" t="s">
        <v>163</v>
      </c>
      <c r="K38" s="142">
        <v>0</v>
      </c>
      <c r="L38" s="142">
        <v>0</v>
      </c>
      <c r="M38" s="142">
        <v>0</v>
      </c>
      <c r="N38" s="14" t="s">
        <v>2332</v>
      </c>
      <c r="O38" s="142" t="s">
        <v>106</v>
      </c>
      <c r="P38" s="80">
        <v>0</v>
      </c>
      <c r="Q38" s="1" t="s">
        <v>169</v>
      </c>
      <c r="R38" s="80">
        <v>1</v>
      </c>
      <c r="S38" s="1" t="s">
        <v>452</v>
      </c>
      <c r="T38" s="143">
        <v>1</v>
      </c>
      <c r="U38" s="1" t="s">
        <v>452</v>
      </c>
      <c r="V38" s="142">
        <v>2077</v>
      </c>
      <c r="W38" s="142">
        <v>2077</v>
      </c>
      <c r="X38" s="142">
        <v>2077</v>
      </c>
      <c r="Y38" s="14" t="s">
        <v>2331</v>
      </c>
      <c r="Z38" s="142" t="s">
        <v>106</v>
      </c>
      <c r="AA38" s="80">
        <v>1</v>
      </c>
      <c r="AB38" s="1" t="s">
        <v>516</v>
      </c>
      <c r="AC38" s="80">
        <v>0</v>
      </c>
      <c r="AD38" s="1" t="s">
        <v>218</v>
      </c>
      <c r="AE38" s="143">
        <v>0.5</v>
      </c>
      <c r="AF38" s="1" t="s">
        <v>511</v>
      </c>
      <c r="AG38" s="142">
        <v>36343</v>
      </c>
      <c r="AH38" s="142">
        <v>7268.6</v>
      </c>
      <c r="AI38" s="142">
        <v>7100</v>
      </c>
      <c r="AJ38" s="14" t="s">
        <v>2330</v>
      </c>
      <c r="AK38" s="142" t="s">
        <v>106</v>
      </c>
      <c r="AL38" s="80">
        <v>1</v>
      </c>
      <c r="AM38" s="1" t="s">
        <v>516</v>
      </c>
      <c r="AN38" s="80">
        <v>1</v>
      </c>
      <c r="AO38" s="1" t="s">
        <v>516</v>
      </c>
      <c r="AP38" s="143">
        <v>1</v>
      </c>
      <c r="AQ38" s="1" t="s">
        <v>529</v>
      </c>
      <c r="AR38" s="142">
        <v>53525</v>
      </c>
      <c r="AS38" s="142">
        <v>5352.5</v>
      </c>
      <c r="AT38" s="142">
        <v>5397.5</v>
      </c>
      <c r="AU38" s="4" t="s">
        <v>97</v>
      </c>
    </row>
    <row r="39" spans="1:47" x14ac:dyDescent="0.2">
      <c r="A39" s="174"/>
      <c r="B39" s="9" t="s">
        <v>43</v>
      </c>
      <c r="C39" s="1" t="s">
        <v>2329</v>
      </c>
      <c r="D39" s="142" t="s">
        <v>106</v>
      </c>
      <c r="E39" s="80">
        <v>1</v>
      </c>
      <c r="F39" s="1" t="s">
        <v>452</v>
      </c>
      <c r="G39" s="1" t="s">
        <v>164</v>
      </c>
      <c r="H39" s="1" t="s">
        <v>164</v>
      </c>
      <c r="I39" s="143">
        <v>1</v>
      </c>
      <c r="J39" s="1" t="s">
        <v>452</v>
      </c>
      <c r="K39" s="142">
        <v>35221</v>
      </c>
      <c r="L39" s="142">
        <v>35221</v>
      </c>
      <c r="M39" s="142">
        <v>35221</v>
      </c>
      <c r="N39" s="14" t="s">
        <v>2328</v>
      </c>
      <c r="O39" s="142" t="s">
        <v>106</v>
      </c>
      <c r="P39" s="80">
        <v>1</v>
      </c>
      <c r="Q39" s="1" t="s">
        <v>452</v>
      </c>
      <c r="R39" s="1" t="s">
        <v>164</v>
      </c>
      <c r="S39" s="1" t="s">
        <v>164</v>
      </c>
      <c r="T39" s="143">
        <v>1</v>
      </c>
      <c r="U39" s="1" t="s">
        <v>452</v>
      </c>
      <c r="V39" s="142">
        <v>48207</v>
      </c>
      <c r="W39" s="142">
        <v>48207</v>
      </c>
      <c r="X39" s="142">
        <v>48207</v>
      </c>
      <c r="Y39" s="14" t="s">
        <v>2327</v>
      </c>
      <c r="Z39" s="142" t="s">
        <v>106</v>
      </c>
      <c r="AA39" s="80">
        <v>1</v>
      </c>
      <c r="AB39" s="1" t="s">
        <v>529</v>
      </c>
      <c r="AC39" s="1" t="s">
        <v>164</v>
      </c>
      <c r="AD39" s="1" t="s">
        <v>164</v>
      </c>
      <c r="AE39" s="143">
        <v>1</v>
      </c>
      <c r="AF39" s="1" t="s">
        <v>529</v>
      </c>
      <c r="AG39" s="142">
        <v>66767</v>
      </c>
      <c r="AH39" s="142">
        <v>6676.7</v>
      </c>
      <c r="AI39" s="142">
        <v>6282</v>
      </c>
      <c r="AJ39" s="14" t="s">
        <v>2326</v>
      </c>
      <c r="AK39" s="142" t="s">
        <v>106</v>
      </c>
      <c r="AL39" s="80">
        <v>1</v>
      </c>
      <c r="AM39" s="1" t="s">
        <v>529</v>
      </c>
      <c r="AN39" s="1" t="s">
        <v>164</v>
      </c>
      <c r="AO39" s="1" t="s">
        <v>164</v>
      </c>
      <c r="AP39" s="143">
        <v>1</v>
      </c>
      <c r="AQ39" s="1" t="s">
        <v>529</v>
      </c>
      <c r="AR39" s="142">
        <v>68281</v>
      </c>
      <c r="AS39" s="142">
        <v>6828.1</v>
      </c>
      <c r="AT39" s="142">
        <v>6339.5</v>
      </c>
      <c r="AU39" s="4" t="s">
        <v>97</v>
      </c>
    </row>
    <row r="40" spans="1:47" x14ac:dyDescent="0.2">
      <c r="A40" s="174"/>
      <c r="B40" s="9" t="s">
        <v>44</v>
      </c>
      <c r="C40" s="1" t="s">
        <v>2325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2324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2323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2322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4"/>
      <c r="B41" s="9" t="s">
        <v>45</v>
      </c>
      <c r="C41" s="1" t="s">
        <v>2321</v>
      </c>
      <c r="D41" s="142" t="s">
        <v>106</v>
      </c>
      <c r="E41" s="80">
        <v>1</v>
      </c>
      <c r="F41" s="1" t="s">
        <v>452</v>
      </c>
      <c r="G41" s="1" t="s">
        <v>164</v>
      </c>
      <c r="H41" s="1" t="s">
        <v>164</v>
      </c>
      <c r="I41" s="143">
        <v>1</v>
      </c>
      <c r="J41" s="1" t="s">
        <v>452</v>
      </c>
      <c r="K41" s="142">
        <v>182653</v>
      </c>
      <c r="L41" s="142">
        <v>182653</v>
      </c>
      <c r="M41" s="142">
        <v>182653</v>
      </c>
      <c r="N41" s="14" t="s">
        <v>2320</v>
      </c>
      <c r="O41" s="142" t="s">
        <v>106</v>
      </c>
      <c r="P41" s="80">
        <v>1</v>
      </c>
      <c r="Q41" s="1" t="s">
        <v>1280</v>
      </c>
      <c r="R41" s="1" t="s">
        <v>164</v>
      </c>
      <c r="S41" s="1" t="s">
        <v>164</v>
      </c>
      <c r="T41" s="143">
        <v>1</v>
      </c>
      <c r="U41" s="1" t="s">
        <v>1280</v>
      </c>
      <c r="V41" s="142">
        <v>730938</v>
      </c>
      <c r="W41" s="142">
        <v>182734.5</v>
      </c>
      <c r="X41" s="142">
        <v>182697.5</v>
      </c>
      <c r="Y41" s="14" t="s">
        <v>2319</v>
      </c>
      <c r="Z41" s="142" t="s">
        <v>106</v>
      </c>
      <c r="AA41" s="80">
        <v>1</v>
      </c>
      <c r="AB41" s="1" t="s">
        <v>529</v>
      </c>
      <c r="AC41" s="1" t="s">
        <v>164</v>
      </c>
      <c r="AD41" s="1" t="s">
        <v>164</v>
      </c>
      <c r="AE41" s="143">
        <v>1</v>
      </c>
      <c r="AF41" s="1" t="s">
        <v>529</v>
      </c>
      <c r="AG41" s="142">
        <v>120483</v>
      </c>
      <c r="AH41" s="142">
        <v>12048.3</v>
      </c>
      <c r="AI41" s="142">
        <v>9880.5</v>
      </c>
      <c r="AJ41" s="14" t="s">
        <v>2318</v>
      </c>
      <c r="AK41" s="142" t="s">
        <v>106</v>
      </c>
      <c r="AL41" s="80">
        <v>1</v>
      </c>
      <c r="AM41" s="1" t="s">
        <v>1564</v>
      </c>
      <c r="AN41" s="1" t="s">
        <v>164</v>
      </c>
      <c r="AO41" s="1" t="s">
        <v>164</v>
      </c>
      <c r="AP41" s="143">
        <v>1</v>
      </c>
      <c r="AQ41" s="1" t="s">
        <v>1564</v>
      </c>
      <c r="AR41" s="142">
        <v>480287</v>
      </c>
      <c r="AS41" s="142">
        <v>12007.17</v>
      </c>
      <c r="AT41" s="142">
        <v>9913</v>
      </c>
      <c r="AU41" s="4" t="s">
        <v>94</v>
      </c>
    </row>
    <row r="42" spans="1:47" x14ac:dyDescent="0.2">
      <c r="A42" s="174"/>
      <c r="B42" s="9" t="s">
        <v>46</v>
      </c>
      <c r="C42" s="1" t="s">
        <v>2317</v>
      </c>
      <c r="D42" s="142" t="s">
        <v>106</v>
      </c>
      <c r="E42" s="80">
        <v>0</v>
      </c>
      <c r="F42" s="1" t="s">
        <v>169</v>
      </c>
      <c r="G42" s="80">
        <v>1</v>
      </c>
      <c r="H42" s="1" t="s">
        <v>452</v>
      </c>
      <c r="I42" s="143">
        <v>1</v>
      </c>
      <c r="J42" s="1" t="s">
        <v>452</v>
      </c>
      <c r="K42" s="142">
        <v>3086</v>
      </c>
      <c r="L42" s="142">
        <v>3086</v>
      </c>
      <c r="M42" s="142">
        <v>3086</v>
      </c>
      <c r="N42" s="14" t="s">
        <v>2316</v>
      </c>
      <c r="O42" s="142" t="s">
        <v>106</v>
      </c>
      <c r="P42" s="80">
        <v>1</v>
      </c>
      <c r="Q42" s="1" t="s">
        <v>1073</v>
      </c>
      <c r="R42" s="80">
        <v>1</v>
      </c>
      <c r="S42" s="1" t="s">
        <v>452</v>
      </c>
      <c r="T42" s="143">
        <v>1</v>
      </c>
      <c r="U42" s="1" t="s">
        <v>1078</v>
      </c>
      <c r="V42" s="142">
        <v>307535</v>
      </c>
      <c r="W42" s="142">
        <v>102511.67</v>
      </c>
      <c r="X42" s="142">
        <v>121125</v>
      </c>
      <c r="Y42" s="14" t="s">
        <v>2315</v>
      </c>
      <c r="Z42" s="142" t="s">
        <v>106</v>
      </c>
      <c r="AA42" s="80">
        <v>1</v>
      </c>
      <c r="AB42" s="1" t="s">
        <v>516</v>
      </c>
      <c r="AC42" s="80">
        <v>0.8</v>
      </c>
      <c r="AD42" s="1" t="s">
        <v>506</v>
      </c>
      <c r="AE42" s="143">
        <v>0.9</v>
      </c>
      <c r="AF42" s="1" t="s">
        <v>951</v>
      </c>
      <c r="AG42" s="142">
        <v>54194</v>
      </c>
      <c r="AH42" s="142">
        <v>6021.56</v>
      </c>
      <c r="AI42" s="142">
        <v>7452</v>
      </c>
      <c r="AJ42" s="14" t="s">
        <v>2314</v>
      </c>
      <c r="AK42" s="142" t="s">
        <v>106</v>
      </c>
      <c r="AL42" s="80">
        <v>0.92</v>
      </c>
      <c r="AM42" s="1" t="s">
        <v>2313</v>
      </c>
      <c r="AN42" s="80">
        <v>0.8</v>
      </c>
      <c r="AO42" s="1" t="s">
        <v>506</v>
      </c>
      <c r="AP42" s="143">
        <v>0.9</v>
      </c>
      <c r="AQ42" s="1" t="s">
        <v>2308</v>
      </c>
      <c r="AR42" s="142">
        <v>194741</v>
      </c>
      <c r="AS42" s="142">
        <v>7212.63</v>
      </c>
      <c r="AT42" s="142">
        <v>7378</v>
      </c>
      <c r="AU42" s="4" t="s">
        <v>98</v>
      </c>
    </row>
    <row r="43" spans="1:47" x14ac:dyDescent="0.2">
      <c r="A43" s="174"/>
      <c r="B43" s="9" t="s">
        <v>47</v>
      </c>
      <c r="C43" s="1" t="s">
        <v>2312</v>
      </c>
      <c r="D43" s="142" t="s">
        <v>106</v>
      </c>
      <c r="E43" s="80">
        <v>1</v>
      </c>
      <c r="F43" s="1" t="s">
        <v>452</v>
      </c>
      <c r="G43" s="1" t="s">
        <v>164</v>
      </c>
      <c r="H43" s="1" t="s">
        <v>164</v>
      </c>
      <c r="I43" s="143">
        <v>1</v>
      </c>
      <c r="J43" s="1" t="s">
        <v>452</v>
      </c>
      <c r="K43" s="142">
        <v>182937</v>
      </c>
      <c r="L43" s="142">
        <v>182937</v>
      </c>
      <c r="M43" s="142">
        <v>182937</v>
      </c>
      <c r="N43" s="14" t="s">
        <v>2311</v>
      </c>
      <c r="O43" s="142" t="s">
        <v>106</v>
      </c>
      <c r="P43" s="80">
        <v>1</v>
      </c>
      <c r="Q43" s="1" t="s">
        <v>1078</v>
      </c>
      <c r="R43" s="1" t="s">
        <v>164</v>
      </c>
      <c r="S43" s="1" t="s">
        <v>164</v>
      </c>
      <c r="T43" s="143">
        <v>1</v>
      </c>
      <c r="U43" s="1" t="s">
        <v>1078</v>
      </c>
      <c r="V43" s="142">
        <v>488409</v>
      </c>
      <c r="W43" s="142">
        <v>162803</v>
      </c>
      <c r="X43" s="142">
        <v>182842</v>
      </c>
      <c r="Y43" s="14" t="s">
        <v>2310</v>
      </c>
      <c r="Z43" s="142" t="s">
        <v>106</v>
      </c>
      <c r="AA43" s="80">
        <v>0.9</v>
      </c>
      <c r="AB43" s="1" t="s">
        <v>951</v>
      </c>
      <c r="AC43" s="1" t="s">
        <v>164</v>
      </c>
      <c r="AD43" s="1" t="s">
        <v>164</v>
      </c>
      <c r="AE43" s="143">
        <v>0.9</v>
      </c>
      <c r="AF43" s="1" t="s">
        <v>951</v>
      </c>
      <c r="AG43" s="142">
        <v>72277</v>
      </c>
      <c r="AH43" s="142">
        <v>8030.78</v>
      </c>
      <c r="AI43" s="142">
        <v>7518</v>
      </c>
      <c r="AJ43" s="14" t="s">
        <v>2309</v>
      </c>
      <c r="AK43" s="142" t="s">
        <v>106</v>
      </c>
      <c r="AL43" s="80">
        <v>0.9</v>
      </c>
      <c r="AM43" s="1" t="s">
        <v>2308</v>
      </c>
      <c r="AN43" s="1" t="s">
        <v>164</v>
      </c>
      <c r="AO43" s="1" t="s">
        <v>164</v>
      </c>
      <c r="AP43" s="143">
        <v>0.9</v>
      </c>
      <c r="AQ43" s="1" t="s">
        <v>2308</v>
      </c>
      <c r="AR43" s="142">
        <v>213372</v>
      </c>
      <c r="AS43" s="142">
        <v>7902.67</v>
      </c>
      <c r="AT43" s="142">
        <v>7458</v>
      </c>
      <c r="AU43" s="4" t="s">
        <v>98</v>
      </c>
    </row>
    <row r="44" spans="1:47" x14ac:dyDescent="0.2">
      <c r="A44" s="174"/>
      <c r="B44" s="9" t="s">
        <v>48</v>
      </c>
      <c r="C44" s="1" t="s">
        <v>2307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2742</v>
      </c>
      <c r="L44" s="142">
        <v>2742</v>
      </c>
      <c r="M44" s="142">
        <v>2742</v>
      </c>
      <c r="N44" s="14" t="s">
        <v>2306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5518</v>
      </c>
      <c r="W44" s="142">
        <v>2759</v>
      </c>
      <c r="X44" s="142">
        <v>2759</v>
      </c>
      <c r="Y44" s="14" t="s">
        <v>2305</v>
      </c>
      <c r="Z44" s="142" t="s">
        <v>106</v>
      </c>
      <c r="AA44" s="80">
        <v>1</v>
      </c>
      <c r="AB44" s="1" t="s">
        <v>516</v>
      </c>
      <c r="AC44" s="80">
        <v>0.6</v>
      </c>
      <c r="AD44" s="1" t="s">
        <v>964</v>
      </c>
      <c r="AE44" s="143">
        <v>0.8</v>
      </c>
      <c r="AF44" s="1" t="s">
        <v>1077</v>
      </c>
      <c r="AG44" s="142">
        <v>39742</v>
      </c>
      <c r="AH44" s="142">
        <v>4967.75</v>
      </c>
      <c r="AI44" s="142">
        <v>6300.5</v>
      </c>
      <c r="AJ44" s="14" t="s">
        <v>2304</v>
      </c>
      <c r="AK44" s="142" t="s">
        <v>106</v>
      </c>
      <c r="AL44" s="80">
        <v>1</v>
      </c>
      <c r="AM44" s="1" t="s">
        <v>529</v>
      </c>
      <c r="AN44" s="80">
        <v>0.6</v>
      </c>
      <c r="AO44" s="1" t="s">
        <v>963</v>
      </c>
      <c r="AP44" s="143">
        <v>0.8</v>
      </c>
      <c r="AQ44" s="1" t="s">
        <v>1320</v>
      </c>
      <c r="AR44" s="142">
        <v>79789</v>
      </c>
      <c r="AS44" s="142">
        <v>4986.8100000000004</v>
      </c>
      <c r="AT44" s="142">
        <v>6274</v>
      </c>
    </row>
    <row r="45" spans="1:47" x14ac:dyDescent="0.2">
      <c r="A45" s="174"/>
      <c r="B45" s="9" t="s">
        <v>49</v>
      </c>
      <c r="C45" s="1" t="s">
        <v>2303</v>
      </c>
      <c r="D45" s="142" t="s">
        <v>106</v>
      </c>
      <c r="E45" s="80">
        <v>1</v>
      </c>
      <c r="F45" s="1" t="s">
        <v>452</v>
      </c>
      <c r="G45" s="1" t="s">
        <v>164</v>
      </c>
      <c r="H45" s="1" t="s">
        <v>164</v>
      </c>
      <c r="I45" s="143">
        <v>1</v>
      </c>
      <c r="J45" s="1" t="s">
        <v>452</v>
      </c>
      <c r="K45" s="142">
        <v>187886</v>
      </c>
      <c r="L45" s="142">
        <v>187886</v>
      </c>
      <c r="M45" s="142">
        <v>187886</v>
      </c>
      <c r="N45" s="14" t="s">
        <v>2302</v>
      </c>
      <c r="O45" s="142" t="s">
        <v>106</v>
      </c>
      <c r="P45" s="80">
        <v>1</v>
      </c>
      <c r="Q45" s="1" t="s">
        <v>1073</v>
      </c>
      <c r="R45" s="1" t="s">
        <v>164</v>
      </c>
      <c r="S45" s="1" t="s">
        <v>164</v>
      </c>
      <c r="T45" s="143">
        <v>1</v>
      </c>
      <c r="U45" s="1" t="s">
        <v>1073</v>
      </c>
      <c r="V45" s="142">
        <v>375876</v>
      </c>
      <c r="W45" s="142">
        <v>187938</v>
      </c>
      <c r="X45" s="142">
        <v>187938</v>
      </c>
      <c r="Y45" s="14" t="s">
        <v>2301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72552</v>
      </c>
      <c r="AH45" s="142">
        <v>7255.2</v>
      </c>
      <c r="AI45" s="142">
        <v>7180.5</v>
      </c>
      <c r="AJ45" s="14" t="s">
        <v>2300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148936</v>
      </c>
      <c r="AS45" s="142">
        <v>7446.8</v>
      </c>
      <c r="AT45" s="142">
        <v>7358</v>
      </c>
    </row>
    <row r="46" spans="1:47" x14ac:dyDescent="0.2">
      <c r="A46" s="174"/>
      <c r="B46" s="9" t="s">
        <v>50</v>
      </c>
      <c r="C46" s="1" t="s">
        <v>2299</v>
      </c>
      <c r="D46" s="142" t="s">
        <v>106</v>
      </c>
      <c r="E46" s="80">
        <v>0</v>
      </c>
      <c r="F46" s="1" t="s">
        <v>169</v>
      </c>
      <c r="G46" s="80">
        <v>0</v>
      </c>
      <c r="H46" s="1" t="s">
        <v>163</v>
      </c>
      <c r="I46" s="143">
        <v>0</v>
      </c>
      <c r="J46" s="1" t="s">
        <v>163</v>
      </c>
      <c r="K46" s="142">
        <v>0</v>
      </c>
      <c r="L46" s="142">
        <v>0</v>
      </c>
      <c r="M46" s="142">
        <v>0</v>
      </c>
      <c r="N46" s="14" t="s">
        <v>2298</v>
      </c>
      <c r="O46" s="142" t="s">
        <v>107</v>
      </c>
      <c r="P46" s="1" t="s">
        <v>164</v>
      </c>
      <c r="Q46" s="1" t="s">
        <v>164</v>
      </c>
      <c r="R46" s="1" t="s">
        <v>164</v>
      </c>
      <c r="S46" s="1" t="s">
        <v>164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2297</v>
      </c>
      <c r="Z46" s="142" t="s">
        <v>106</v>
      </c>
      <c r="AA46" s="80">
        <v>1</v>
      </c>
      <c r="AB46" s="1" t="s">
        <v>516</v>
      </c>
      <c r="AC46" s="80">
        <v>0</v>
      </c>
      <c r="AD46" s="1" t="s">
        <v>218</v>
      </c>
      <c r="AE46" s="143">
        <v>0.5</v>
      </c>
      <c r="AF46" s="1" t="s">
        <v>511</v>
      </c>
      <c r="AG46" s="142">
        <v>884588</v>
      </c>
      <c r="AH46" s="142">
        <v>176917.6</v>
      </c>
      <c r="AI46" s="142">
        <v>177038</v>
      </c>
      <c r="AJ46" s="14" t="s">
        <v>2296</v>
      </c>
      <c r="AK46" s="142" t="s">
        <v>107</v>
      </c>
      <c r="AL46" s="1" t="s">
        <v>164</v>
      </c>
      <c r="AM46" s="1" t="s">
        <v>164</v>
      </c>
      <c r="AN46" s="1" t="s">
        <v>164</v>
      </c>
      <c r="AO46" s="1" t="s">
        <v>164</v>
      </c>
      <c r="AP46" s="143">
        <v>0.5</v>
      </c>
      <c r="AQ46" s="1" t="s">
        <v>511</v>
      </c>
      <c r="AR46" s="142">
        <v>7890</v>
      </c>
      <c r="AS46" s="142">
        <v>1578</v>
      </c>
      <c r="AT46" s="142">
        <v>1579</v>
      </c>
    </row>
    <row r="47" spans="1:47" x14ac:dyDescent="0.2">
      <c r="A47" s="174"/>
      <c r="B47" s="9" t="s">
        <v>51</v>
      </c>
      <c r="C47" s="1" t="s">
        <v>2295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179433</v>
      </c>
      <c r="L47" s="142">
        <v>179433</v>
      </c>
      <c r="M47" s="142">
        <v>179433</v>
      </c>
      <c r="N47" s="14" t="s">
        <v>2294</v>
      </c>
      <c r="O47" s="142" t="s">
        <v>106</v>
      </c>
      <c r="P47" s="80">
        <v>1</v>
      </c>
      <c r="Q47" s="1" t="s">
        <v>1073</v>
      </c>
      <c r="R47" s="1" t="s">
        <v>164</v>
      </c>
      <c r="S47" s="1" t="s">
        <v>164</v>
      </c>
      <c r="T47" s="143">
        <v>1</v>
      </c>
      <c r="U47" s="1" t="s">
        <v>1073</v>
      </c>
      <c r="V47" s="142">
        <v>184906</v>
      </c>
      <c r="W47" s="142">
        <v>92453</v>
      </c>
      <c r="X47" s="142">
        <v>92453</v>
      </c>
      <c r="Y47" s="14" t="s">
        <v>2293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1765859</v>
      </c>
      <c r="AH47" s="142">
        <v>176585.9</v>
      </c>
      <c r="AI47" s="142">
        <v>176442</v>
      </c>
      <c r="AJ47" s="14" t="s">
        <v>2292</v>
      </c>
      <c r="AK47" s="142" t="s">
        <v>106</v>
      </c>
      <c r="AL47" s="80">
        <v>1</v>
      </c>
      <c r="AM47" s="1" t="s">
        <v>1070</v>
      </c>
      <c r="AN47" s="1" t="s">
        <v>164</v>
      </c>
      <c r="AO47" s="1" t="s">
        <v>164</v>
      </c>
      <c r="AP47" s="143">
        <v>1</v>
      </c>
      <c r="AQ47" s="1" t="s">
        <v>1070</v>
      </c>
      <c r="AR47" s="142">
        <v>1844599</v>
      </c>
      <c r="AS47" s="142">
        <v>92229.95</v>
      </c>
      <c r="AT47" s="142">
        <v>91298</v>
      </c>
    </row>
    <row r="48" spans="1:47" x14ac:dyDescent="0.2">
      <c r="A48" s="174"/>
      <c r="B48" s="9" t="s">
        <v>52</v>
      </c>
      <c r="C48" s="1" t="s">
        <v>2291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2051</v>
      </c>
      <c r="L48" s="142">
        <v>2051</v>
      </c>
      <c r="M48" s="142">
        <v>2051</v>
      </c>
      <c r="N48" s="14" t="s">
        <v>2290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2023</v>
      </c>
      <c r="W48" s="142">
        <v>2023</v>
      </c>
      <c r="X48" s="142">
        <v>2023</v>
      </c>
      <c r="Y48" s="14" t="s">
        <v>2289</v>
      </c>
      <c r="Z48" s="142" t="s">
        <v>107</v>
      </c>
      <c r="AA48" s="1" t="s">
        <v>164</v>
      </c>
      <c r="AB48" s="1" t="s">
        <v>164</v>
      </c>
      <c r="AC48" s="1" t="s">
        <v>164</v>
      </c>
      <c r="AD48" s="1" t="s">
        <v>164</v>
      </c>
      <c r="AE48" s="143">
        <v>0.7</v>
      </c>
      <c r="AF48" s="1" t="s">
        <v>973</v>
      </c>
      <c r="AG48" s="142">
        <v>23165</v>
      </c>
      <c r="AH48" s="142">
        <v>3309.29</v>
      </c>
      <c r="AI48" s="142">
        <v>2093</v>
      </c>
      <c r="AJ48" s="14" t="s">
        <v>2288</v>
      </c>
      <c r="AK48" s="142" t="s">
        <v>107</v>
      </c>
      <c r="AL48" s="1" t="s">
        <v>164</v>
      </c>
      <c r="AM48" s="1" t="s">
        <v>164</v>
      </c>
      <c r="AN48" s="1" t="s">
        <v>164</v>
      </c>
      <c r="AO48" s="1" t="s">
        <v>164</v>
      </c>
      <c r="AP48" s="143">
        <v>0.7</v>
      </c>
      <c r="AQ48" s="1" t="s">
        <v>973</v>
      </c>
      <c r="AR48" s="142">
        <v>22892</v>
      </c>
      <c r="AS48" s="142">
        <v>3270.29</v>
      </c>
      <c r="AT48" s="142">
        <v>2074</v>
      </c>
    </row>
    <row r="49" spans="1:47" x14ac:dyDescent="0.2">
      <c r="A49" s="174"/>
      <c r="B49" s="9" t="s">
        <v>53</v>
      </c>
      <c r="C49" s="1" t="s">
        <v>2287</v>
      </c>
      <c r="D49" s="142" t="s">
        <v>107</v>
      </c>
      <c r="E49" s="1" t="s">
        <v>164</v>
      </c>
      <c r="F49" s="1" t="s">
        <v>164</v>
      </c>
      <c r="G49" s="1" t="s">
        <v>164</v>
      </c>
      <c r="H49" s="1" t="s">
        <v>164</v>
      </c>
      <c r="I49" s="143">
        <v>0</v>
      </c>
      <c r="J49" s="1" t="s">
        <v>163</v>
      </c>
      <c r="K49" s="142">
        <v>0</v>
      </c>
      <c r="L49" s="142">
        <v>0</v>
      </c>
      <c r="M49" s="142">
        <v>0</v>
      </c>
      <c r="N49" s="14" t="s">
        <v>2286</v>
      </c>
      <c r="O49" s="142" t="s">
        <v>107</v>
      </c>
      <c r="P49" s="1" t="s">
        <v>164</v>
      </c>
      <c r="Q49" s="1" t="s">
        <v>164</v>
      </c>
      <c r="R49" s="1" t="s">
        <v>164</v>
      </c>
      <c r="S49" s="1" t="s">
        <v>164</v>
      </c>
      <c r="T49" s="143">
        <v>0</v>
      </c>
      <c r="U49" s="1" t="s">
        <v>163</v>
      </c>
      <c r="V49" s="142">
        <v>0</v>
      </c>
      <c r="W49" s="142">
        <v>0</v>
      </c>
      <c r="X49" s="142">
        <v>0</v>
      </c>
      <c r="Y49" s="14" t="s">
        <v>2285</v>
      </c>
      <c r="Z49" s="142" t="s">
        <v>107</v>
      </c>
      <c r="AA49" s="1" t="s">
        <v>164</v>
      </c>
      <c r="AB49" s="1" t="s">
        <v>164</v>
      </c>
      <c r="AC49" s="1" t="s">
        <v>164</v>
      </c>
      <c r="AD49" s="1" t="s">
        <v>164</v>
      </c>
      <c r="AE49" s="143">
        <v>0.2</v>
      </c>
      <c r="AF49" s="1" t="s">
        <v>930</v>
      </c>
      <c r="AG49" s="142">
        <v>12610</v>
      </c>
      <c r="AH49" s="142">
        <v>6305</v>
      </c>
      <c r="AI49" s="142">
        <v>6305</v>
      </c>
      <c r="AJ49" s="14" t="s">
        <v>2284</v>
      </c>
      <c r="AK49" s="142" t="s">
        <v>107</v>
      </c>
      <c r="AL49" s="1" t="s">
        <v>164</v>
      </c>
      <c r="AM49" s="1" t="s">
        <v>164</v>
      </c>
      <c r="AN49" s="1" t="s">
        <v>164</v>
      </c>
      <c r="AO49" s="1" t="s">
        <v>164</v>
      </c>
      <c r="AP49" s="143">
        <v>0.2</v>
      </c>
      <c r="AQ49" s="1" t="s">
        <v>930</v>
      </c>
      <c r="AR49" s="142">
        <v>12563</v>
      </c>
      <c r="AS49" s="142">
        <v>6281.5</v>
      </c>
      <c r="AT49" s="142">
        <v>6281.5</v>
      </c>
    </row>
    <row r="50" spans="1:47" x14ac:dyDescent="0.2">
      <c r="A50" s="174"/>
      <c r="B50" s="10" t="s">
        <v>54</v>
      </c>
      <c r="C50" s="1" t="s">
        <v>2283</v>
      </c>
      <c r="D50" s="142" t="s">
        <v>106</v>
      </c>
      <c r="E50" s="80">
        <v>0</v>
      </c>
      <c r="F50" s="1" t="s">
        <v>169</v>
      </c>
      <c r="G50" s="80">
        <v>1</v>
      </c>
      <c r="H50" s="1" t="s">
        <v>452</v>
      </c>
      <c r="I50" s="143">
        <v>1</v>
      </c>
      <c r="J50" s="1" t="s">
        <v>452</v>
      </c>
      <c r="K50" s="142">
        <v>3355</v>
      </c>
      <c r="L50" s="142">
        <v>3355</v>
      </c>
      <c r="M50" s="142">
        <v>3355</v>
      </c>
      <c r="N50" s="14" t="s">
        <v>2282</v>
      </c>
      <c r="O50" s="142" t="s">
        <v>106</v>
      </c>
      <c r="P50" s="80">
        <v>1</v>
      </c>
      <c r="Q50" s="1" t="s">
        <v>452</v>
      </c>
      <c r="R50" s="80">
        <v>1</v>
      </c>
      <c r="S50" s="1" t="s">
        <v>452</v>
      </c>
      <c r="T50" s="143">
        <v>1</v>
      </c>
      <c r="U50" s="1" t="s">
        <v>1073</v>
      </c>
      <c r="V50" s="142">
        <v>64495</v>
      </c>
      <c r="W50" s="142">
        <v>32247.5</v>
      </c>
      <c r="X50" s="142">
        <v>32247.5</v>
      </c>
      <c r="Y50" s="14" t="s">
        <v>2281</v>
      </c>
      <c r="Z50" s="142" t="s">
        <v>106</v>
      </c>
      <c r="AA50" s="80">
        <v>1</v>
      </c>
      <c r="AB50" s="1" t="s">
        <v>516</v>
      </c>
      <c r="AC50" s="80">
        <v>1</v>
      </c>
      <c r="AD50" s="1" t="s">
        <v>516</v>
      </c>
      <c r="AE50" s="143">
        <v>1</v>
      </c>
      <c r="AF50" s="1" t="s">
        <v>529</v>
      </c>
      <c r="AG50" s="142">
        <v>53128</v>
      </c>
      <c r="AH50" s="142">
        <v>5312.8</v>
      </c>
      <c r="AI50" s="142">
        <v>5153</v>
      </c>
      <c r="AJ50" s="14" t="s">
        <v>2280</v>
      </c>
      <c r="AK50" s="142" t="s">
        <v>107</v>
      </c>
      <c r="AL50" s="1" t="s">
        <v>164</v>
      </c>
      <c r="AM50" s="1" t="s">
        <v>164</v>
      </c>
      <c r="AN50" s="1" t="s">
        <v>164</v>
      </c>
      <c r="AO50" s="1" t="s">
        <v>164</v>
      </c>
      <c r="AP50" s="143">
        <v>0.75</v>
      </c>
      <c r="AQ50" s="1" t="s">
        <v>1261</v>
      </c>
      <c r="AR50" s="142">
        <v>88295</v>
      </c>
      <c r="AS50" s="142">
        <v>5886.33</v>
      </c>
      <c r="AT50" s="142">
        <v>6454</v>
      </c>
      <c r="AU50" s="4" t="s">
        <v>99</v>
      </c>
    </row>
    <row r="51" spans="1:47" x14ac:dyDescent="0.2">
      <c r="A51" s="174"/>
      <c r="B51" s="10" t="s">
        <v>55</v>
      </c>
      <c r="C51" s="1" t="s">
        <v>2279</v>
      </c>
      <c r="D51" s="142" t="s">
        <v>107</v>
      </c>
      <c r="E51" s="1" t="s">
        <v>164</v>
      </c>
      <c r="F51" s="1" t="s">
        <v>164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2278</v>
      </c>
      <c r="O51" s="142" t="s">
        <v>107</v>
      </c>
      <c r="P51" s="1" t="s">
        <v>164</v>
      </c>
      <c r="Q51" s="1" t="s">
        <v>164</v>
      </c>
      <c r="R51" s="1" t="s">
        <v>164</v>
      </c>
      <c r="S51" s="1" t="s">
        <v>164</v>
      </c>
      <c r="T51" s="143">
        <v>0.5</v>
      </c>
      <c r="U51" s="1" t="s">
        <v>1108</v>
      </c>
      <c r="V51" s="142">
        <v>60435</v>
      </c>
      <c r="W51" s="142">
        <v>60435</v>
      </c>
      <c r="X51" s="142">
        <v>60435</v>
      </c>
      <c r="Y51" s="14" t="s">
        <v>2277</v>
      </c>
      <c r="Z51" s="142" t="s">
        <v>106</v>
      </c>
      <c r="AA51" s="80">
        <v>1</v>
      </c>
      <c r="AB51" s="1" t="s">
        <v>529</v>
      </c>
      <c r="AC51" s="1" t="s">
        <v>164</v>
      </c>
      <c r="AD51" s="1" t="s">
        <v>164</v>
      </c>
      <c r="AE51" s="143">
        <v>1</v>
      </c>
      <c r="AF51" s="1" t="s">
        <v>529</v>
      </c>
      <c r="AG51" s="142">
        <v>72613</v>
      </c>
      <c r="AH51" s="142">
        <v>7261.3</v>
      </c>
      <c r="AI51" s="142">
        <v>7427.5</v>
      </c>
      <c r="AJ51" s="14" t="s">
        <v>2276</v>
      </c>
      <c r="AK51" s="142" t="s">
        <v>107</v>
      </c>
      <c r="AL51" s="1" t="s">
        <v>164</v>
      </c>
      <c r="AM51" s="1" t="s">
        <v>164</v>
      </c>
      <c r="AN51" s="1" t="s">
        <v>164</v>
      </c>
      <c r="AO51" s="1" t="s">
        <v>164</v>
      </c>
      <c r="AP51" s="143">
        <v>0.5</v>
      </c>
      <c r="AQ51" s="1" t="s">
        <v>936</v>
      </c>
      <c r="AR51" s="142">
        <v>71555</v>
      </c>
      <c r="AS51" s="142">
        <v>7155.5</v>
      </c>
      <c r="AT51" s="142">
        <v>7009.5</v>
      </c>
      <c r="AU51" s="4" t="s">
        <v>99</v>
      </c>
    </row>
    <row r="52" spans="1:47" x14ac:dyDescent="0.2">
      <c r="A52" s="174"/>
      <c r="B52" s="9" t="s">
        <v>56</v>
      </c>
      <c r="C52" s="1" t="s">
        <v>2275</v>
      </c>
      <c r="D52" s="142" t="s">
        <v>106</v>
      </c>
      <c r="E52" s="80">
        <v>0</v>
      </c>
      <c r="F52" s="1" t="s">
        <v>169</v>
      </c>
      <c r="G52" s="80">
        <v>0</v>
      </c>
      <c r="H52" s="1" t="s">
        <v>163</v>
      </c>
      <c r="I52" s="143">
        <v>0</v>
      </c>
      <c r="J52" s="1" t="s">
        <v>163</v>
      </c>
      <c r="K52" s="142">
        <v>0</v>
      </c>
      <c r="L52" s="142">
        <v>0</v>
      </c>
      <c r="M52" s="142">
        <v>0</v>
      </c>
      <c r="N52" s="14" t="s">
        <v>2274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4339</v>
      </c>
      <c r="W52" s="142">
        <v>2169.5</v>
      </c>
      <c r="X52" s="142">
        <v>2169.5</v>
      </c>
      <c r="Y52" s="14" t="s">
        <v>2273</v>
      </c>
      <c r="Z52" s="142" t="s">
        <v>106</v>
      </c>
      <c r="AA52" s="80">
        <v>1</v>
      </c>
      <c r="AB52" s="1" t="s">
        <v>516</v>
      </c>
      <c r="AC52" s="80">
        <v>0</v>
      </c>
      <c r="AD52" s="1" t="s">
        <v>218</v>
      </c>
      <c r="AE52" s="143">
        <v>0.5</v>
      </c>
      <c r="AF52" s="1" t="s">
        <v>511</v>
      </c>
      <c r="AG52" s="142">
        <v>32275</v>
      </c>
      <c r="AH52" s="142">
        <v>6455</v>
      </c>
      <c r="AI52" s="142">
        <v>6402</v>
      </c>
      <c r="AJ52" s="14" t="s">
        <v>2272</v>
      </c>
      <c r="AK52" s="142" t="s">
        <v>106</v>
      </c>
      <c r="AL52" s="80">
        <v>1</v>
      </c>
      <c r="AM52" s="1" t="s">
        <v>529</v>
      </c>
      <c r="AN52" s="80">
        <v>0.9</v>
      </c>
      <c r="AO52" s="1" t="s">
        <v>951</v>
      </c>
      <c r="AP52" s="143">
        <v>0.95</v>
      </c>
      <c r="AQ52" s="1" t="s">
        <v>1315</v>
      </c>
      <c r="AR52" s="142">
        <v>158000</v>
      </c>
      <c r="AS52" s="142">
        <v>8315.7900000000009</v>
      </c>
      <c r="AT52" s="142">
        <v>6261</v>
      </c>
    </row>
    <row r="53" spans="1:47" x14ac:dyDescent="0.2">
      <c r="A53" s="174"/>
      <c r="B53" s="9" t="s">
        <v>57</v>
      </c>
      <c r="C53" s="1" t="s">
        <v>2271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182965</v>
      </c>
      <c r="L53" s="142">
        <v>182965</v>
      </c>
      <c r="M53" s="142">
        <v>182965</v>
      </c>
      <c r="N53" s="14" t="s">
        <v>2270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233907</v>
      </c>
      <c r="W53" s="142">
        <v>116953.5</v>
      </c>
      <c r="X53" s="142">
        <v>116953.5</v>
      </c>
      <c r="Y53" s="14" t="s">
        <v>2269</v>
      </c>
      <c r="Z53" s="142" t="s">
        <v>106</v>
      </c>
      <c r="AA53" s="80">
        <v>0.9</v>
      </c>
      <c r="AB53" s="1" t="s">
        <v>951</v>
      </c>
      <c r="AC53" s="1" t="s">
        <v>164</v>
      </c>
      <c r="AD53" s="1" t="s">
        <v>164</v>
      </c>
      <c r="AE53" s="143">
        <v>0.9</v>
      </c>
      <c r="AF53" s="1" t="s">
        <v>951</v>
      </c>
      <c r="AG53" s="142">
        <v>174469</v>
      </c>
      <c r="AH53" s="142">
        <v>19385.439999999999</v>
      </c>
      <c r="AI53" s="142">
        <v>6368</v>
      </c>
      <c r="AJ53" s="14" t="s">
        <v>2268</v>
      </c>
      <c r="AK53" s="142" t="s">
        <v>106</v>
      </c>
      <c r="AL53" s="80">
        <v>0.95</v>
      </c>
      <c r="AM53" s="1" t="s">
        <v>1315</v>
      </c>
      <c r="AN53" s="1" t="s">
        <v>164</v>
      </c>
      <c r="AO53" s="1" t="s">
        <v>164</v>
      </c>
      <c r="AP53" s="143">
        <v>0.95</v>
      </c>
      <c r="AQ53" s="1" t="s">
        <v>1315</v>
      </c>
      <c r="AR53" s="142">
        <v>319191</v>
      </c>
      <c r="AS53" s="142">
        <v>16799.53</v>
      </c>
      <c r="AT53" s="142">
        <v>6353</v>
      </c>
    </row>
    <row r="54" spans="1:47" x14ac:dyDescent="0.2">
      <c r="A54" s="174"/>
      <c r="B54" s="9" t="s">
        <v>58</v>
      </c>
      <c r="C54" s="1" t="s">
        <v>2267</v>
      </c>
      <c r="D54" s="142" t="s">
        <v>106</v>
      </c>
      <c r="E54" s="80">
        <v>0</v>
      </c>
      <c r="F54" s="1" t="s">
        <v>169</v>
      </c>
      <c r="G54" s="80">
        <v>1</v>
      </c>
      <c r="H54" s="1" t="s">
        <v>452</v>
      </c>
      <c r="I54" s="143">
        <v>1</v>
      </c>
      <c r="J54" s="1" t="s">
        <v>452</v>
      </c>
      <c r="K54" s="142">
        <v>2167</v>
      </c>
      <c r="L54" s="142">
        <v>2167</v>
      </c>
      <c r="M54" s="142">
        <v>2167</v>
      </c>
      <c r="N54" s="14" t="s">
        <v>2266</v>
      </c>
      <c r="O54" s="142" t="s">
        <v>106</v>
      </c>
      <c r="P54" s="80">
        <v>0</v>
      </c>
      <c r="Q54" s="1" t="s">
        <v>169</v>
      </c>
      <c r="R54" s="80">
        <v>1</v>
      </c>
      <c r="S54" s="1" t="s">
        <v>1073</v>
      </c>
      <c r="T54" s="143">
        <v>1</v>
      </c>
      <c r="U54" s="1" t="s">
        <v>1073</v>
      </c>
      <c r="V54" s="142">
        <v>4247</v>
      </c>
      <c r="W54" s="142">
        <v>2123.5</v>
      </c>
      <c r="X54" s="142">
        <v>2123.5</v>
      </c>
      <c r="Y54" s="14" t="s">
        <v>2265</v>
      </c>
      <c r="Z54" s="142" t="s">
        <v>106</v>
      </c>
      <c r="AA54" s="80">
        <v>1</v>
      </c>
      <c r="AB54" s="1" t="s">
        <v>516</v>
      </c>
      <c r="AC54" s="80">
        <v>1</v>
      </c>
      <c r="AD54" s="1" t="s">
        <v>516</v>
      </c>
      <c r="AE54" s="143">
        <v>1</v>
      </c>
      <c r="AF54" s="1" t="s">
        <v>529</v>
      </c>
      <c r="AG54" s="142">
        <v>59566</v>
      </c>
      <c r="AH54" s="142">
        <v>5956.6</v>
      </c>
      <c r="AI54" s="142">
        <v>6277</v>
      </c>
      <c r="AJ54" s="14" t="s">
        <v>2264</v>
      </c>
      <c r="AK54" s="142" t="s">
        <v>107</v>
      </c>
      <c r="AL54" s="1" t="s">
        <v>164</v>
      </c>
      <c r="AM54" s="1" t="s">
        <v>164</v>
      </c>
      <c r="AN54" s="1" t="s">
        <v>164</v>
      </c>
      <c r="AO54" s="1" t="s">
        <v>164</v>
      </c>
      <c r="AP54" s="143">
        <v>0.7</v>
      </c>
      <c r="AQ54" s="1" t="s">
        <v>1646</v>
      </c>
      <c r="AR54" s="142">
        <v>73832</v>
      </c>
      <c r="AS54" s="142">
        <v>5273.71</v>
      </c>
      <c r="AT54" s="142">
        <v>4059</v>
      </c>
      <c r="AU54" s="4" t="s">
        <v>93</v>
      </c>
    </row>
    <row r="55" spans="1:47" x14ac:dyDescent="0.2">
      <c r="A55" s="174"/>
      <c r="B55" s="9" t="s">
        <v>59</v>
      </c>
      <c r="C55" s="1" t="s">
        <v>2263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182070</v>
      </c>
      <c r="L55" s="142">
        <v>182070</v>
      </c>
      <c r="M55" s="142">
        <v>182070</v>
      </c>
      <c r="N55" s="14" t="s">
        <v>2262</v>
      </c>
      <c r="O55" s="142" t="s">
        <v>106</v>
      </c>
      <c r="P55" s="80">
        <v>1</v>
      </c>
      <c r="Q55" s="1" t="s">
        <v>1073</v>
      </c>
      <c r="R55" s="1" t="s">
        <v>164</v>
      </c>
      <c r="S55" s="1" t="s">
        <v>164</v>
      </c>
      <c r="T55" s="143">
        <v>1</v>
      </c>
      <c r="U55" s="1" t="s">
        <v>1073</v>
      </c>
      <c r="V55" s="142">
        <v>365665</v>
      </c>
      <c r="W55" s="142">
        <v>182832.5</v>
      </c>
      <c r="X55" s="142">
        <v>182832.5</v>
      </c>
      <c r="Y55" s="14" t="s">
        <v>2261</v>
      </c>
      <c r="Z55" s="142" t="s">
        <v>106</v>
      </c>
      <c r="AA55" s="80">
        <v>1</v>
      </c>
      <c r="AB55" s="1" t="s">
        <v>529</v>
      </c>
      <c r="AC55" s="1" t="s">
        <v>164</v>
      </c>
      <c r="AD55" s="1" t="s">
        <v>164</v>
      </c>
      <c r="AE55" s="143">
        <v>1</v>
      </c>
      <c r="AF55" s="1" t="s">
        <v>529</v>
      </c>
      <c r="AG55" s="142">
        <v>70343</v>
      </c>
      <c r="AH55" s="142">
        <v>7034.3</v>
      </c>
      <c r="AI55" s="142">
        <v>7179.5</v>
      </c>
      <c r="AJ55" s="14" t="s">
        <v>2260</v>
      </c>
      <c r="AK55" s="142" t="s">
        <v>106</v>
      </c>
      <c r="AL55" s="80">
        <v>1</v>
      </c>
      <c r="AM55" s="1" t="s">
        <v>1070</v>
      </c>
      <c r="AN55" s="1" t="s">
        <v>164</v>
      </c>
      <c r="AO55" s="1" t="s">
        <v>164</v>
      </c>
      <c r="AP55" s="143">
        <v>1</v>
      </c>
      <c r="AQ55" s="1" t="s">
        <v>1070</v>
      </c>
      <c r="AR55" s="142">
        <v>157984</v>
      </c>
      <c r="AS55" s="142">
        <v>7899.2</v>
      </c>
      <c r="AT55" s="142">
        <v>7924.5</v>
      </c>
      <c r="AU55" s="4" t="s">
        <v>93</v>
      </c>
    </row>
    <row r="56" spans="1:47" x14ac:dyDescent="0.2">
      <c r="A56" s="174"/>
      <c r="B56" s="9" t="s">
        <v>62</v>
      </c>
      <c r="C56" s="1" t="s">
        <v>2259</v>
      </c>
      <c r="D56" s="142" t="s">
        <v>107</v>
      </c>
      <c r="E56" s="1" t="s">
        <v>164</v>
      </c>
      <c r="F56" s="1" t="s">
        <v>164</v>
      </c>
      <c r="G56" s="1" t="s">
        <v>164</v>
      </c>
      <c r="H56" s="1" t="s">
        <v>164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2258</v>
      </c>
      <c r="O56" s="142" t="s">
        <v>106</v>
      </c>
      <c r="P56" s="80">
        <v>1</v>
      </c>
      <c r="Q56" s="1" t="s">
        <v>452</v>
      </c>
      <c r="R56" s="80">
        <v>0</v>
      </c>
      <c r="S56" s="1" t="s">
        <v>939</v>
      </c>
      <c r="T56" s="143">
        <v>0.33329999999999999</v>
      </c>
      <c r="U56" s="1" t="s">
        <v>932</v>
      </c>
      <c r="V56" s="142">
        <v>1557</v>
      </c>
      <c r="W56" s="142">
        <v>1557</v>
      </c>
      <c r="X56" s="142">
        <v>1557</v>
      </c>
      <c r="Y56" s="14" t="s">
        <v>2257</v>
      </c>
      <c r="Z56" s="142" t="s">
        <v>107</v>
      </c>
      <c r="AA56" s="1" t="s">
        <v>164</v>
      </c>
      <c r="AB56" s="1" t="s">
        <v>164</v>
      </c>
      <c r="AC56" s="1" t="s">
        <v>164</v>
      </c>
      <c r="AD56" s="1" t="s">
        <v>164</v>
      </c>
      <c r="AE56" s="143">
        <v>0</v>
      </c>
      <c r="AF56" s="1" t="s">
        <v>163</v>
      </c>
      <c r="AG56" s="142">
        <v>0</v>
      </c>
      <c r="AH56" s="142">
        <v>0</v>
      </c>
      <c r="AI56" s="142">
        <v>0</v>
      </c>
      <c r="AJ56" s="14" t="s">
        <v>2256</v>
      </c>
      <c r="AK56" s="142" t="s">
        <v>106</v>
      </c>
      <c r="AL56" s="80">
        <v>1</v>
      </c>
      <c r="AM56" s="1" t="s">
        <v>452</v>
      </c>
      <c r="AN56" s="80">
        <v>0</v>
      </c>
      <c r="AO56" s="1" t="s">
        <v>939</v>
      </c>
      <c r="AP56" s="143">
        <v>0.33329999999999999</v>
      </c>
      <c r="AQ56" s="1" t="s">
        <v>932</v>
      </c>
      <c r="AR56" s="142">
        <v>1518</v>
      </c>
      <c r="AS56" s="142">
        <v>1518</v>
      </c>
      <c r="AT56" s="142">
        <v>1518</v>
      </c>
      <c r="AU56" s="4" t="s">
        <v>102</v>
      </c>
    </row>
    <row r="57" spans="1:47" x14ac:dyDescent="0.2">
      <c r="A57" s="174"/>
      <c r="B57" s="9" t="s">
        <v>63</v>
      </c>
      <c r="C57" s="1" t="s">
        <v>2255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66465</v>
      </c>
      <c r="L57" s="142">
        <v>66465</v>
      </c>
      <c r="M57" s="142">
        <v>66465</v>
      </c>
      <c r="N57" s="14" t="s">
        <v>2254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85059</v>
      </c>
      <c r="W57" s="142">
        <v>28353</v>
      </c>
      <c r="X57" s="142">
        <v>7992</v>
      </c>
      <c r="Y57" s="14" t="s">
        <v>2253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66135</v>
      </c>
      <c r="AH57" s="142">
        <v>66135</v>
      </c>
      <c r="AI57" s="142">
        <v>66135</v>
      </c>
      <c r="AJ57" s="14" t="s">
        <v>2252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85056</v>
      </c>
      <c r="AS57" s="142">
        <v>28352</v>
      </c>
      <c r="AT57" s="142">
        <v>8020</v>
      </c>
      <c r="AU57" s="4" t="s">
        <v>102</v>
      </c>
    </row>
    <row r="58" spans="1:47" x14ac:dyDescent="0.2">
      <c r="A58" s="174"/>
      <c r="B58" s="9" t="s">
        <v>64</v>
      </c>
      <c r="C58" s="1" t="s">
        <v>2251</v>
      </c>
      <c r="D58" s="142" t="s">
        <v>107</v>
      </c>
      <c r="E58" s="1" t="s">
        <v>164</v>
      </c>
      <c r="F58" s="1" t="s">
        <v>164</v>
      </c>
      <c r="G58" s="1" t="s">
        <v>164</v>
      </c>
      <c r="H58" s="1" t="s">
        <v>164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2250</v>
      </c>
      <c r="O58" s="142" t="s">
        <v>107</v>
      </c>
      <c r="P58" s="1" t="s">
        <v>164</v>
      </c>
      <c r="Q58" s="1" t="s">
        <v>164</v>
      </c>
      <c r="R58" s="1" t="s">
        <v>164</v>
      </c>
      <c r="S58" s="1" t="s">
        <v>164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2249</v>
      </c>
      <c r="Z58" s="142" t="s">
        <v>107</v>
      </c>
      <c r="AA58" s="1" t="s">
        <v>164</v>
      </c>
      <c r="AB58" s="1" t="s">
        <v>164</v>
      </c>
      <c r="AC58" s="1" t="s">
        <v>164</v>
      </c>
      <c r="AD58" s="1" t="s">
        <v>164</v>
      </c>
      <c r="AE58" s="143">
        <v>0.5</v>
      </c>
      <c r="AF58" s="1" t="s">
        <v>511</v>
      </c>
      <c r="AG58" s="142">
        <v>38668</v>
      </c>
      <c r="AH58" s="142">
        <v>7733.6</v>
      </c>
      <c r="AI58" s="142">
        <v>7576</v>
      </c>
      <c r="AJ58" s="14" t="s">
        <v>2248</v>
      </c>
      <c r="AK58" s="142" t="s">
        <v>106</v>
      </c>
      <c r="AL58" s="80">
        <v>1</v>
      </c>
      <c r="AM58" s="1" t="s">
        <v>516</v>
      </c>
      <c r="AN58" s="80">
        <v>0</v>
      </c>
      <c r="AO58" s="1" t="s">
        <v>218</v>
      </c>
      <c r="AP58" s="143">
        <v>0.5</v>
      </c>
      <c r="AQ58" s="1" t="s">
        <v>511</v>
      </c>
      <c r="AR58" s="142">
        <v>56428</v>
      </c>
      <c r="AS58" s="142">
        <v>11285.6</v>
      </c>
      <c r="AT58" s="142">
        <v>10001</v>
      </c>
      <c r="AU58" s="4" t="s">
        <v>102</v>
      </c>
    </row>
    <row r="59" spans="1:47" x14ac:dyDescent="0.2">
      <c r="A59" s="174"/>
      <c r="B59" s="9" t="s">
        <v>65</v>
      </c>
      <c r="C59" s="1" t="s">
        <v>2247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32185</v>
      </c>
      <c r="L59" s="142">
        <v>32185</v>
      </c>
      <c r="M59" s="142">
        <v>32185</v>
      </c>
      <c r="N59" s="14" t="s">
        <v>2246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47239</v>
      </c>
      <c r="W59" s="142">
        <v>47239</v>
      </c>
      <c r="X59" s="142">
        <v>47239</v>
      </c>
      <c r="Y59" s="14" t="s">
        <v>2245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84662</v>
      </c>
      <c r="AH59" s="142">
        <v>8466.2000000000007</v>
      </c>
      <c r="AI59" s="142">
        <v>9180.5</v>
      </c>
      <c r="AJ59" s="14" t="s">
        <v>2244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141481</v>
      </c>
      <c r="AS59" s="142">
        <v>14148.1</v>
      </c>
      <c r="AT59" s="142">
        <v>16729</v>
      </c>
      <c r="AU59" s="4" t="s">
        <v>102</v>
      </c>
    </row>
    <row r="60" spans="1:47" x14ac:dyDescent="0.2">
      <c r="A60" s="174"/>
      <c r="B60" s="9" t="s">
        <v>66</v>
      </c>
      <c r="C60" s="1" t="s">
        <v>2243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2688</v>
      </c>
      <c r="L60" s="142">
        <v>2688</v>
      </c>
      <c r="M60" s="142">
        <v>2688</v>
      </c>
      <c r="N60" s="14" t="s">
        <v>2242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5374</v>
      </c>
      <c r="W60" s="142">
        <v>2687</v>
      </c>
      <c r="X60" s="142">
        <v>2687</v>
      </c>
      <c r="Y60" s="14" t="s">
        <v>2241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123721</v>
      </c>
      <c r="AH60" s="142">
        <v>12372.1</v>
      </c>
      <c r="AI60" s="142">
        <v>6291.5</v>
      </c>
      <c r="AJ60" s="14" t="s">
        <v>2240</v>
      </c>
      <c r="AK60" s="142" t="s">
        <v>106</v>
      </c>
      <c r="AL60" s="80">
        <v>1</v>
      </c>
      <c r="AM60" s="1" t="s">
        <v>529</v>
      </c>
      <c r="AN60" s="80">
        <v>1</v>
      </c>
      <c r="AO60" s="1" t="s">
        <v>529</v>
      </c>
      <c r="AP60" s="143">
        <v>1</v>
      </c>
      <c r="AQ60" s="1" t="s">
        <v>1070</v>
      </c>
      <c r="AR60" s="142">
        <v>243259</v>
      </c>
      <c r="AS60" s="142">
        <v>12162.95</v>
      </c>
      <c r="AT60" s="142">
        <v>6282.5</v>
      </c>
    </row>
    <row r="61" spans="1:47" x14ac:dyDescent="0.2">
      <c r="A61" s="174"/>
      <c r="B61" s="9" t="s">
        <v>67</v>
      </c>
      <c r="C61" s="1" t="s">
        <v>2239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182385</v>
      </c>
      <c r="L61" s="142">
        <v>182385</v>
      </c>
      <c r="M61" s="142">
        <v>182385</v>
      </c>
      <c r="N61" s="14" t="s">
        <v>2238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232941</v>
      </c>
      <c r="W61" s="142">
        <v>116470.5</v>
      </c>
      <c r="X61" s="142">
        <v>116470.5</v>
      </c>
      <c r="Y61" s="14" t="s">
        <v>2237</v>
      </c>
      <c r="Z61" s="142" t="s">
        <v>106</v>
      </c>
      <c r="AA61" s="80">
        <v>0.9</v>
      </c>
      <c r="AB61" s="1" t="s">
        <v>951</v>
      </c>
      <c r="AC61" s="1" t="s">
        <v>164</v>
      </c>
      <c r="AD61" s="1" t="s">
        <v>164</v>
      </c>
      <c r="AE61" s="143">
        <v>0.9</v>
      </c>
      <c r="AF61" s="1" t="s">
        <v>951</v>
      </c>
      <c r="AG61" s="142">
        <v>187329</v>
      </c>
      <c r="AH61" s="142">
        <v>20814.330000000002</v>
      </c>
      <c r="AI61" s="142">
        <v>9694</v>
      </c>
      <c r="AJ61" s="14" t="s">
        <v>2236</v>
      </c>
      <c r="AK61" s="142" t="s">
        <v>106</v>
      </c>
      <c r="AL61" s="80">
        <v>0.95</v>
      </c>
      <c r="AM61" s="1" t="s">
        <v>1315</v>
      </c>
      <c r="AN61" s="1" t="s">
        <v>164</v>
      </c>
      <c r="AO61" s="1" t="s">
        <v>164</v>
      </c>
      <c r="AP61" s="143">
        <v>0.95</v>
      </c>
      <c r="AQ61" s="1" t="s">
        <v>1315</v>
      </c>
      <c r="AR61" s="142">
        <v>348614</v>
      </c>
      <c r="AS61" s="142">
        <v>18348.11</v>
      </c>
      <c r="AT61" s="142">
        <v>9103</v>
      </c>
    </row>
    <row r="62" spans="1:47" x14ac:dyDescent="0.2">
      <c r="A62" s="174"/>
      <c r="B62" s="9" t="s">
        <v>68</v>
      </c>
      <c r="C62" s="1" t="s">
        <v>2235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3313</v>
      </c>
      <c r="L62" s="142">
        <v>3313</v>
      </c>
      <c r="M62" s="142">
        <v>3313</v>
      </c>
      <c r="N62" s="14" t="s">
        <v>2234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6551</v>
      </c>
      <c r="W62" s="142">
        <v>3275.5</v>
      </c>
      <c r="X62" s="142">
        <v>3275.5</v>
      </c>
      <c r="Y62" s="14" t="s">
        <v>2233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41809</v>
      </c>
      <c r="AH62" s="142">
        <v>5226.12</v>
      </c>
      <c r="AI62" s="142">
        <v>6323.5</v>
      </c>
      <c r="AJ62" s="14" t="s">
        <v>2232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95149</v>
      </c>
      <c r="AS62" s="142">
        <v>4757.45</v>
      </c>
      <c r="AT62" s="142">
        <v>4754</v>
      </c>
    </row>
    <row r="63" spans="1:47" x14ac:dyDescent="0.2">
      <c r="A63" s="174"/>
      <c r="B63" s="9" t="s">
        <v>69</v>
      </c>
      <c r="C63" s="1" t="s">
        <v>2231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182269</v>
      </c>
      <c r="L63" s="142">
        <v>182269</v>
      </c>
      <c r="M63" s="142">
        <v>182269</v>
      </c>
      <c r="N63" s="14" t="s">
        <v>2230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229996</v>
      </c>
      <c r="W63" s="142">
        <v>114998</v>
      </c>
      <c r="X63" s="142">
        <v>114998</v>
      </c>
      <c r="Y63" s="14" t="s">
        <v>2229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127465</v>
      </c>
      <c r="AH63" s="142">
        <v>12746.5</v>
      </c>
      <c r="AI63" s="142">
        <v>7235</v>
      </c>
      <c r="AJ63" s="14" t="s">
        <v>2228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210400</v>
      </c>
      <c r="AS63" s="142">
        <v>10520</v>
      </c>
      <c r="AT63" s="142">
        <v>7171</v>
      </c>
    </row>
    <row r="64" spans="1:47" x14ac:dyDescent="0.2">
      <c r="A64" s="174"/>
      <c r="B64" s="9" t="s">
        <v>3973</v>
      </c>
      <c r="C64" s="1" t="s">
        <v>2227</v>
      </c>
      <c r="D64" s="142" t="s">
        <v>106</v>
      </c>
      <c r="E64" s="80">
        <v>1</v>
      </c>
      <c r="F64" s="1" t="s">
        <v>452</v>
      </c>
      <c r="G64" s="1" t="s">
        <v>164</v>
      </c>
      <c r="H64" s="1" t="s">
        <v>164</v>
      </c>
      <c r="I64" s="143">
        <v>1</v>
      </c>
      <c r="J64" s="1" t="s">
        <v>452</v>
      </c>
      <c r="K64" s="142">
        <v>7344</v>
      </c>
      <c r="L64" s="142">
        <v>7344</v>
      </c>
      <c r="M64" s="142">
        <v>7344</v>
      </c>
      <c r="N64" s="14" t="s">
        <v>2226</v>
      </c>
      <c r="O64" s="142" t="s">
        <v>106</v>
      </c>
      <c r="P64" s="80">
        <v>1</v>
      </c>
      <c r="Q64" s="1" t="s">
        <v>452</v>
      </c>
      <c r="R64" s="1" t="s">
        <v>164</v>
      </c>
      <c r="S64" s="1" t="s">
        <v>164</v>
      </c>
      <c r="T64" s="143">
        <v>1</v>
      </c>
      <c r="U64" s="1" t="s">
        <v>452</v>
      </c>
      <c r="V64" s="142">
        <v>8983</v>
      </c>
      <c r="W64" s="142">
        <v>8983</v>
      </c>
      <c r="X64" s="142">
        <v>8983</v>
      </c>
      <c r="Y64" s="14" t="s">
        <v>2225</v>
      </c>
      <c r="Z64" s="142" t="s">
        <v>106</v>
      </c>
      <c r="AA64" s="80">
        <v>1</v>
      </c>
      <c r="AB64" s="1" t="s">
        <v>452</v>
      </c>
      <c r="AC64" s="1" t="s">
        <v>164</v>
      </c>
      <c r="AD64" s="1" t="s">
        <v>164</v>
      </c>
      <c r="AE64" s="143">
        <v>1</v>
      </c>
      <c r="AF64" s="1" t="s">
        <v>452</v>
      </c>
      <c r="AG64" s="142">
        <v>7371</v>
      </c>
      <c r="AH64" s="142">
        <v>7371</v>
      </c>
      <c r="AI64" s="142">
        <v>7371</v>
      </c>
      <c r="AJ64" s="14" t="s">
        <v>2224</v>
      </c>
      <c r="AK64" s="142" t="s">
        <v>106</v>
      </c>
      <c r="AL64" s="80">
        <v>1</v>
      </c>
      <c r="AM64" s="1" t="s">
        <v>452</v>
      </c>
      <c r="AN64" s="1" t="s">
        <v>164</v>
      </c>
      <c r="AO64" s="1" t="s">
        <v>164</v>
      </c>
      <c r="AP64" s="143">
        <v>1</v>
      </c>
      <c r="AQ64" s="1" t="s">
        <v>452</v>
      </c>
      <c r="AR64" s="142">
        <v>9011</v>
      </c>
      <c r="AS64" s="142">
        <v>9011</v>
      </c>
      <c r="AT64" s="142">
        <v>9011</v>
      </c>
      <c r="AU64" s="4" t="s">
        <v>103</v>
      </c>
    </row>
    <row r="65" spans="1:47" x14ac:dyDescent="0.2">
      <c r="A65" s="174"/>
      <c r="B65" s="9" t="s">
        <v>3968</v>
      </c>
      <c r="C65" s="1" t="s">
        <v>2223</v>
      </c>
      <c r="D65" s="142" t="s">
        <v>106</v>
      </c>
      <c r="E65" s="80">
        <v>1</v>
      </c>
      <c r="F65" s="1" t="s">
        <v>452</v>
      </c>
      <c r="G65" s="1" t="s">
        <v>164</v>
      </c>
      <c r="H65" s="1" t="s">
        <v>164</v>
      </c>
      <c r="I65" s="143">
        <v>1</v>
      </c>
      <c r="J65" s="1" t="s">
        <v>452</v>
      </c>
      <c r="K65" s="142">
        <v>7330</v>
      </c>
      <c r="L65" s="142">
        <v>7330</v>
      </c>
      <c r="M65" s="142">
        <v>7330</v>
      </c>
      <c r="N65" s="14" t="s">
        <v>2222</v>
      </c>
      <c r="O65" s="142" t="s">
        <v>106</v>
      </c>
      <c r="P65" s="80">
        <v>1</v>
      </c>
      <c r="Q65" s="1" t="s">
        <v>452</v>
      </c>
      <c r="R65" s="1" t="s">
        <v>164</v>
      </c>
      <c r="S65" s="1" t="s">
        <v>164</v>
      </c>
      <c r="T65" s="143">
        <v>1</v>
      </c>
      <c r="U65" s="1" t="s">
        <v>452</v>
      </c>
      <c r="V65" s="142">
        <v>9034</v>
      </c>
      <c r="W65" s="142">
        <v>9034</v>
      </c>
      <c r="X65" s="142">
        <v>9034</v>
      </c>
      <c r="Y65" s="14" t="s">
        <v>2221</v>
      </c>
      <c r="Z65" s="142" t="s">
        <v>106</v>
      </c>
      <c r="AA65" s="80">
        <v>1</v>
      </c>
      <c r="AB65" s="1" t="s">
        <v>452</v>
      </c>
      <c r="AC65" s="1" t="s">
        <v>164</v>
      </c>
      <c r="AD65" s="1" t="s">
        <v>164</v>
      </c>
      <c r="AE65" s="143">
        <v>1</v>
      </c>
      <c r="AF65" s="1" t="s">
        <v>452</v>
      </c>
      <c r="AG65" s="142">
        <v>7385</v>
      </c>
      <c r="AH65" s="142">
        <v>7385</v>
      </c>
      <c r="AI65" s="142">
        <v>7385</v>
      </c>
      <c r="AJ65" s="14" t="s">
        <v>2220</v>
      </c>
      <c r="AK65" s="142" t="s">
        <v>106</v>
      </c>
      <c r="AL65" s="80">
        <v>1</v>
      </c>
      <c r="AM65" s="1" t="s">
        <v>452</v>
      </c>
      <c r="AN65" s="1" t="s">
        <v>164</v>
      </c>
      <c r="AO65" s="1" t="s">
        <v>164</v>
      </c>
      <c r="AP65" s="143">
        <v>1</v>
      </c>
      <c r="AQ65" s="1" t="s">
        <v>452</v>
      </c>
      <c r="AR65" s="142">
        <v>9018</v>
      </c>
      <c r="AS65" s="142">
        <v>9018</v>
      </c>
      <c r="AT65" s="142">
        <v>9018</v>
      </c>
      <c r="AU65" s="4" t="s">
        <v>103</v>
      </c>
    </row>
    <row r="66" spans="1:47" x14ac:dyDescent="0.2">
      <c r="A66" s="174"/>
      <c r="B66" s="9" t="s">
        <v>3969</v>
      </c>
      <c r="C66" s="1" t="s">
        <v>2219</v>
      </c>
      <c r="D66" s="142" t="s">
        <v>106</v>
      </c>
      <c r="E66" s="80">
        <v>0</v>
      </c>
      <c r="F66" s="1" t="s">
        <v>169</v>
      </c>
      <c r="G66" s="80">
        <v>1</v>
      </c>
      <c r="H66" s="1" t="s">
        <v>452</v>
      </c>
      <c r="I66" s="143">
        <v>1</v>
      </c>
      <c r="J66" s="1" t="s">
        <v>452</v>
      </c>
      <c r="K66" s="142">
        <v>5900</v>
      </c>
      <c r="L66" s="142">
        <v>5900</v>
      </c>
      <c r="M66" s="142">
        <v>5900</v>
      </c>
      <c r="N66" s="14" t="s">
        <v>2218</v>
      </c>
      <c r="O66" s="142" t="s">
        <v>106</v>
      </c>
      <c r="P66" s="80">
        <v>0</v>
      </c>
      <c r="Q66" s="1" t="s">
        <v>169</v>
      </c>
      <c r="R66" s="80">
        <v>1</v>
      </c>
      <c r="S66" s="1" t="s">
        <v>452</v>
      </c>
      <c r="T66" s="143">
        <v>1</v>
      </c>
      <c r="U66" s="1" t="s">
        <v>452</v>
      </c>
      <c r="V66" s="142">
        <v>5914</v>
      </c>
      <c r="W66" s="142">
        <v>5914</v>
      </c>
      <c r="X66" s="142">
        <v>5914</v>
      </c>
      <c r="Y66" s="14" t="s">
        <v>2217</v>
      </c>
      <c r="Z66" s="142" t="s">
        <v>106</v>
      </c>
      <c r="AA66" s="80">
        <v>1</v>
      </c>
      <c r="AB66" s="1" t="s">
        <v>516</v>
      </c>
      <c r="AC66" s="80">
        <v>1</v>
      </c>
      <c r="AD66" s="1" t="s">
        <v>516</v>
      </c>
      <c r="AE66" s="143">
        <v>1</v>
      </c>
      <c r="AF66" s="1" t="s">
        <v>529</v>
      </c>
      <c r="AG66" s="142">
        <v>65310</v>
      </c>
      <c r="AH66" s="142">
        <v>6531</v>
      </c>
      <c r="AI66" s="142">
        <v>6087.5</v>
      </c>
      <c r="AJ66" s="14" t="s">
        <v>2216</v>
      </c>
      <c r="AK66" s="142" t="s">
        <v>106</v>
      </c>
      <c r="AL66" s="80">
        <v>1</v>
      </c>
      <c r="AM66" s="1" t="s">
        <v>516</v>
      </c>
      <c r="AN66" s="80">
        <v>1</v>
      </c>
      <c r="AO66" s="1" t="s">
        <v>516</v>
      </c>
      <c r="AP66" s="143">
        <v>1</v>
      </c>
      <c r="AQ66" s="1" t="s">
        <v>529</v>
      </c>
      <c r="AR66" s="142">
        <v>65330</v>
      </c>
      <c r="AS66" s="142">
        <v>6533</v>
      </c>
      <c r="AT66" s="142">
        <v>6084.5</v>
      </c>
      <c r="AU66" s="4" t="s">
        <v>103</v>
      </c>
    </row>
    <row r="67" spans="1:47" x14ac:dyDescent="0.2">
      <c r="A67" s="174"/>
      <c r="B67" s="9" t="s">
        <v>3970</v>
      </c>
      <c r="C67" s="1" t="s">
        <v>2215</v>
      </c>
      <c r="D67" s="142" t="s">
        <v>106</v>
      </c>
      <c r="E67" s="80">
        <v>1</v>
      </c>
      <c r="F67" s="1" t="s">
        <v>452</v>
      </c>
      <c r="G67" s="1" t="s">
        <v>164</v>
      </c>
      <c r="H67" s="1" t="s">
        <v>164</v>
      </c>
      <c r="I67" s="143">
        <v>1</v>
      </c>
      <c r="J67" s="1" t="s">
        <v>452</v>
      </c>
      <c r="K67" s="142">
        <v>8177</v>
      </c>
      <c r="L67" s="142">
        <v>8177</v>
      </c>
      <c r="M67" s="142">
        <v>8177</v>
      </c>
      <c r="N67" s="14" t="s">
        <v>2214</v>
      </c>
      <c r="O67" s="142" t="s">
        <v>106</v>
      </c>
      <c r="P67" s="80">
        <v>1</v>
      </c>
      <c r="Q67" s="1" t="s">
        <v>452</v>
      </c>
      <c r="R67" s="1" t="s">
        <v>164</v>
      </c>
      <c r="S67" s="1" t="s">
        <v>164</v>
      </c>
      <c r="T67" s="143">
        <v>1</v>
      </c>
      <c r="U67" s="1" t="s">
        <v>452</v>
      </c>
      <c r="V67" s="142">
        <v>8301</v>
      </c>
      <c r="W67" s="142">
        <v>8301</v>
      </c>
      <c r="X67" s="142">
        <v>8301</v>
      </c>
      <c r="Y67" s="14" t="s">
        <v>2213</v>
      </c>
      <c r="Z67" s="142" t="s">
        <v>106</v>
      </c>
      <c r="AA67" s="80">
        <v>1</v>
      </c>
      <c r="AB67" s="1" t="s">
        <v>529</v>
      </c>
      <c r="AC67" s="1" t="s">
        <v>164</v>
      </c>
      <c r="AD67" s="1" t="s">
        <v>164</v>
      </c>
      <c r="AE67" s="143">
        <v>1</v>
      </c>
      <c r="AF67" s="1" t="s">
        <v>529</v>
      </c>
      <c r="AG67" s="142">
        <v>81278</v>
      </c>
      <c r="AH67" s="142">
        <v>8127.8</v>
      </c>
      <c r="AI67" s="142">
        <v>8469</v>
      </c>
      <c r="AJ67" s="14" t="s">
        <v>2212</v>
      </c>
      <c r="AK67" s="142" t="s">
        <v>106</v>
      </c>
      <c r="AL67" s="80">
        <v>1</v>
      </c>
      <c r="AM67" s="1" t="s">
        <v>529</v>
      </c>
      <c r="AN67" s="1" t="s">
        <v>164</v>
      </c>
      <c r="AO67" s="1" t="s">
        <v>164</v>
      </c>
      <c r="AP67" s="143">
        <v>1</v>
      </c>
      <c r="AQ67" s="1" t="s">
        <v>529</v>
      </c>
      <c r="AR67" s="142">
        <v>81465</v>
      </c>
      <c r="AS67" s="142">
        <v>8146.5</v>
      </c>
      <c r="AT67" s="142">
        <v>8459</v>
      </c>
      <c r="AU67" s="4" t="s">
        <v>103</v>
      </c>
    </row>
    <row r="68" spans="1:47" x14ac:dyDescent="0.2">
      <c r="A68" s="174"/>
      <c r="B68" s="9" t="s">
        <v>3971</v>
      </c>
      <c r="C68" s="1" t="s">
        <v>2211</v>
      </c>
      <c r="D68" s="142" t="s">
        <v>107</v>
      </c>
      <c r="E68" s="1" t="s">
        <v>164</v>
      </c>
      <c r="F68" s="1" t="s">
        <v>164</v>
      </c>
      <c r="G68" s="1" t="s">
        <v>164</v>
      </c>
      <c r="H68" s="1" t="s">
        <v>164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2210</v>
      </c>
      <c r="O68" s="142" t="s">
        <v>106</v>
      </c>
      <c r="P68" s="80">
        <v>0</v>
      </c>
      <c r="Q68" s="1" t="s">
        <v>169</v>
      </c>
      <c r="R68" s="80">
        <v>1</v>
      </c>
      <c r="S68" s="1" t="s">
        <v>452</v>
      </c>
      <c r="T68" s="143">
        <v>1</v>
      </c>
      <c r="U68" s="1" t="s">
        <v>452</v>
      </c>
      <c r="V68" s="142">
        <v>5922</v>
      </c>
      <c r="W68" s="142">
        <v>5922</v>
      </c>
      <c r="X68" s="142">
        <v>5922</v>
      </c>
      <c r="Y68" s="14" t="s">
        <v>2209</v>
      </c>
      <c r="Z68" s="142" t="s">
        <v>107</v>
      </c>
      <c r="AA68" s="1" t="s">
        <v>164</v>
      </c>
      <c r="AB68" s="1" t="s">
        <v>164</v>
      </c>
      <c r="AC68" s="1" t="s">
        <v>164</v>
      </c>
      <c r="AD68" s="1" t="s">
        <v>164</v>
      </c>
      <c r="AE68" s="143">
        <v>0.4</v>
      </c>
      <c r="AF68" s="1" t="s">
        <v>501</v>
      </c>
      <c r="AG68" s="142">
        <v>27179</v>
      </c>
      <c r="AH68" s="142">
        <v>6794.75</v>
      </c>
      <c r="AI68" s="142">
        <v>6825.5</v>
      </c>
      <c r="AJ68" s="14" t="s">
        <v>2208</v>
      </c>
      <c r="AK68" s="142" t="s">
        <v>106</v>
      </c>
      <c r="AL68" s="80">
        <v>0.8</v>
      </c>
      <c r="AM68" s="1" t="s">
        <v>506</v>
      </c>
      <c r="AN68" s="80">
        <v>1</v>
      </c>
      <c r="AO68" s="1" t="s">
        <v>516</v>
      </c>
      <c r="AP68" s="143">
        <v>0.9</v>
      </c>
      <c r="AQ68" s="1" t="s">
        <v>951</v>
      </c>
      <c r="AR68" s="142">
        <v>57410</v>
      </c>
      <c r="AS68" s="142">
        <v>6378.89</v>
      </c>
      <c r="AT68" s="142">
        <v>5889</v>
      </c>
      <c r="AU68" s="4" t="s">
        <v>102</v>
      </c>
    </row>
    <row r="69" spans="1:47" x14ac:dyDescent="0.2">
      <c r="A69" s="174"/>
      <c r="B69" s="9" t="s">
        <v>3972</v>
      </c>
      <c r="C69" s="1" t="s">
        <v>2207</v>
      </c>
      <c r="D69" s="142" t="s">
        <v>106</v>
      </c>
      <c r="E69" s="80">
        <v>1</v>
      </c>
      <c r="F69" s="1" t="s">
        <v>452</v>
      </c>
      <c r="G69" s="1" t="s">
        <v>164</v>
      </c>
      <c r="H69" s="1" t="s">
        <v>164</v>
      </c>
      <c r="I69" s="143">
        <v>1</v>
      </c>
      <c r="J69" s="1" t="s">
        <v>452</v>
      </c>
      <c r="K69" s="142">
        <v>35908</v>
      </c>
      <c r="L69" s="142">
        <v>35908</v>
      </c>
      <c r="M69" s="142">
        <v>35908</v>
      </c>
      <c r="N69" s="14" t="s">
        <v>2206</v>
      </c>
      <c r="O69" s="142" t="s">
        <v>106</v>
      </c>
      <c r="P69" s="80">
        <v>1</v>
      </c>
      <c r="Q69" s="1" t="s">
        <v>452</v>
      </c>
      <c r="R69" s="1" t="s">
        <v>164</v>
      </c>
      <c r="S69" s="1" t="s">
        <v>164</v>
      </c>
      <c r="T69" s="143">
        <v>1</v>
      </c>
      <c r="U69" s="1" t="s">
        <v>452</v>
      </c>
      <c r="V69" s="142">
        <v>45071</v>
      </c>
      <c r="W69" s="142">
        <v>45071</v>
      </c>
      <c r="X69" s="142">
        <v>45071</v>
      </c>
      <c r="Y69" s="14" t="s">
        <v>2205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70088</v>
      </c>
      <c r="AH69" s="142">
        <v>7787.56</v>
      </c>
      <c r="AI69" s="142">
        <v>8347</v>
      </c>
      <c r="AJ69" s="14" t="s">
        <v>2204</v>
      </c>
      <c r="AK69" s="142" t="s">
        <v>106</v>
      </c>
      <c r="AL69" s="80">
        <v>0.9</v>
      </c>
      <c r="AM69" s="1" t="s">
        <v>951</v>
      </c>
      <c r="AN69" s="1" t="s">
        <v>164</v>
      </c>
      <c r="AO69" s="1" t="s">
        <v>164</v>
      </c>
      <c r="AP69" s="143">
        <v>0.9</v>
      </c>
      <c r="AQ69" s="1" t="s">
        <v>951</v>
      </c>
      <c r="AR69" s="142">
        <v>69900</v>
      </c>
      <c r="AS69" s="142">
        <v>7766.67</v>
      </c>
      <c r="AT69" s="142">
        <v>8356</v>
      </c>
      <c r="AU69" s="4" t="s">
        <v>102</v>
      </c>
    </row>
    <row r="70" spans="1:47" x14ac:dyDescent="0.2">
      <c r="A70" s="174"/>
      <c r="B70" s="9" t="s">
        <v>70</v>
      </c>
      <c r="C70" s="1" t="s">
        <v>2203</v>
      </c>
      <c r="D70" s="142" t="s">
        <v>106</v>
      </c>
      <c r="E70" s="80">
        <v>0</v>
      </c>
      <c r="F70" s="1" t="s">
        <v>169</v>
      </c>
      <c r="G70" s="80">
        <v>1</v>
      </c>
      <c r="H70" s="1" t="s">
        <v>452</v>
      </c>
      <c r="I70" s="143">
        <v>1</v>
      </c>
      <c r="J70" s="1" t="s">
        <v>452</v>
      </c>
      <c r="K70" s="142">
        <v>2092</v>
      </c>
      <c r="L70" s="142">
        <v>2092</v>
      </c>
      <c r="M70" s="142">
        <v>2092</v>
      </c>
      <c r="N70" s="14" t="s">
        <v>2202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2201</v>
      </c>
      <c r="Z70" s="142" t="s">
        <v>106</v>
      </c>
      <c r="AA70" s="80">
        <v>1</v>
      </c>
      <c r="AB70" s="1" t="s">
        <v>516</v>
      </c>
      <c r="AC70" s="80">
        <v>1</v>
      </c>
      <c r="AD70" s="1" t="s">
        <v>516</v>
      </c>
      <c r="AE70" s="143">
        <v>1</v>
      </c>
      <c r="AF70" s="1" t="s">
        <v>529</v>
      </c>
      <c r="AG70" s="142">
        <v>42325</v>
      </c>
      <c r="AH70" s="142">
        <v>4232.5</v>
      </c>
      <c r="AI70" s="142">
        <v>4228.5</v>
      </c>
      <c r="AJ70" s="14" t="s">
        <v>2200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2">
        <v>0</v>
      </c>
      <c r="AU70" s="4" t="s">
        <v>102</v>
      </c>
    </row>
    <row r="71" spans="1:47" x14ac:dyDescent="0.2">
      <c r="A71" s="174"/>
      <c r="B71" s="9" t="s">
        <v>71</v>
      </c>
      <c r="C71" s="1" t="s">
        <v>2199</v>
      </c>
      <c r="D71" s="142" t="s">
        <v>107</v>
      </c>
      <c r="E71" s="1" t="s">
        <v>164</v>
      </c>
      <c r="F71" s="1" t="s">
        <v>164</v>
      </c>
      <c r="G71" s="1" t="s">
        <v>164</v>
      </c>
      <c r="H71" s="1" t="s">
        <v>164</v>
      </c>
      <c r="I71" s="143">
        <v>0</v>
      </c>
      <c r="J71" s="1" t="s">
        <v>163</v>
      </c>
      <c r="K71" s="142">
        <v>0</v>
      </c>
      <c r="L71" s="142">
        <v>0</v>
      </c>
      <c r="M71" s="142">
        <v>0</v>
      </c>
      <c r="N71" s="14" t="s">
        <v>2198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2197</v>
      </c>
      <c r="Z71" s="142" t="s">
        <v>107</v>
      </c>
      <c r="AA71" s="1" t="s">
        <v>164</v>
      </c>
      <c r="AB71" s="1" t="s">
        <v>164</v>
      </c>
      <c r="AC71" s="1" t="s">
        <v>164</v>
      </c>
      <c r="AD71" s="1" t="s">
        <v>164</v>
      </c>
      <c r="AE71" s="143">
        <v>0.5</v>
      </c>
      <c r="AF71" s="1" t="s">
        <v>511</v>
      </c>
      <c r="AG71" s="142">
        <v>31811</v>
      </c>
      <c r="AH71" s="142">
        <v>6362.2</v>
      </c>
      <c r="AI71" s="142">
        <v>6359</v>
      </c>
      <c r="AJ71" s="14" t="s">
        <v>2196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4"/>
      <c r="B72" s="9" t="s">
        <v>72</v>
      </c>
      <c r="C72" s="1" t="s">
        <v>2195</v>
      </c>
      <c r="D72" s="142" t="s">
        <v>107</v>
      </c>
      <c r="E72" s="1" t="s">
        <v>164</v>
      </c>
      <c r="F72" s="1" t="s">
        <v>164</v>
      </c>
      <c r="G72" s="1" t="s">
        <v>164</v>
      </c>
      <c r="H72" s="1" t="s">
        <v>164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2194</v>
      </c>
      <c r="O72" s="142" t="s">
        <v>107</v>
      </c>
      <c r="P72" s="1" t="s">
        <v>164</v>
      </c>
      <c r="Q72" s="1" t="s">
        <v>164</v>
      </c>
      <c r="R72" s="1" t="s">
        <v>164</v>
      </c>
      <c r="S72" s="1" t="s">
        <v>164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2193</v>
      </c>
      <c r="Z72" s="142" t="s">
        <v>107</v>
      </c>
      <c r="AA72" s="1" t="s">
        <v>164</v>
      </c>
      <c r="AB72" s="1" t="s">
        <v>164</v>
      </c>
      <c r="AC72" s="1" t="s">
        <v>164</v>
      </c>
      <c r="AD72" s="1" t="s">
        <v>164</v>
      </c>
      <c r="AE72" s="143">
        <v>0.5</v>
      </c>
      <c r="AF72" s="1" t="s">
        <v>511</v>
      </c>
      <c r="AG72" s="142">
        <v>35674</v>
      </c>
      <c r="AH72" s="142">
        <v>7134.8</v>
      </c>
      <c r="AI72" s="142">
        <v>7289</v>
      </c>
      <c r="AJ72" s="14" t="s">
        <v>2192</v>
      </c>
      <c r="AK72" s="142" t="s">
        <v>106</v>
      </c>
      <c r="AL72" s="80">
        <v>1</v>
      </c>
      <c r="AM72" s="1" t="s">
        <v>516</v>
      </c>
      <c r="AN72" s="80">
        <v>0</v>
      </c>
      <c r="AO72" s="1" t="s">
        <v>218</v>
      </c>
      <c r="AP72" s="143">
        <v>0.5</v>
      </c>
      <c r="AQ72" s="1" t="s">
        <v>511</v>
      </c>
      <c r="AR72" s="142">
        <v>43090</v>
      </c>
      <c r="AS72" s="142">
        <v>8618</v>
      </c>
      <c r="AT72" s="142">
        <v>8641</v>
      </c>
      <c r="AU72" s="4" t="s">
        <v>102</v>
      </c>
    </row>
    <row r="73" spans="1:47" x14ac:dyDescent="0.2">
      <c r="A73" s="174"/>
      <c r="B73" s="9" t="s">
        <v>73</v>
      </c>
      <c r="C73" s="1" t="s">
        <v>2191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37755</v>
      </c>
      <c r="L73" s="142">
        <v>37755</v>
      </c>
      <c r="M73" s="142">
        <v>37755</v>
      </c>
      <c r="N73" s="14" t="s">
        <v>2190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45847</v>
      </c>
      <c r="W73" s="142">
        <v>45847</v>
      </c>
      <c r="X73" s="142">
        <v>45847</v>
      </c>
      <c r="Y73" s="14" t="s">
        <v>2189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76678</v>
      </c>
      <c r="AH73" s="142">
        <v>7667.8</v>
      </c>
      <c r="AI73" s="142">
        <v>7284</v>
      </c>
      <c r="AJ73" s="14" t="s">
        <v>2188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99414</v>
      </c>
      <c r="AS73" s="142">
        <v>9941.4</v>
      </c>
      <c r="AT73" s="142">
        <v>9046.5</v>
      </c>
      <c r="AU73" s="4" t="s">
        <v>102</v>
      </c>
    </row>
    <row r="74" spans="1:47" x14ac:dyDescent="0.2">
      <c r="A74" s="174"/>
      <c r="B74" s="9" t="s">
        <v>74</v>
      </c>
      <c r="C74" s="1" t="s">
        <v>2187</v>
      </c>
      <c r="D74" s="142" t="s">
        <v>106</v>
      </c>
      <c r="E74" s="80">
        <v>0</v>
      </c>
      <c r="F74" s="1" t="s">
        <v>169</v>
      </c>
      <c r="G74" s="80">
        <v>1</v>
      </c>
      <c r="H74" s="1" t="s">
        <v>452</v>
      </c>
      <c r="I74" s="143">
        <v>1</v>
      </c>
      <c r="J74" s="1" t="s">
        <v>452</v>
      </c>
      <c r="K74" s="142">
        <v>46937</v>
      </c>
      <c r="L74" s="142">
        <v>46937</v>
      </c>
      <c r="M74" s="142">
        <v>46937</v>
      </c>
      <c r="N74" s="14" t="s">
        <v>2186</v>
      </c>
      <c r="O74" s="142" t="s">
        <v>106</v>
      </c>
      <c r="P74" s="80">
        <v>0</v>
      </c>
      <c r="Q74" s="1" t="s">
        <v>169</v>
      </c>
      <c r="R74" s="80">
        <v>1</v>
      </c>
      <c r="S74" s="1" t="s">
        <v>452</v>
      </c>
      <c r="T74" s="143">
        <v>1</v>
      </c>
      <c r="U74" s="1" t="s">
        <v>452</v>
      </c>
      <c r="V74" s="142">
        <v>53289</v>
      </c>
      <c r="W74" s="142">
        <v>53289</v>
      </c>
      <c r="X74" s="142">
        <v>53289</v>
      </c>
      <c r="Y74" s="14" t="s">
        <v>2185</v>
      </c>
      <c r="Z74" s="142" t="s">
        <v>106</v>
      </c>
      <c r="AA74" s="80">
        <v>1</v>
      </c>
      <c r="AB74" s="1" t="s">
        <v>516</v>
      </c>
      <c r="AC74" s="80">
        <v>1</v>
      </c>
      <c r="AD74" s="1" t="s">
        <v>516</v>
      </c>
      <c r="AE74" s="143">
        <v>1</v>
      </c>
      <c r="AF74" s="1" t="s">
        <v>529</v>
      </c>
      <c r="AG74" s="142">
        <v>103638</v>
      </c>
      <c r="AH74" s="142">
        <v>10363.799999999999</v>
      </c>
      <c r="AI74" s="142">
        <v>11588</v>
      </c>
      <c r="AJ74" s="14" t="s">
        <v>2184</v>
      </c>
      <c r="AK74" s="142" t="s">
        <v>106</v>
      </c>
      <c r="AL74" s="80">
        <v>1</v>
      </c>
      <c r="AM74" s="1" t="s">
        <v>516</v>
      </c>
      <c r="AN74" s="80">
        <v>1</v>
      </c>
      <c r="AO74" s="1" t="s">
        <v>516</v>
      </c>
      <c r="AP74" s="143">
        <v>1</v>
      </c>
      <c r="AQ74" s="1" t="s">
        <v>529</v>
      </c>
      <c r="AR74" s="142">
        <v>104622</v>
      </c>
      <c r="AS74" s="142">
        <v>10462.200000000001</v>
      </c>
      <c r="AT74" s="142">
        <v>11716</v>
      </c>
      <c r="AU74" s="4" t="s">
        <v>102</v>
      </c>
    </row>
    <row r="75" spans="1:47" x14ac:dyDescent="0.2">
      <c r="A75" s="174"/>
      <c r="B75" s="9" t="s">
        <v>75</v>
      </c>
      <c r="C75" s="1" t="s">
        <v>2183</v>
      </c>
      <c r="D75" s="142" t="s">
        <v>106</v>
      </c>
      <c r="E75" s="80">
        <v>1</v>
      </c>
      <c r="F75" s="1" t="s">
        <v>452</v>
      </c>
      <c r="G75" s="1" t="s">
        <v>164</v>
      </c>
      <c r="H75" s="1" t="s">
        <v>164</v>
      </c>
      <c r="I75" s="143">
        <v>1</v>
      </c>
      <c r="J75" s="1" t="s">
        <v>452</v>
      </c>
      <c r="K75" s="142">
        <v>76712</v>
      </c>
      <c r="L75" s="142">
        <v>76712</v>
      </c>
      <c r="M75" s="142">
        <v>76712</v>
      </c>
      <c r="N75" s="14" t="s">
        <v>2182</v>
      </c>
      <c r="O75" s="142" t="s">
        <v>106</v>
      </c>
      <c r="P75" s="80">
        <v>1</v>
      </c>
      <c r="Q75" s="1" t="s">
        <v>452</v>
      </c>
      <c r="R75" s="1" t="s">
        <v>164</v>
      </c>
      <c r="S75" s="1" t="s">
        <v>164</v>
      </c>
      <c r="T75" s="143">
        <v>1</v>
      </c>
      <c r="U75" s="1" t="s">
        <v>452</v>
      </c>
      <c r="V75" s="142">
        <v>82427</v>
      </c>
      <c r="W75" s="142">
        <v>82427</v>
      </c>
      <c r="X75" s="142">
        <v>82427</v>
      </c>
      <c r="Y75" s="14" t="s">
        <v>2181</v>
      </c>
      <c r="Z75" s="142" t="s">
        <v>106</v>
      </c>
      <c r="AA75" s="80">
        <v>1</v>
      </c>
      <c r="AB75" s="1" t="s">
        <v>529</v>
      </c>
      <c r="AC75" s="1" t="s">
        <v>164</v>
      </c>
      <c r="AD75" s="1" t="s">
        <v>164</v>
      </c>
      <c r="AE75" s="143">
        <v>1</v>
      </c>
      <c r="AF75" s="1" t="s">
        <v>529</v>
      </c>
      <c r="AG75" s="142">
        <v>87803</v>
      </c>
      <c r="AH75" s="142">
        <v>8780.2999999999993</v>
      </c>
      <c r="AI75" s="142">
        <v>9465.5</v>
      </c>
      <c r="AJ75" s="14" t="s">
        <v>2180</v>
      </c>
      <c r="AK75" s="142" t="s">
        <v>106</v>
      </c>
      <c r="AL75" s="80">
        <v>1</v>
      </c>
      <c r="AM75" s="1" t="s">
        <v>529</v>
      </c>
      <c r="AN75" s="1" t="s">
        <v>164</v>
      </c>
      <c r="AO75" s="1" t="s">
        <v>164</v>
      </c>
      <c r="AP75" s="143">
        <v>1</v>
      </c>
      <c r="AQ75" s="1" t="s">
        <v>529</v>
      </c>
      <c r="AR75" s="142">
        <v>88569</v>
      </c>
      <c r="AS75" s="142">
        <v>8856.9</v>
      </c>
      <c r="AT75" s="142">
        <v>9502</v>
      </c>
      <c r="AU75" s="4" t="s">
        <v>102</v>
      </c>
    </row>
    <row r="76" spans="1:47" x14ac:dyDescent="0.2">
      <c r="A76" s="174"/>
      <c r="B76" s="9" t="s">
        <v>160</v>
      </c>
      <c r="C76" s="1" t="s">
        <v>2179</v>
      </c>
      <c r="D76" s="142" t="s">
        <v>106</v>
      </c>
      <c r="E76" s="80">
        <v>1</v>
      </c>
      <c r="F76" s="1" t="s">
        <v>452</v>
      </c>
      <c r="G76" s="1" t="s">
        <v>164</v>
      </c>
      <c r="H76" s="1" t="s">
        <v>164</v>
      </c>
      <c r="I76" s="143">
        <v>1</v>
      </c>
      <c r="J76" s="1" t="s">
        <v>452</v>
      </c>
      <c r="K76" s="142">
        <v>44188</v>
      </c>
      <c r="L76" s="142">
        <v>44188</v>
      </c>
      <c r="M76" s="142">
        <v>44188</v>
      </c>
      <c r="N76" s="14" t="s">
        <v>2178</v>
      </c>
      <c r="O76" s="142" t="s">
        <v>106</v>
      </c>
      <c r="P76" s="80">
        <v>1</v>
      </c>
      <c r="Q76" s="1" t="s">
        <v>452</v>
      </c>
      <c r="R76" s="1" t="s">
        <v>164</v>
      </c>
      <c r="S76" s="1" t="s">
        <v>164</v>
      </c>
      <c r="T76" s="143">
        <v>1</v>
      </c>
      <c r="U76" s="1" t="s">
        <v>452</v>
      </c>
      <c r="V76" s="142">
        <v>45481</v>
      </c>
      <c r="W76" s="142">
        <v>45481</v>
      </c>
      <c r="X76" s="142">
        <v>45481</v>
      </c>
      <c r="Y76" s="14" t="s">
        <v>2177</v>
      </c>
      <c r="Z76" s="142" t="s">
        <v>106</v>
      </c>
      <c r="AA76" s="80">
        <v>1</v>
      </c>
      <c r="AB76" s="1" t="s">
        <v>529</v>
      </c>
      <c r="AC76" s="1" t="s">
        <v>164</v>
      </c>
      <c r="AD76" s="1" t="s">
        <v>164</v>
      </c>
      <c r="AE76" s="143">
        <v>1</v>
      </c>
      <c r="AF76" s="1" t="s">
        <v>529</v>
      </c>
      <c r="AG76" s="142">
        <v>73367</v>
      </c>
      <c r="AH76" s="142">
        <v>7336.7</v>
      </c>
      <c r="AI76" s="142">
        <v>7762.5</v>
      </c>
      <c r="AJ76" s="14" t="s">
        <v>2176</v>
      </c>
      <c r="AK76" s="142" t="s">
        <v>106</v>
      </c>
      <c r="AL76" s="80">
        <v>1</v>
      </c>
      <c r="AM76" s="1" t="s">
        <v>529</v>
      </c>
      <c r="AN76" s="1" t="s">
        <v>164</v>
      </c>
      <c r="AO76" s="1" t="s">
        <v>164</v>
      </c>
      <c r="AP76" s="143">
        <v>1</v>
      </c>
      <c r="AQ76" s="1" t="s">
        <v>529</v>
      </c>
      <c r="AR76" s="142">
        <v>73716</v>
      </c>
      <c r="AS76" s="142">
        <v>7371.6</v>
      </c>
      <c r="AT76" s="142">
        <v>7817</v>
      </c>
      <c r="AU76" s="4" t="s">
        <v>103</v>
      </c>
    </row>
    <row r="77" spans="1:47" x14ac:dyDescent="0.2">
      <c r="A77" s="174"/>
      <c r="B77" s="9" t="s">
        <v>76</v>
      </c>
      <c r="C77" s="1" t="s">
        <v>2175</v>
      </c>
      <c r="D77" s="142" t="s">
        <v>106</v>
      </c>
      <c r="E77" s="80">
        <v>1</v>
      </c>
      <c r="F77" s="1" t="s">
        <v>452</v>
      </c>
      <c r="G77" s="1" t="s">
        <v>164</v>
      </c>
      <c r="H77" s="1" t="s">
        <v>164</v>
      </c>
      <c r="I77" s="143">
        <v>1</v>
      </c>
      <c r="J77" s="1" t="s">
        <v>452</v>
      </c>
      <c r="K77" s="142">
        <v>48538</v>
      </c>
      <c r="L77" s="142">
        <v>48538</v>
      </c>
      <c r="M77" s="142">
        <v>48538</v>
      </c>
      <c r="N77" s="14" t="s">
        <v>2174</v>
      </c>
      <c r="O77" s="142" t="s">
        <v>106</v>
      </c>
      <c r="P77" s="80">
        <v>1</v>
      </c>
      <c r="Q77" s="1" t="s">
        <v>452</v>
      </c>
      <c r="R77" s="1" t="s">
        <v>164</v>
      </c>
      <c r="S77" s="1" t="s">
        <v>164</v>
      </c>
      <c r="T77" s="143">
        <v>1</v>
      </c>
      <c r="U77" s="1" t="s">
        <v>452</v>
      </c>
      <c r="V77" s="142">
        <v>54586</v>
      </c>
      <c r="W77" s="142">
        <v>54586</v>
      </c>
      <c r="X77" s="142">
        <v>54586</v>
      </c>
      <c r="Y77" s="14" t="s">
        <v>2173</v>
      </c>
      <c r="Z77" s="142" t="s">
        <v>106</v>
      </c>
      <c r="AA77" s="80">
        <v>1</v>
      </c>
      <c r="AB77" s="1" t="s">
        <v>529</v>
      </c>
      <c r="AC77" s="1" t="s">
        <v>164</v>
      </c>
      <c r="AD77" s="1" t="s">
        <v>164</v>
      </c>
      <c r="AE77" s="143">
        <v>1</v>
      </c>
      <c r="AF77" s="1" t="s">
        <v>529</v>
      </c>
      <c r="AG77" s="142">
        <v>72803</v>
      </c>
      <c r="AH77" s="142">
        <v>7280.3</v>
      </c>
      <c r="AI77" s="142">
        <v>7667</v>
      </c>
      <c r="AJ77" s="14" t="s">
        <v>2172</v>
      </c>
      <c r="AK77" s="142" t="s">
        <v>106</v>
      </c>
      <c r="AL77" s="80">
        <v>1</v>
      </c>
      <c r="AM77" s="1" t="s">
        <v>529</v>
      </c>
      <c r="AN77" s="1" t="s">
        <v>164</v>
      </c>
      <c r="AO77" s="1" t="s">
        <v>164</v>
      </c>
      <c r="AP77" s="143">
        <v>1</v>
      </c>
      <c r="AQ77" s="1" t="s">
        <v>529</v>
      </c>
      <c r="AR77" s="142">
        <v>75569</v>
      </c>
      <c r="AS77" s="142">
        <v>7556.9</v>
      </c>
      <c r="AT77" s="142">
        <v>7816.5</v>
      </c>
      <c r="AU77" s="4" t="s">
        <v>103</v>
      </c>
    </row>
    <row r="78" spans="1:47" x14ac:dyDescent="0.2">
      <c r="A78" s="174"/>
      <c r="B78" s="9" t="s">
        <v>161</v>
      </c>
      <c r="C78" s="1" t="s">
        <v>2171</v>
      </c>
      <c r="D78" s="142" t="s">
        <v>106</v>
      </c>
      <c r="E78" s="80">
        <v>1</v>
      </c>
      <c r="F78" s="1" t="s">
        <v>452</v>
      </c>
      <c r="G78" s="1" t="s">
        <v>164</v>
      </c>
      <c r="H78" s="1" t="s">
        <v>164</v>
      </c>
      <c r="I78" s="143">
        <v>1</v>
      </c>
      <c r="J78" s="1" t="s">
        <v>452</v>
      </c>
      <c r="K78" s="142">
        <v>182472</v>
      </c>
      <c r="L78" s="142">
        <v>182472</v>
      </c>
      <c r="M78" s="142">
        <v>182472</v>
      </c>
      <c r="N78" s="14" t="s">
        <v>2170</v>
      </c>
      <c r="O78" s="142" t="s">
        <v>106</v>
      </c>
      <c r="P78" s="80">
        <v>1</v>
      </c>
      <c r="Q78" s="1" t="s">
        <v>1073</v>
      </c>
      <c r="R78" s="1" t="s">
        <v>164</v>
      </c>
      <c r="S78" s="1" t="s">
        <v>164</v>
      </c>
      <c r="T78" s="143">
        <v>1</v>
      </c>
      <c r="U78" s="1" t="s">
        <v>1073</v>
      </c>
      <c r="V78" s="142">
        <v>364905</v>
      </c>
      <c r="W78" s="142">
        <v>182452.5</v>
      </c>
      <c r="X78" s="142">
        <v>182452.5</v>
      </c>
      <c r="Y78" s="14" t="s">
        <v>2169</v>
      </c>
      <c r="Z78" s="142" t="s">
        <v>106</v>
      </c>
      <c r="AA78" s="80">
        <v>1</v>
      </c>
      <c r="AB78" s="1" t="s">
        <v>529</v>
      </c>
      <c r="AC78" s="1" t="s">
        <v>164</v>
      </c>
      <c r="AD78" s="1" t="s">
        <v>164</v>
      </c>
      <c r="AE78" s="143">
        <v>1</v>
      </c>
      <c r="AF78" s="1" t="s">
        <v>529</v>
      </c>
      <c r="AG78" s="142">
        <v>84884</v>
      </c>
      <c r="AH78" s="142">
        <v>8488.4</v>
      </c>
      <c r="AI78" s="142">
        <v>9069</v>
      </c>
      <c r="AJ78" s="14" t="s">
        <v>2168</v>
      </c>
      <c r="AK78" s="142" t="s">
        <v>106</v>
      </c>
      <c r="AL78" s="80">
        <v>1</v>
      </c>
      <c r="AM78" s="1" t="s">
        <v>1070</v>
      </c>
      <c r="AN78" s="1" t="s">
        <v>164</v>
      </c>
      <c r="AO78" s="1" t="s">
        <v>164</v>
      </c>
      <c r="AP78" s="143">
        <v>1</v>
      </c>
      <c r="AQ78" s="1" t="s">
        <v>1070</v>
      </c>
      <c r="AR78" s="142">
        <v>171174</v>
      </c>
      <c r="AS78" s="142">
        <v>8558.7000000000007</v>
      </c>
      <c r="AT78" s="142">
        <v>9124.5</v>
      </c>
      <c r="AU78" s="4" t="s">
        <v>103</v>
      </c>
    </row>
    <row r="79" spans="1:47" x14ac:dyDescent="0.2">
      <c r="A79" s="174"/>
      <c r="B79" s="9" t="s">
        <v>77</v>
      </c>
      <c r="C79" s="1" t="s">
        <v>2167</v>
      </c>
      <c r="D79" s="142" t="s">
        <v>106</v>
      </c>
      <c r="E79" s="80">
        <v>1</v>
      </c>
      <c r="F79" s="1" t="s">
        <v>452</v>
      </c>
      <c r="G79" s="1" t="s">
        <v>164</v>
      </c>
      <c r="H79" s="1" t="s">
        <v>164</v>
      </c>
      <c r="I79" s="143">
        <v>1</v>
      </c>
      <c r="J79" s="1" t="s">
        <v>452</v>
      </c>
      <c r="K79" s="142">
        <v>182468</v>
      </c>
      <c r="L79" s="142">
        <v>182468</v>
      </c>
      <c r="M79" s="142">
        <v>182468</v>
      </c>
      <c r="N79" s="14" t="s">
        <v>2166</v>
      </c>
      <c r="O79" s="142" t="s">
        <v>106</v>
      </c>
      <c r="P79" s="80">
        <v>1</v>
      </c>
      <c r="Q79" s="1" t="s">
        <v>1073</v>
      </c>
      <c r="R79" s="1" t="s">
        <v>164</v>
      </c>
      <c r="S79" s="1" t="s">
        <v>164</v>
      </c>
      <c r="T79" s="143">
        <v>1</v>
      </c>
      <c r="U79" s="1" t="s">
        <v>1073</v>
      </c>
      <c r="V79" s="142">
        <v>364990</v>
      </c>
      <c r="W79" s="142">
        <v>182495</v>
      </c>
      <c r="X79" s="142">
        <v>182495</v>
      </c>
      <c r="Y79" s="14" t="s">
        <v>2165</v>
      </c>
      <c r="Z79" s="142" t="s">
        <v>106</v>
      </c>
      <c r="AA79" s="80">
        <v>1</v>
      </c>
      <c r="AB79" s="1" t="s">
        <v>529</v>
      </c>
      <c r="AC79" s="1" t="s">
        <v>164</v>
      </c>
      <c r="AD79" s="1" t="s">
        <v>164</v>
      </c>
      <c r="AE79" s="143">
        <v>1</v>
      </c>
      <c r="AF79" s="1" t="s">
        <v>529</v>
      </c>
      <c r="AG79" s="142">
        <v>84825</v>
      </c>
      <c r="AH79" s="142">
        <v>8482.5</v>
      </c>
      <c r="AI79" s="142">
        <v>9045.5</v>
      </c>
      <c r="AJ79" s="14" t="s">
        <v>2164</v>
      </c>
      <c r="AK79" s="142" t="s">
        <v>106</v>
      </c>
      <c r="AL79" s="80">
        <v>1</v>
      </c>
      <c r="AM79" s="1" t="s">
        <v>1070</v>
      </c>
      <c r="AN79" s="1" t="s">
        <v>164</v>
      </c>
      <c r="AO79" s="1" t="s">
        <v>164</v>
      </c>
      <c r="AP79" s="143">
        <v>1</v>
      </c>
      <c r="AQ79" s="1" t="s">
        <v>1070</v>
      </c>
      <c r="AR79" s="142">
        <v>171466</v>
      </c>
      <c r="AS79" s="142">
        <v>8573.2999999999993</v>
      </c>
      <c r="AT79" s="142">
        <v>9150.5</v>
      </c>
      <c r="AU79" s="4" t="s">
        <v>103</v>
      </c>
    </row>
    <row r="80" spans="1:47" x14ac:dyDescent="0.2">
      <c r="A80" s="174"/>
      <c r="B80" s="9" t="s">
        <v>162</v>
      </c>
      <c r="C80" s="1" t="s">
        <v>2163</v>
      </c>
      <c r="D80" s="142" t="s">
        <v>106</v>
      </c>
      <c r="E80" s="80">
        <v>1</v>
      </c>
      <c r="F80" s="1" t="s">
        <v>452</v>
      </c>
      <c r="G80" s="1" t="s">
        <v>164</v>
      </c>
      <c r="H80" s="1" t="s">
        <v>164</v>
      </c>
      <c r="I80" s="143">
        <v>1</v>
      </c>
      <c r="J80" s="1" t="s">
        <v>452</v>
      </c>
      <c r="K80" s="142">
        <v>44100</v>
      </c>
      <c r="L80" s="142">
        <v>44100</v>
      </c>
      <c r="M80" s="142">
        <v>44100</v>
      </c>
      <c r="N80" s="14" t="s">
        <v>2162</v>
      </c>
      <c r="O80" s="142" t="s">
        <v>106</v>
      </c>
      <c r="P80" s="80">
        <v>1</v>
      </c>
      <c r="Q80" s="1" t="s">
        <v>452</v>
      </c>
      <c r="R80" s="1" t="s">
        <v>164</v>
      </c>
      <c r="S80" s="1" t="s">
        <v>164</v>
      </c>
      <c r="T80" s="143">
        <v>1</v>
      </c>
      <c r="U80" s="1" t="s">
        <v>452</v>
      </c>
      <c r="V80" s="142">
        <v>44824</v>
      </c>
      <c r="W80" s="142">
        <v>44824</v>
      </c>
      <c r="X80" s="142">
        <v>44824</v>
      </c>
      <c r="Y80" s="14" t="s">
        <v>2161</v>
      </c>
      <c r="Z80" s="142" t="s">
        <v>106</v>
      </c>
      <c r="AA80" s="80">
        <v>1</v>
      </c>
      <c r="AB80" s="1" t="s">
        <v>529</v>
      </c>
      <c r="AC80" s="1" t="s">
        <v>164</v>
      </c>
      <c r="AD80" s="1" t="s">
        <v>164</v>
      </c>
      <c r="AE80" s="143">
        <v>1</v>
      </c>
      <c r="AF80" s="1" t="s">
        <v>529</v>
      </c>
      <c r="AG80" s="142">
        <v>72986</v>
      </c>
      <c r="AH80" s="142">
        <v>7298.6</v>
      </c>
      <c r="AI80" s="142">
        <v>7733</v>
      </c>
      <c r="AJ80" s="14" t="s">
        <v>2160</v>
      </c>
      <c r="AK80" s="142" t="s">
        <v>106</v>
      </c>
      <c r="AL80" s="80">
        <v>1</v>
      </c>
      <c r="AM80" s="1" t="s">
        <v>529</v>
      </c>
      <c r="AN80" s="1" t="s">
        <v>164</v>
      </c>
      <c r="AO80" s="1" t="s">
        <v>164</v>
      </c>
      <c r="AP80" s="143">
        <v>1</v>
      </c>
      <c r="AQ80" s="1" t="s">
        <v>529</v>
      </c>
      <c r="AR80" s="142">
        <v>73555</v>
      </c>
      <c r="AS80" s="142">
        <v>7355.5</v>
      </c>
      <c r="AT80" s="142">
        <v>7790</v>
      </c>
      <c r="AU80" s="4" t="s">
        <v>103</v>
      </c>
    </row>
    <row r="81" spans="1:47" x14ac:dyDescent="0.2">
      <c r="A81" s="174"/>
      <c r="B81" s="9" t="s">
        <v>78</v>
      </c>
      <c r="C81" s="1" t="s">
        <v>2159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7931</v>
      </c>
      <c r="L81" s="142">
        <v>7931</v>
      </c>
      <c r="M81" s="142">
        <v>7931</v>
      </c>
      <c r="N81" s="14" t="s">
        <v>2158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7853</v>
      </c>
      <c r="W81" s="142">
        <v>7853</v>
      </c>
      <c r="X81" s="142">
        <v>7853</v>
      </c>
      <c r="Y81" s="14" t="s">
        <v>2157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73179</v>
      </c>
      <c r="AH81" s="142">
        <v>7317.9</v>
      </c>
      <c r="AI81" s="142">
        <v>7749.5</v>
      </c>
      <c r="AJ81" s="14" t="s">
        <v>2156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75627</v>
      </c>
      <c r="AS81" s="142">
        <v>7562.7</v>
      </c>
      <c r="AT81" s="142">
        <v>7829</v>
      </c>
      <c r="AU81" s="4" t="s">
        <v>103</v>
      </c>
    </row>
    <row r="82" spans="1:47" x14ac:dyDescent="0.2">
      <c r="A82" s="174"/>
      <c r="B82" s="9" t="s">
        <v>79</v>
      </c>
      <c r="C82" s="1" t="s">
        <v>2155</v>
      </c>
      <c r="D82" s="142" t="s">
        <v>106</v>
      </c>
      <c r="E82" s="80">
        <v>0</v>
      </c>
      <c r="F82" s="1" t="s">
        <v>169</v>
      </c>
      <c r="G82" s="80">
        <v>1</v>
      </c>
      <c r="H82" s="1" t="s">
        <v>452</v>
      </c>
      <c r="I82" s="143">
        <v>1</v>
      </c>
      <c r="J82" s="1" t="s">
        <v>452</v>
      </c>
      <c r="K82" s="142">
        <v>2700</v>
      </c>
      <c r="L82" s="142">
        <v>2700</v>
      </c>
      <c r="M82" s="142">
        <v>2700</v>
      </c>
      <c r="N82" s="14" t="s">
        <v>2154</v>
      </c>
      <c r="O82" s="142" t="s">
        <v>106</v>
      </c>
      <c r="P82" s="80">
        <v>0</v>
      </c>
      <c r="Q82" s="1" t="s">
        <v>169</v>
      </c>
      <c r="R82" s="80">
        <v>1</v>
      </c>
      <c r="S82" s="1" t="s">
        <v>452</v>
      </c>
      <c r="T82" s="143">
        <v>1</v>
      </c>
      <c r="U82" s="1" t="s">
        <v>452</v>
      </c>
      <c r="V82" s="142">
        <v>2680</v>
      </c>
      <c r="W82" s="142">
        <v>2680</v>
      </c>
      <c r="X82" s="142">
        <v>2680</v>
      </c>
      <c r="Y82" s="14" t="s">
        <v>2153</v>
      </c>
      <c r="Z82" s="142" t="s">
        <v>106</v>
      </c>
      <c r="AA82" s="80">
        <v>1</v>
      </c>
      <c r="AB82" s="1" t="s">
        <v>516</v>
      </c>
      <c r="AC82" s="80">
        <v>0.2</v>
      </c>
      <c r="AD82" s="1" t="s">
        <v>1049</v>
      </c>
      <c r="AE82" s="143">
        <v>0.6</v>
      </c>
      <c r="AF82" s="1" t="s">
        <v>963</v>
      </c>
      <c r="AG82" s="142">
        <v>42840</v>
      </c>
      <c r="AH82" s="142">
        <v>7140</v>
      </c>
      <c r="AI82" s="142">
        <v>7450.5</v>
      </c>
      <c r="AJ82" s="14" t="s">
        <v>2152</v>
      </c>
      <c r="AK82" s="142" t="s">
        <v>106</v>
      </c>
      <c r="AL82" s="80">
        <v>1</v>
      </c>
      <c r="AM82" s="1" t="s">
        <v>516</v>
      </c>
      <c r="AN82" s="80">
        <v>0.2</v>
      </c>
      <c r="AO82" s="1" t="s">
        <v>1049</v>
      </c>
      <c r="AP82" s="143">
        <v>0.6</v>
      </c>
      <c r="AQ82" s="1" t="s">
        <v>963</v>
      </c>
      <c r="AR82" s="142">
        <v>42945</v>
      </c>
      <c r="AS82" s="142">
        <v>7157.5</v>
      </c>
      <c r="AT82" s="142">
        <v>7576.5</v>
      </c>
      <c r="AU82" s="4" t="s">
        <v>102</v>
      </c>
    </row>
    <row r="83" spans="1:47" x14ac:dyDescent="0.2">
      <c r="A83" s="174"/>
      <c r="B83" s="9" t="s">
        <v>80</v>
      </c>
      <c r="C83" s="1" t="s">
        <v>2151</v>
      </c>
      <c r="D83" s="142" t="s">
        <v>106</v>
      </c>
      <c r="E83" s="80">
        <v>1</v>
      </c>
      <c r="F83" s="1" t="s">
        <v>452</v>
      </c>
      <c r="G83" s="1" t="s">
        <v>164</v>
      </c>
      <c r="H83" s="1" t="s">
        <v>164</v>
      </c>
      <c r="I83" s="143">
        <v>1</v>
      </c>
      <c r="J83" s="1" t="s">
        <v>452</v>
      </c>
      <c r="K83" s="142">
        <v>182283</v>
      </c>
      <c r="L83" s="142">
        <v>182283</v>
      </c>
      <c r="M83" s="142">
        <v>182283</v>
      </c>
      <c r="N83" s="14" t="s">
        <v>2150</v>
      </c>
      <c r="O83" s="142" t="s">
        <v>106</v>
      </c>
      <c r="P83" s="80">
        <v>1</v>
      </c>
      <c r="Q83" s="1" t="s">
        <v>452</v>
      </c>
      <c r="R83" s="1" t="s">
        <v>164</v>
      </c>
      <c r="S83" s="1" t="s">
        <v>164</v>
      </c>
      <c r="T83" s="143">
        <v>1</v>
      </c>
      <c r="U83" s="1" t="s">
        <v>452</v>
      </c>
      <c r="V83" s="142">
        <v>182262</v>
      </c>
      <c r="W83" s="142">
        <v>182262</v>
      </c>
      <c r="X83" s="142">
        <v>182262</v>
      </c>
      <c r="Y83" s="14" t="s">
        <v>2149</v>
      </c>
      <c r="Z83" s="142" t="s">
        <v>106</v>
      </c>
      <c r="AA83" s="80">
        <v>0.7</v>
      </c>
      <c r="AB83" s="1" t="s">
        <v>973</v>
      </c>
      <c r="AC83" s="1" t="s">
        <v>164</v>
      </c>
      <c r="AD83" s="1" t="s">
        <v>164</v>
      </c>
      <c r="AE83" s="143">
        <v>0.7</v>
      </c>
      <c r="AF83" s="1" t="s">
        <v>973</v>
      </c>
      <c r="AG83" s="142">
        <v>75870</v>
      </c>
      <c r="AH83" s="142">
        <v>10838.57</v>
      </c>
      <c r="AI83" s="142">
        <v>8558</v>
      </c>
      <c r="AJ83" s="14" t="s">
        <v>2148</v>
      </c>
      <c r="AK83" s="142" t="s">
        <v>106</v>
      </c>
      <c r="AL83" s="80">
        <v>0.7</v>
      </c>
      <c r="AM83" s="1" t="s">
        <v>973</v>
      </c>
      <c r="AN83" s="1" t="s">
        <v>164</v>
      </c>
      <c r="AO83" s="1" t="s">
        <v>164</v>
      </c>
      <c r="AP83" s="143">
        <v>0.7</v>
      </c>
      <c r="AQ83" s="1" t="s">
        <v>973</v>
      </c>
      <c r="AR83" s="142">
        <v>75704</v>
      </c>
      <c r="AS83" s="142">
        <v>10814.86</v>
      </c>
      <c r="AT83" s="142">
        <v>8487</v>
      </c>
      <c r="AU83" s="4" t="s">
        <v>102</v>
      </c>
    </row>
    <row r="84" spans="1:47" x14ac:dyDescent="0.2">
      <c r="A84" s="174"/>
      <c r="B84" s="9" t="s">
        <v>81</v>
      </c>
      <c r="C84" s="1" t="s">
        <v>2147</v>
      </c>
      <c r="D84" s="142" t="s">
        <v>106</v>
      </c>
      <c r="E84" s="80">
        <v>0</v>
      </c>
      <c r="F84" s="1" t="s">
        <v>169</v>
      </c>
      <c r="G84" s="80">
        <v>1</v>
      </c>
      <c r="H84" s="1" t="s">
        <v>452</v>
      </c>
      <c r="I84" s="143">
        <v>1</v>
      </c>
      <c r="J84" s="1" t="s">
        <v>452</v>
      </c>
      <c r="K84" s="142">
        <v>5937</v>
      </c>
      <c r="L84" s="142">
        <v>5937</v>
      </c>
      <c r="M84" s="142">
        <v>5937</v>
      </c>
      <c r="N84" s="14" t="s">
        <v>2146</v>
      </c>
      <c r="O84" s="142" t="s">
        <v>106</v>
      </c>
      <c r="P84" s="80">
        <v>0</v>
      </c>
      <c r="Q84" s="1" t="s">
        <v>169</v>
      </c>
      <c r="R84" s="80">
        <v>1</v>
      </c>
      <c r="S84" s="1" t="s">
        <v>452</v>
      </c>
      <c r="T84" s="143">
        <v>1</v>
      </c>
      <c r="U84" s="1" t="s">
        <v>452</v>
      </c>
      <c r="V84" s="142">
        <v>5927</v>
      </c>
      <c r="W84" s="142">
        <v>5927</v>
      </c>
      <c r="X84" s="142">
        <v>5927</v>
      </c>
      <c r="Y84" s="14" t="s">
        <v>2145</v>
      </c>
      <c r="Z84" s="142" t="s">
        <v>106</v>
      </c>
      <c r="AA84" s="80">
        <v>1</v>
      </c>
      <c r="AB84" s="1" t="s">
        <v>516</v>
      </c>
      <c r="AC84" s="80">
        <v>1</v>
      </c>
      <c r="AD84" s="1" t="s">
        <v>516</v>
      </c>
      <c r="AE84" s="143">
        <v>1</v>
      </c>
      <c r="AF84" s="1" t="s">
        <v>529</v>
      </c>
      <c r="AG84" s="142">
        <v>68487</v>
      </c>
      <c r="AH84" s="142">
        <v>6848.7</v>
      </c>
      <c r="AI84" s="142">
        <v>6063.5</v>
      </c>
      <c r="AJ84" s="14" t="s">
        <v>2144</v>
      </c>
      <c r="AK84" s="142" t="s">
        <v>106</v>
      </c>
      <c r="AL84" s="80">
        <v>1</v>
      </c>
      <c r="AM84" s="1" t="s">
        <v>516</v>
      </c>
      <c r="AN84" s="80">
        <v>1</v>
      </c>
      <c r="AO84" s="1" t="s">
        <v>516</v>
      </c>
      <c r="AP84" s="143">
        <v>1</v>
      </c>
      <c r="AQ84" s="1" t="s">
        <v>529</v>
      </c>
      <c r="AR84" s="142">
        <v>68776</v>
      </c>
      <c r="AS84" s="142">
        <v>6877.6</v>
      </c>
      <c r="AT84" s="142">
        <v>6103</v>
      </c>
      <c r="AU84" s="4" t="s">
        <v>102</v>
      </c>
    </row>
    <row r="85" spans="1:47" x14ac:dyDescent="0.2">
      <c r="A85" s="174"/>
      <c r="B85" s="9" t="s">
        <v>82</v>
      </c>
      <c r="C85" s="1" t="s">
        <v>2143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8199</v>
      </c>
      <c r="L85" s="142">
        <v>8199</v>
      </c>
      <c r="M85" s="142">
        <v>8199</v>
      </c>
      <c r="N85" s="14" t="s">
        <v>2142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8257</v>
      </c>
      <c r="W85" s="142">
        <v>8257</v>
      </c>
      <c r="X85" s="142">
        <v>8257</v>
      </c>
      <c r="Y85" s="14" t="s">
        <v>2141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84123</v>
      </c>
      <c r="AH85" s="142">
        <v>8412.2999999999993</v>
      </c>
      <c r="AI85" s="142">
        <v>8979</v>
      </c>
      <c r="AJ85" s="14" t="s">
        <v>2140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84957</v>
      </c>
      <c r="AS85" s="142">
        <v>8495.7000000000007</v>
      </c>
      <c r="AT85" s="142">
        <v>9053.5</v>
      </c>
      <c r="AU85" s="4" t="s">
        <v>102</v>
      </c>
    </row>
    <row r="86" spans="1:47" x14ac:dyDescent="0.2">
      <c r="A86" s="174"/>
      <c r="B86" s="9" t="s">
        <v>83</v>
      </c>
      <c r="C86" s="1" t="s">
        <v>2139</v>
      </c>
      <c r="D86" s="142" t="s">
        <v>106</v>
      </c>
      <c r="E86" s="80">
        <v>0</v>
      </c>
      <c r="F86" s="1" t="s">
        <v>169</v>
      </c>
      <c r="G86" s="80">
        <v>1</v>
      </c>
      <c r="H86" s="1" t="s">
        <v>452</v>
      </c>
      <c r="I86" s="143">
        <v>1</v>
      </c>
      <c r="J86" s="1" t="s">
        <v>452</v>
      </c>
      <c r="K86" s="142">
        <v>2670</v>
      </c>
      <c r="L86" s="142">
        <v>2670</v>
      </c>
      <c r="M86" s="142">
        <v>2670</v>
      </c>
      <c r="N86" s="14" t="s">
        <v>2138</v>
      </c>
      <c r="O86" s="142" t="s">
        <v>106</v>
      </c>
      <c r="P86" s="80">
        <v>0</v>
      </c>
      <c r="Q86" s="1" t="s">
        <v>169</v>
      </c>
      <c r="R86" s="80">
        <v>1</v>
      </c>
      <c r="S86" s="1" t="s">
        <v>452</v>
      </c>
      <c r="T86" s="143">
        <v>1</v>
      </c>
      <c r="U86" s="1" t="s">
        <v>452</v>
      </c>
      <c r="V86" s="142">
        <v>2657</v>
      </c>
      <c r="W86" s="142">
        <v>2657</v>
      </c>
      <c r="X86" s="142">
        <v>2657</v>
      </c>
      <c r="Y86" s="14" t="s">
        <v>2137</v>
      </c>
      <c r="Z86" s="142" t="s">
        <v>106</v>
      </c>
      <c r="AA86" s="80">
        <v>1</v>
      </c>
      <c r="AB86" s="1" t="s">
        <v>516</v>
      </c>
      <c r="AC86" s="80">
        <v>1</v>
      </c>
      <c r="AD86" s="1" t="s">
        <v>516</v>
      </c>
      <c r="AE86" s="143">
        <v>1</v>
      </c>
      <c r="AF86" s="1" t="s">
        <v>529</v>
      </c>
      <c r="AG86" s="142">
        <v>63701</v>
      </c>
      <c r="AH86" s="142">
        <v>6370.1</v>
      </c>
      <c r="AI86" s="142">
        <v>6069</v>
      </c>
      <c r="AJ86" s="14" t="s">
        <v>2136</v>
      </c>
      <c r="AK86" s="142" t="s">
        <v>106</v>
      </c>
      <c r="AL86" s="80">
        <v>1</v>
      </c>
      <c r="AM86" s="1" t="s">
        <v>516</v>
      </c>
      <c r="AN86" s="80">
        <v>1</v>
      </c>
      <c r="AO86" s="1" t="s">
        <v>516</v>
      </c>
      <c r="AP86" s="143">
        <v>1</v>
      </c>
      <c r="AQ86" s="1" t="s">
        <v>529</v>
      </c>
      <c r="AR86" s="142">
        <v>64045</v>
      </c>
      <c r="AS86" s="142">
        <v>6404.5</v>
      </c>
      <c r="AT86" s="142">
        <v>6122.5</v>
      </c>
      <c r="AU86" s="4" t="s">
        <v>102</v>
      </c>
    </row>
    <row r="87" spans="1:47" x14ac:dyDescent="0.2">
      <c r="A87" s="174"/>
      <c r="B87" s="9" t="s">
        <v>84</v>
      </c>
      <c r="C87" s="1" t="s">
        <v>2135</v>
      </c>
      <c r="D87" s="142" t="s">
        <v>106</v>
      </c>
      <c r="E87" s="80">
        <v>1</v>
      </c>
      <c r="F87" s="1" t="s">
        <v>452</v>
      </c>
      <c r="G87" s="1" t="s">
        <v>164</v>
      </c>
      <c r="H87" s="1" t="s">
        <v>164</v>
      </c>
      <c r="I87" s="143">
        <v>1</v>
      </c>
      <c r="J87" s="1" t="s">
        <v>452</v>
      </c>
      <c r="K87" s="142">
        <v>66704</v>
      </c>
      <c r="L87" s="142">
        <v>66704</v>
      </c>
      <c r="M87" s="142">
        <v>66704</v>
      </c>
      <c r="N87" s="14" t="s">
        <v>2134</v>
      </c>
      <c r="O87" s="142" t="s">
        <v>106</v>
      </c>
      <c r="P87" s="80">
        <v>1</v>
      </c>
      <c r="Q87" s="1" t="s">
        <v>452</v>
      </c>
      <c r="R87" s="1" t="s">
        <v>164</v>
      </c>
      <c r="S87" s="1" t="s">
        <v>164</v>
      </c>
      <c r="T87" s="143">
        <v>1</v>
      </c>
      <c r="U87" s="1" t="s">
        <v>452</v>
      </c>
      <c r="V87" s="142">
        <v>67621</v>
      </c>
      <c r="W87" s="142">
        <v>67621</v>
      </c>
      <c r="X87" s="142">
        <v>67621</v>
      </c>
      <c r="Y87" s="14" t="s">
        <v>2133</v>
      </c>
      <c r="Z87" s="142" t="s">
        <v>106</v>
      </c>
      <c r="AA87" s="80">
        <v>1</v>
      </c>
      <c r="AB87" s="1" t="s">
        <v>529</v>
      </c>
      <c r="AC87" s="1" t="s">
        <v>164</v>
      </c>
      <c r="AD87" s="1" t="s">
        <v>164</v>
      </c>
      <c r="AE87" s="143">
        <v>1</v>
      </c>
      <c r="AF87" s="1" t="s">
        <v>529</v>
      </c>
      <c r="AG87" s="142">
        <v>79471</v>
      </c>
      <c r="AH87" s="142">
        <v>7947.1</v>
      </c>
      <c r="AI87" s="142">
        <v>8395</v>
      </c>
      <c r="AJ87" s="14" t="s">
        <v>2132</v>
      </c>
      <c r="AK87" s="142" t="s">
        <v>106</v>
      </c>
      <c r="AL87" s="80">
        <v>1</v>
      </c>
      <c r="AM87" s="1" t="s">
        <v>529</v>
      </c>
      <c r="AN87" s="1" t="s">
        <v>164</v>
      </c>
      <c r="AO87" s="1" t="s">
        <v>164</v>
      </c>
      <c r="AP87" s="143">
        <v>1</v>
      </c>
      <c r="AQ87" s="1" t="s">
        <v>529</v>
      </c>
      <c r="AR87" s="142">
        <v>79865</v>
      </c>
      <c r="AS87" s="142">
        <v>7986.5</v>
      </c>
      <c r="AT87" s="142">
        <v>8417</v>
      </c>
      <c r="AU87" s="4" t="s">
        <v>102</v>
      </c>
    </row>
    <row r="88" spans="1:47" x14ac:dyDescent="0.2">
      <c r="A88" s="174"/>
      <c r="B88" s="9" t="s">
        <v>85</v>
      </c>
      <c r="C88" s="1" t="s">
        <v>2131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2130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2129</v>
      </c>
      <c r="Z88" s="142" t="s">
        <v>106</v>
      </c>
      <c r="AA88" s="80">
        <v>0.8</v>
      </c>
      <c r="AB88" s="1" t="s">
        <v>506</v>
      </c>
      <c r="AC88" s="80">
        <v>0</v>
      </c>
      <c r="AD88" s="1" t="s">
        <v>218</v>
      </c>
      <c r="AE88" s="143">
        <v>0.4</v>
      </c>
      <c r="AF88" s="1" t="s">
        <v>501</v>
      </c>
      <c r="AG88" s="142">
        <v>31178</v>
      </c>
      <c r="AH88" s="142">
        <v>7794.5</v>
      </c>
      <c r="AI88" s="142">
        <v>7369.5</v>
      </c>
      <c r="AJ88" s="14" t="s">
        <v>2128</v>
      </c>
      <c r="AK88" s="142" t="s">
        <v>106</v>
      </c>
      <c r="AL88" s="80">
        <v>0.8</v>
      </c>
      <c r="AM88" s="1" t="s">
        <v>506</v>
      </c>
      <c r="AN88" s="80">
        <v>0</v>
      </c>
      <c r="AO88" s="1" t="s">
        <v>218</v>
      </c>
      <c r="AP88" s="143">
        <v>0.4</v>
      </c>
      <c r="AQ88" s="1" t="s">
        <v>501</v>
      </c>
      <c r="AR88" s="142">
        <v>31044</v>
      </c>
      <c r="AS88" s="142">
        <v>7761</v>
      </c>
      <c r="AT88" s="142">
        <v>7338</v>
      </c>
      <c r="AU88" s="4" t="s">
        <v>102</v>
      </c>
    </row>
    <row r="89" spans="1:47" x14ac:dyDescent="0.2">
      <c r="A89" s="174"/>
      <c r="B89" s="9" t="s">
        <v>86</v>
      </c>
      <c r="C89" s="1" t="s">
        <v>2127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182448</v>
      </c>
      <c r="L89" s="142">
        <v>182448</v>
      </c>
      <c r="M89" s="142">
        <v>182448</v>
      </c>
      <c r="N89" s="14" t="s">
        <v>2126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182362</v>
      </c>
      <c r="W89" s="142">
        <v>182362</v>
      </c>
      <c r="X89" s="142">
        <v>182362</v>
      </c>
      <c r="Y89" s="14" t="s">
        <v>2125</v>
      </c>
      <c r="Z89" s="142" t="s">
        <v>106</v>
      </c>
      <c r="AA89" s="80">
        <v>0.9</v>
      </c>
      <c r="AB89" s="1" t="s">
        <v>951</v>
      </c>
      <c r="AC89" s="1" t="s">
        <v>164</v>
      </c>
      <c r="AD89" s="1" t="s">
        <v>164</v>
      </c>
      <c r="AE89" s="143">
        <v>0.9</v>
      </c>
      <c r="AF89" s="1" t="s">
        <v>951</v>
      </c>
      <c r="AG89" s="142">
        <v>75409</v>
      </c>
      <c r="AH89" s="142">
        <v>8378.7800000000007</v>
      </c>
      <c r="AI89" s="142">
        <v>7774</v>
      </c>
      <c r="AJ89" s="14" t="s">
        <v>2124</v>
      </c>
      <c r="AK89" s="142" t="s">
        <v>106</v>
      </c>
      <c r="AL89" s="80">
        <v>0.9</v>
      </c>
      <c r="AM89" s="1" t="s">
        <v>951</v>
      </c>
      <c r="AN89" s="1" t="s">
        <v>164</v>
      </c>
      <c r="AO89" s="1" t="s">
        <v>164</v>
      </c>
      <c r="AP89" s="143">
        <v>0.9</v>
      </c>
      <c r="AQ89" s="1" t="s">
        <v>951</v>
      </c>
      <c r="AR89" s="142">
        <v>75580</v>
      </c>
      <c r="AS89" s="142">
        <v>8397.7800000000007</v>
      </c>
      <c r="AT89" s="142">
        <v>7834</v>
      </c>
      <c r="AU89" s="4" t="s">
        <v>102</v>
      </c>
    </row>
    <row r="90" spans="1:47" x14ac:dyDescent="0.2">
      <c r="A90" s="174"/>
      <c r="B90" s="9" t="s">
        <v>87</v>
      </c>
      <c r="C90" s="1" t="s">
        <v>2123</v>
      </c>
      <c r="D90" s="142" t="s">
        <v>106</v>
      </c>
      <c r="E90" s="80">
        <v>0</v>
      </c>
      <c r="F90" s="1" t="s">
        <v>169</v>
      </c>
      <c r="G90" s="80">
        <v>1</v>
      </c>
      <c r="H90" s="1" t="s">
        <v>452</v>
      </c>
      <c r="I90" s="143">
        <v>1</v>
      </c>
      <c r="J90" s="1" t="s">
        <v>452</v>
      </c>
      <c r="K90" s="142">
        <v>2323</v>
      </c>
      <c r="L90" s="142">
        <v>2323</v>
      </c>
      <c r="M90" s="142">
        <v>2323</v>
      </c>
      <c r="N90" s="14" t="s">
        <v>2122</v>
      </c>
      <c r="O90" s="142" t="s">
        <v>106</v>
      </c>
      <c r="P90" s="80">
        <v>0</v>
      </c>
      <c r="Q90" s="1" t="s">
        <v>169</v>
      </c>
      <c r="R90" s="80">
        <v>1</v>
      </c>
      <c r="S90" s="1" t="s">
        <v>452</v>
      </c>
      <c r="T90" s="143">
        <v>1</v>
      </c>
      <c r="U90" s="1" t="s">
        <v>452</v>
      </c>
      <c r="V90" s="142">
        <v>2245</v>
      </c>
      <c r="W90" s="142">
        <v>2245</v>
      </c>
      <c r="X90" s="142">
        <v>2245</v>
      </c>
      <c r="Y90" s="14" t="s">
        <v>2121</v>
      </c>
      <c r="Z90" s="142" t="s">
        <v>106</v>
      </c>
      <c r="AA90" s="80">
        <v>1</v>
      </c>
      <c r="AB90" s="1" t="s">
        <v>516</v>
      </c>
      <c r="AC90" s="80">
        <v>1</v>
      </c>
      <c r="AD90" s="1" t="s">
        <v>516</v>
      </c>
      <c r="AE90" s="143">
        <v>1</v>
      </c>
      <c r="AF90" s="1" t="s">
        <v>529</v>
      </c>
      <c r="AG90" s="142">
        <v>66899</v>
      </c>
      <c r="AH90" s="142">
        <v>6689.9</v>
      </c>
      <c r="AI90" s="142">
        <v>5951.5</v>
      </c>
      <c r="AJ90" s="14" t="s">
        <v>2120</v>
      </c>
      <c r="AK90" s="142" t="s">
        <v>106</v>
      </c>
      <c r="AL90" s="80">
        <v>1</v>
      </c>
      <c r="AM90" s="1" t="s">
        <v>516</v>
      </c>
      <c r="AN90" s="80">
        <v>1</v>
      </c>
      <c r="AO90" s="1" t="s">
        <v>516</v>
      </c>
      <c r="AP90" s="143">
        <v>1</v>
      </c>
      <c r="AQ90" s="1" t="s">
        <v>529</v>
      </c>
      <c r="AR90" s="142">
        <v>66934</v>
      </c>
      <c r="AS90" s="142">
        <v>6693.4</v>
      </c>
      <c r="AT90" s="142">
        <v>5946</v>
      </c>
      <c r="AU90" s="4" t="s">
        <v>98</v>
      </c>
    </row>
    <row r="91" spans="1:47" x14ac:dyDescent="0.2">
      <c r="A91" s="174"/>
      <c r="B91" s="9" t="s">
        <v>88</v>
      </c>
      <c r="C91" s="1" t="s">
        <v>2119</v>
      </c>
      <c r="D91" s="142" t="s">
        <v>107</v>
      </c>
      <c r="E91" s="1" t="s">
        <v>164</v>
      </c>
      <c r="F91" s="1" t="s">
        <v>164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2118</v>
      </c>
      <c r="O91" s="142" t="s">
        <v>107</v>
      </c>
      <c r="P91" s="1" t="s">
        <v>164</v>
      </c>
      <c r="Q91" s="1" t="s">
        <v>164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2117</v>
      </c>
      <c r="Z91" s="142" t="s">
        <v>106</v>
      </c>
      <c r="AA91" s="80">
        <v>1</v>
      </c>
      <c r="AB91" s="1" t="s">
        <v>529</v>
      </c>
      <c r="AC91" s="1" t="s">
        <v>164</v>
      </c>
      <c r="AD91" s="1" t="s">
        <v>164</v>
      </c>
      <c r="AE91" s="143">
        <v>1</v>
      </c>
      <c r="AF91" s="1" t="s">
        <v>529</v>
      </c>
      <c r="AG91" s="142">
        <v>86987</v>
      </c>
      <c r="AH91" s="142">
        <v>8698.7000000000007</v>
      </c>
      <c r="AI91" s="142">
        <v>8977.5</v>
      </c>
      <c r="AJ91" s="14" t="s">
        <v>2116</v>
      </c>
      <c r="AK91" s="142" t="s">
        <v>106</v>
      </c>
      <c r="AL91" s="80">
        <v>1</v>
      </c>
      <c r="AM91" s="1" t="s">
        <v>529</v>
      </c>
      <c r="AN91" s="1" t="s">
        <v>164</v>
      </c>
      <c r="AO91" s="1" t="s">
        <v>164</v>
      </c>
      <c r="AP91" s="143">
        <v>1</v>
      </c>
      <c r="AQ91" s="1" t="s">
        <v>529</v>
      </c>
      <c r="AR91" s="142">
        <v>87355</v>
      </c>
      <c r="AS91" s="142">
        <v>8735.5</v>
      </c>
      <c r="AT91" s="142">
        <v>9036.5</v>
      </c>
      <c r="AU91" s="4" t="s">
        <v>98</v>
      </c>
    </row>
    <row r="92" spans="1:47" x14ac:dyDescent="0.2">
      <c r="A92" s="174"/>
      <c r="B92" s="9" t="s">
        <v>89</v>
      </c>
      <c r="C92" s="1" t="s">
        <v>2115</v>
      </c>
      <c r="D92" s="142" t="s">
        <v>106</v>
      </c>
      <c r="E92" s="80">
        <v>0</v>
      </c>
      <c r="F92" s="1" t="s">
        <v>169</v>
      </c>
      <c r="G92" s="80">
        <v>0</v>
      </c>
      <c r="H92" s="1" t="s">
        <v>163</v>
      </c>
      <c r="I92" s="143">
        <v>0</v>
      </c>
      <c r="J92" s="1" t="s">
        <v>163</v>
      </c>
      <c r="K92" s="142">
        <v>0</v>
      </c>
      <c r="L92" s="142">
        <v>0</v>
      </c>
      <c r="M92" s="142">
        <v>0</v>
      </c>
      <c r="N92" s="14" t="s">
        <v>2114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2005</v>
      </c>
      <c r="W92" s="142">
        <v>2005</v>
      </c>
      <c r="X92" s="142">
        <v>2005</v>
      </c>
      <c r="Y92" s="14" t="s">
        <v>2113</v>
      </c>
      <c r="Z92" s="142" t="s">
        <v>106</v>
      </c>
      <c r="AA92" s="80">
        <v>1</v>
      </c>
      <c r="AB92" s="1" t="s">
        <v>516</v>
      </c>
      <c r="AC92" s="80">
        <v>0</v>
      </c>
      <c r="AD92" s="1" t="s">
        <v>218</v>
      </c>
      <c r="AE92" s="143">
        <v>0.5</v>
      </c>
      <c r="AF92" s="1" t="s">
        <v>511</v>
      </c>
      <c r="AG92" s="142">
        <v>32156</v>
      </c>
      <c r="AH92" s="142">
        <v>6431.2</v>
      </c>
      <c r="AI92" s="142">
        <v>6518</v>
      </c>
      <c r="AJ92" s="14" t="s">
        <v>2112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42515</v>
      </c>
      <c r="AS92" s="142">
        <v>4251.5</v>
      </c>
      <c r="AT92" s="142">
        <v>4160.5</v>
      </c>
    </row>
    <row r="93" spans="1:47" x14ac:dyDescent="0.2">
      <c r="A93" s="174"/>
      <c r="B93" s="9" t="s">
        <v>90</v>
      </c>
      <c r="C93" s="1" t="s">
        <v>2111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33332</v>
      </c>
      <c r="L93" s="142">
        <v>33332</v>
      </c>
      <c r="M93" s="142">
        <v>33332</v>
      </c>
      <c r="N93" s="14" t="s">
        <v>2110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47420</v>
      </c>
      <c r="W93" s="142">
        <v>47420</v>
      </c>
      <c r="X93" s="142">
        <v>47420</v>
      </c>
      <c r="Y93" s="14" t="s">
        <v>2109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68142</v>
      </c>
      <c r="AH93" s="142">
        <v>6814.2</v>
      </c>
      <c r="AI93" s="142">
        <v>6328</v>
      </c>
      <c r="AJ93" s="14" t="s">
        <v>2108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79690</v>
      </c>
      <c r="AS93" s="142">
        <v>7969</v>
      </c>
      <c r="AT93" s="142">
        <v>6451</v>
      </c>
    </row>
    <row r="94" spans="1:47" x14ac:dyDescent="0.2">
      <c r="A94" s="174"/>
      <c r="B94" s="9" t="s">
        <v>91</v>
      </c>
      <c r="C94" s="1" t="s">
        <v>2107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2106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2904</v>
      </c>
      <c r="W94" s="142">
        <v>2904</v>
      </c>
      <c r="X94" s="142">
        <v>2904</v>
      </c>
      <c r="Y94" s="14" t="s">
        <v>2105</v>
      </c>
      <c r="Z94" s="142" t="s">
        <v>107</v>
      </c>
      <c r="AA94" s="1" t="s">
        <v>164</v>
      </c>
      <c r="AB94" s="1" t="s">
        <v>164</v>
      </c>
      <c r="AC94" s="1" t="s">
        <v>164</v>
      </c>
      <c r="AD94" s="1" t="s">
        <v>164</v>
      </c>
      <c r="AE94" s="143">
        <v>0.3</v>
      </c>
      <c r="AF94" s="1" t="s">
        <v>1004</v>
      </c>
      <c r="AG94" s="142">
        <v>25750</v>
      </c>
      <c r="AH94" s="142">
        <v>8583.33</v>
      </c>
      <c r="AI94" s="142">
        <v>8581</v>
      </c>
      <c r="AJ94" s="14" t="s">
        <v>2104</v>
      </c>
      <c r="AK94" s="142" t="s">
        <v>107</v>
      </c>
      <c r="AL94" s="1" t="s">
        <v>164</v>
      </c>
      <c r="AM94" s="1" t="s">
        <v>164</v>
      </c>
      <c r="AN94" s="1" t="s">
        <v>164</v>
      </c>
      <c r="AO94" s="1" t="s">
        <v>164</v>
      </c>
      <c r="AP94" s="143">
        <v>0.5333</v>
      </c>
      <c r="AQ94" s="1" t="s">
        <v>2103</v>
      </c>
      <c r="AR94" s="142">
        <v>136742</v>
      </c>
      <c r="AS94" s="142">
        <v>8546.3799999999992</v>
      </c>
      <c r="AT94" s="142">
        <v>8530</v>
      </c>
      <c r="AU94" s="4" t="s">
        <v>93</v>
      </c>
    </row>
    <row r="95" spans="1:47" s="5" customFormat="1" ht="21" thickBot="1" x14ac:dyDescent="0.25">
      <c r="A95" s="175"/>
      <c r="B95" s="11" t="s">
        <v>92</v>
      </c>
      <c r="C95" s="139" t="s">
        <v>2102</v>
      </c>
      <c r="D95" s="145" t="s">
        <v>106</v>
      </c>
      <c r="E95" s="146">
        <v>1</v>
      </c>
      <c r="F95" s="139" t="s">
        <v>452</v>
      </c>
      <c r="G95" s="139" t="s">
        <v>164</v>
      </c>
      <c r="H95" s="139" t="s">
        <v>164</v>
      </c>
      <c r="I95" s="147">
        <v>1</v>
      </c>
      <c r="J95" s="139" t="s">
        <v>452</v>
      </c>
      <c r="K95" s="145">
        <v>183207</v>
      </c>
      <c r="L95" s="145">
        <v>183207</v>
      </c>
      <c r="M95" s="145">
        <v>183207</v>
      </c>
      <c r="N95" s="36" t="s">
        <v>2101</v>
      </c>
      <c r="O95" s="145" t="s">
        <v>106</v>
      </c>
      <c r="P95" s="146">
        <v>1</v>
      </c>
      <c r="Q95" s="139" t="s">
        <v>1078</v>
      </c>
      <c r="R95" s="139" t="s">
        <v>164</v>
      </c>
      <c r="S95" s="139" t="s">
        <v>164</v>
      </c>
      <c r="T95" s="147">
        <v>1</v>
      </c>
      <c r="U95" s="139" t="s">
        <v>1078</v>
      </c>
      <c r="V95" s="145">
        <v>369113</v>
      </c>
      <c r="W95" s="145">
        <v>123037.67</v>
      </c>
      <c r="X95" s="145">
        <v>183139</v>
      </c>
      <c r="Y95" s="36" t="s">
        <v>2100</v>
      </c>
      <c r="Z95" s="145" t="s">
        <v>106</v>
      </c>
      <c r="AA95" s="146">
        <v>1</v>
      </c>
      <c r="AB95" s="139" t="s">
        <v>529</v>
      </c>
      <c r="AC95" s="139" t="s">
        <v>164</v>
      </c>
      <c r="AD95" s="139" t="s">
        <v>164</v>
      </c>
      <c r="AE95" s="147">
        <v>1</v>
      </c>
      <c r="AF95" s="139" t="s">
        <v>529</v>
      </c>
      <c r="AG95" s="145">
        <v>87547</v>
      </c>
      <c r="AH95" s="145">
        <v>8754.7000000000007</v>
      </c>
      <c r="AI95" s="145">
        <v>8561</v>
      </c>
      <c r="AJ95" s="36" t="s">
        <v>2099</v>
      </c>
      <c r="AK95" s="145" t="s">
        <v>106</v>
      </c>
      <c r="AL95" s="146">
        <v>1</v>
      </c>
      <c r="AM95" s="139" t="s">
        <v>1724</v>
      </c>
      <c r="AN95" s="139" t="s">
        <v>164</v>
      </c>
      <c r="AO95" s="139" t="s">
        <v>164</v>
      </c>
      <c r="AP95" s="147">
        <v>1</v>
      </c>
      <c r="AQ95" s="139" t="s">
        <v>1724</v>
      </c>
      <c r="AR95" s="145">
        <v>258636</v>
      </c>
      <c r="AS95" s="145">
        <v>8621.2000000000007</v>
      </c>
      <c r="AT95" s="145">
        <v>8516.5</v>
      </c>
      <c r="AU95" s="46" t="s">
        <v>93</v>
      </c>
    </row>
    <row r="96" spans="1:47" ht="19.5" customHeight="1" x14ac:dyDescent="0.2">
      <c r="A96" s="168" t="s">
        <v>101</v>
      </c>
      <c r="B96" s="9" t="s">
        <v>10</v>
      </c>
      <c r="C96" s="1" t="s">
        <v>553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552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551</v>
      </c>
      <c r="Z96" s="142" t="s">
        <v>106</v>
      </c>
      <c r="AA96" s="80">
        <v>1</v>
      </c>
      <c r="AB96" s="1" t="s">
        <v>516</v>
      </c>
      <c r="AC96" s="80">
        <v>0</v>
      </c>
      <c r="AD96" s="1" t="s">
        <v>218</v>
      </c>
      <c r="AE96" s="143">
        <v>0.5</v>
      </c>
      <c r="AF96" s="1" t="s">
        <v>511</v>
      </c>
      <c r="AG96" s="142">
        <v>9809</v>
      </c>
      <c r="AH96" s="142">
        <v>1961.8</v>
      </c>
      <c r="AI96" s="142">
        <v>1992</v>
      </c>
      <c r="AJ96" s="14" t="s">
        <v>550</v>
      </c>
      <c r="AK96" s="142" t="s">
        <v>106</v>
      </c>
      <c r="AL96" s="80">
        <v>1</v>
      </c>
      <c r="AM96" s="1" t="s">
        <v>516</v>
      </c>
      <c r="AN96" s="80">
        <v>0</v>
      </c>
      <c r="AO96" s="1" t="s">
        <v>218</v>
      </c>
      <c r="AP96" s="143">
        <v>0.5</v>
      </c>
      <c r="AQ96" s="1" t="s">
        <v>511</v>
      </c>
      <c r="AR96" s="142">
        <v>9814</v>
      </c>
      <c r="AS96" s="142">
        <v>1962.8</v>
      </c>
      <c r="AT96" s="142">
        <v>2005</v>
      </c>
      <c r="AU96" s="4" t="s">
        <v>96</v>
      </c>
    </row>
    <row r="97" spans="1:47" x14ac:dyDescent="0.2">
      <c r="A97" s="168"/>
      <c r="B97" s="9" t="s">
        <v>11</v>
      </c>
      <c r="C97" s="1" t="s">
        <v>549</v>
      </c>
      <c r="D97" s="142" t="s">
        <v>106</v>
      </c>
      <c r="E97" s="80">
        <v>1</v>
      </c>
      <c r="F97" s="1" t="s">
        <v>452</v>
      </c>
      <c r="G97" s="1" t="s">
        <v>164</v>
      </c>
      <c r="H97" s="1" t="s">
        <v>164</v>
      </c>
      <c r="I97" s="143">
        <v>1</v>
      </c>
      <c r="J97" s="1" t="s">
        <v>452</v>
      </c>
      <c r="K97" s="142">
        <v>1812</v>
      </c>
      <c r="L97" s="142">
        <v>1812</v>
      </c>
      <c r="M97" s="142">
        <v>1812</v>
      </c>
      <c r="N97" s="14" t="s">
        <v>548</v>
      </c>
      <c r="O97" s="142" t="s">
        <v>106</v>
      </c>
      <c r="P97" s="80">
        <v>1</v>
      </c>
      <c r="Q97" s="1" t="s">
        <v>452</v>
      </c>
      <c r="R97" s="1" t="s">
        <v>164</v>
      </c>
      <c r="S97" s="1" t="s">
        <v>164</v>
      </c>
      <c r="T97" s="143">
        <v>1</v>
      </c>
      <c r="U97" s="1" t="s">
        <v>452</v>
      </c>
      <c r="V97" s="142">
        <v>1870</v>
      </c>
      <c r="W97" s="142">
        <v>1870</v>
      </c>
      <c r="X97" s="142">
        <v>1870</v>
      </c>
      <c r="Y97" s="14" t="s">
        <v>547</v>
      </c>
      <c r="Z97" s="142" t="s">
        <v>106</v>
      </c>
      <c r="AA97" s="80">
        <v>1</v>
      </c>
      <c r="AB97" s="1" t="s">
        <v>529</v>
      </c>
      <c r="AC97" s="1" t="s">
        <v>164</v>
      </c>
      <c r="AD97" s="1" t="s">
        <v>164</v>
      </c>
      <c r="AE97" s="143">
        <v>1</v>
      </c>
      <c r="AF97" s="1" t="s">
        <v>529</v>
      </c>
      <c r="AG97" s="142">
        <v>18871</v>
      </c>
      <c r="AH97" s="142">
        <v>1887.1</v>
      </c>
      <c r="AI97" s="142">
        <v>1879.5</v>
      </c>
      <c r="AJ97" s="14" t="s">
        <v>546</v>
      </c>
      <c r="AK97" s="142" t="s">
        <v>106</v>
      </c>
      <c r="AL97" s="80">
        <v>1</v>
      </c>
      <c r="AM97" s="1" t="s">
        <v>529</v>
      </c>
      <c r="AN97" s="1" t="s">
        <v>164</v>
      </c>
      <c r="AO97" s="1" t="s">
        <v>164</v>
      </c>
      <c r="AP97" s="143">
        <v>1</v>
      </c>
      <c r="AQ97" s="1" t="s">
        <v>529</v>
      </c>
      <c r="AR97" s="142">
        <v>18719</v>
      </c>
      <c r="AS97" s="142">
        <v>1871.9</v>
      </c>
      <c r="AT97" s="142">
        <v>1870.5</v>
      </c>
      <c r="AU97" s="4" t="s">
        <v>96</v>
      </c>
    </row>
    <row r="98" spans="1:47" x14ac:dyDescent="0.2">
      <c r="A98" s="168"/>
      <c r="B98" s="9" t="s">
        <v>22</v>
      </c>
      <c r="C98" s="1" t="s">
        <v>545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544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543</v>
      </c>
      <c r="Z98" s="142" t="s">
        <v>106</v>
      </c>
      <c r="AA98" s="80">
        <v>1</v>
      </c>
      <c r="AB98" s="1" t="s">
        <v>516</v>
      </c>
      <c r="AC98" s="80">
        <v>0</v>
      </c>
      <c r="AD98" s="1" t="s">
        <v>218</v>
      </c>
      <c r="AE98" s="143">
        <v>0.5</v>
      </c>
      <c r="AF98" s="1" t="s">
        <v>511</v>
      </c>
      <c r="AG98" s="142">
        <v>8496</v>
      </c>
      <c r="AH98" s="142">
        <v>1699.2</v>
      </c>
      <c r="AI98" s="142">
        <v>1727</v>
      </c>
      <c r="AJ98" s="14" t="s">
        <v>542</v>
      </c>
      <c r="AK98" s="142" t="s">
        <v>106</v>
      </c>
      <c r="AL98" s="80">
        <v>1</v>
      </c>
      <c r="AM98" s="1" t="s">
        <v>516</v>
      </c>
      <c r="AN98" s="80">
        <v>0</v>
      </c>
      <c r="AO98" s="1" t="s">
        <v>218</v>
      </c>
      <c r="AP98" s="143">
        <v>0.5</v>
      </c>
      <c r="AQ98" s="1" t="s">
        <v>511</v>
      </c>
      <c r="AR98" s="142">
        <v>8681</v>
      </c>
      <c r="AS98" s="142">
        <v>1736.2</v>
      </c>
      <c r="AT98" s="142">
        <v>1774</v>
      </c>
      <c r="AU98" s="4" t="s">
        <v>96</v>
      </c>
    </row>
    <row r="99" spans="1:47" x14ac:dyDescent="0.2">
      <c r="A99" s="168"/>
      <c r="B99" s="9" t="s">
        <v>23</v>
      </c>
      <c r="C99" s="1" t="s">
        <v>541</v>
      </c>
      <c r="D99" s="142" t="s">
        <v>106</v>
      </c>
      <c r="E99" s="80">
        <v>1</v>
      </c>
      <c r="F99" s="1" t="s">
        <v>452</v>
      </c>
      <c r="G99" s="1" t="s">
        <v>164</v>
      </c>
      <c r="H99" s="1" t="s">
        <v>164</v>
      </c>
      <c r="I99" s="143">
        <v>1</v>
      </c>
      <c r="J99" s="1" t="s">
        <v>452</v>
      </c>
      <c r="K99" s="142">
        <v>1611</v>
      </c>
      <c r="L99" s="142">
        <v>1611</v>
      </c>
      <c r="M99" s="142">
        <v>1611</v>
      </c>
      <c r="N99" s="14" t="s">
        <v>540</v>
      </c>
      <c r="O99" s="142" t="s">
        <v>106</v>
      </c>
      <c r="P99" s="80">
        <v>1</v>
      </c>
      <c r="Q99" s="1" t="s">
        <v>452</v>
      </c>
      <c r="R99" s="1" t="s">
        <v>164</v>
      </c>
      <c r="S99" s="1" t="s">
        <v>164</v>
      </c>
      <c r="T99" s="143">
        <v>1</v>
      </c>
      <c r="U99" s="1" t="s">
        <v>452</v>
      </c>
      <c r="V99" s="142">
        <v>1688</v>
      </c>
      <c r="W99" s="142">
        <v>1688</v>
      </c>
      <c r="X99" s="142">
        <v>1688</v>
      </c>
      <c r="Y99" s="14" t="s">
        <v>539</v>
      </c>
      <c r="Z99" s="142" t="s">
        <v>106</v>
      </c>
      <c r="AA99" s="80">
        <v>1</v>
      </c>
      <c r="AB99" s="1" t="s">
        <v>529</v>
      </c>
      <c r="AC99" s="1" t="s">
        <v>164</v>
      </c>
      <c r="AD99" s="1" t="s">
        <v>164</v>
      </c>
      <c r="AE99" s="143">
        <v>1</v>
      </c>
      <c r="AF99" s="1" t="s">
        <v>529</v>
      </c>
      <c r="AG99" s="142">
        <v>16422</v>
      </c>
      <c r="AH99" s="142">
        <v>1642.2</v>
      </c>
      <c r="AI99" s="142">
        <v>1630.5</v>
      </c>
      <c r="AJ99" s="14" t="s">
        <v>538</v>
      </c>
      <c r="AK99" s="142" t="s">
        <v>106</v>
      </c>
      <c r="AL99" s="80">
        <v>1</v>
      </c>
      <c r="AM99" s="1" t="s">
        <v>529</v>
      </c>
      <c r="AN99" s="1" t="s">
        <v>164</v>
      </c>
      <c r="AO99" s="1" t="s">
        <v>164</v>
      </c>
      <c r="AP99" s="143">
        <v>1</v>
      </c>
      <c r="AQ99" s="1" t="s">
        <v>529</v>
      </c>
      <c r="AR99" s="142">
        <v>16946</v>
      </c>
      <c r="AS99" s="142">
        <v>1694.6</v>
      </c>
      <c r="AT99" s="142">
        <v>1688</v>
      </c>
      <c r="AU99" s="4" t="s">
        <v>96</v>
      </c>
    </row>
    <row r="100" spans="1:47" x14ac:dyDescent="0.2">
      <c r="A100" s="168"/>
      <c r="B100" s="9" t="s">
        <v>24</v>
      </c>
      <c r="C100" s="1" t="s">
        <v>537</v>
      </c>
      <c r="D100" s="142" t="s">
        <v>106</v>
      </c>
      <c r="E100" s="80">
        <v>0</v>
      </c>
      <c r="F100" s="1" t="s">
        <v>169</v>
      </c>
      <c r="G100" s="80">
        <v>0</v>
      </c>
      <c r="H100" s="1" t="s">
        <v>163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536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535</v>
      </c>
      <c r="Z100" s="142" t="s">
        <v>106</v>
      </c>
      <c r="AA100" s="80">
        <v>0</v>
      </c>
      <c r="AB100" s="1" t="s">
        <v>169</v>
      </c>
      <c r="AC100" s="80">
        <v>0</v>
      </c>
      <c r="AD100" s="1" t="s">
        <v>213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534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8"/>
      <c r="B101" s="9" t="s">
        <v>25</v>
      </c>
      <c r="C101" s="1" t="s">
        <v>533</v>
      </c>
      <c r="D101" s="142" t="s">
        <v>106</v>
      </c>
      <c r="E101" s="80">
        <v>1</v>
      </c>
      <c r="F101" s="1" t="s">
        <v>452</v>
      </c>
      <c r="G101" s="1" t="s">
        <v>164</v>
      </c>
      <c r="H101" s="1" t="s">
        <v>164</v>
      </c>
      <c r="I101" s="143">
        <v>1</v>
      </c>
      <c r="J101" s="1" t="s">
        <v>452</v>
      </c>
      <c r="K101" s="142">
        <v>1719</v>
      </c>
      <c r="L101" s="142">
        <v>1719</v>
      </c>
      <c r="M101" s="142">
        <v>1719</v>
      </c>
      <c r="N101" s="14" t="s">
        <v>532</v>
      </c>
      <c r="O101" s="142" t="s">
        <v>106</v>
      </c>
      <c r="P101" s="80">
        <v>1</v>
      </c>
      <c r="Q101" s="1" t="s">
        <v>452</v>
      </c>
      <c r="R101" s="1" t="s">
        <v>164</v>
      </c>
      <c r="S101" s="1" t="s">
        <v>164</v>
      </c>
      <c r="T101" s="143">
        <v>1</v>
      </c>
      <c r="U101" s="1" t="s">
        <v>452</v>
      </c>
      <c r="V101" s="142">
        <v>1752</v>
      </c>
      <c r="W101" s="142">
        <v>1752</v>
      </c>
      <c r="X101" s="142">
        <v>1752</v>
      </c>
      <c r="Y101" s="14" t="s">
        <v>531</v>
      </c>
      <c r="Z101" s="142" t="s">
        <v>106</v>
      </c>
      <c r="AA101" s="80">
        <v>1</v>
      </c>
      <c r="AB101" s="1" t="s">
        <v>529</v>
      </c>
      <c r="AC101" s="1" t="s">
        <v>164</v>
      </c>
      <c r="AD101" s="1" t="s">
        <v>164</v>
      </c>
      <c r="AE101" s="143">
        <v>1</v>
      </c>
      <c r="AF101" s="1" t="s">
        <v>529</v>
      </c>
      <c r="AG101" s="142">
        <v>16575</v>
      </c>
      <c r="AH101" s="142">
        <v>1657.5</v>
      </c>
      <c r="AI101" s="142">
        <v>1647</v>
      </c>
      <c r="AJ101" s="14" t="s">
        <v>530</v>
      </c>
      <c r="AK101" s="142" t="s">
        <v>106</v>
      </c>
      <c r="AL101" s="80">
        <v>1</v>
      </c>
      <c r="AM101" s="1" t="s">
        <v>529</v>
      </c>
      <c r="AN101" s="1" t="s">
        <v>164</v>
      </c>
      <c r="AO101" s="1" t="s">
        <v>164</v>
      </c>
      <c r="AP101" s="143">
        <v>1</v>
      </c>
      <c r="AQ101" s="1" t="s">
        <v>529</v>
      </c>
      <c r="AR101" s="142">
        <v>16552</v>
      </c>
      <c r="AS101" s="142">
        <v>1655.2</v>
      </c>
      <c r="AT101" s="142">
        <v>1653.5</v>
      </c>
      <c r="AU101" s="4" t="s">
        <v>96</v>
      </c>
    </row>
    <row r="102" spans="1:47" x14ac:dyDescent="0.2">
      <c r="A102" s="168"/>
      <c r="B102" s="9" t="s">
        <v>130</v>
      </c>
      <c r="C102" s="1" t="s">
        <v>528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527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526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525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8"/>
      <c r="B103" s="9" t="s">
        <v>131</v>
      </c>
      <c r="C103" s="1" t="s">
        <v>524</v>
      </c>
      <c r="D103" s="142" t="s">
        <v>106</v>
      </c>
      <c r="E103" s="80">
        <v>1</v>
      </c>
      <c r="F103" s="1" t="s">
        <v>452</v>
      </c>
      <c r="G103" s="1" t="s">
        <v>164</v>
      </c>
      <c r="H103" s="1" t="s">
        <v>164</v>
      </c>
      <c r="I103" s="143">
        <v>1</v>
      </c>
      <c r="J103" s="1" t="s">
        <v>452</v>
      </c>
      <c r="K103" s="142">
        <v>1597</v>
      </c>
      <c r="L103" s="142">
        <v>1597</v>
      </c>
      <c r="M103" s="142">
        <v>1597</v>
      </c>
      <c r="N103" s="14" t="s">
        <v>523</v>
      </c>
      <c r="O103" s="142" t="s">
        <v>106</v>
      </c>
      <c r="P103" s="80">
        <v>1</v>
      </c>
      <c r="Q103" s="1" t="s">
        <v>452</v>
      </c>
      <c r="R103" s="1" t="s">
        <v>164</v>
      </c>
      <c r="S103" s="1" t="s">
        <v>164</v>
      </c>
      <c r="T103" s="143">
        <v>1</v>
      </c>
      <c r="U103" s="1" t="s">
        <v>452</v>
      </c>
      <c r="V103" s="142">
        <v>1621</v>
      </c>
      <c r="W103" s="142">
        <v>1621</v>
      </c>
      <c r="X103" s="142">
        <v>1621</v>
      </c>
      <c r="Y103" s="14" t="s">
        <v>522</v>
      </c>
      <c r="Z103" s="142" t="s">
        <v>106</v>
      </c>
      <c r="AA103" s="80">
        <v>1</v>
      </c>
      <c r="AB103" s="1" t="s">
        <v>452</v>
      </c>
      <c r="AC103" s="1" t="s">
        <v>164</v>
      </c>
      <c r="AD103" s="1" t="s">
        <v>164</v>
      </c>
      <c r="AE103" s="143">
        <v>1</v>
      </c>
      <c r="AF103" s="1" t="s">
        <v>452</v>
      </c>
      <c r="AG103" s="142">
        <v>1537</v>
      </c>
      <c r="AH103" s="142">
        <v>1537</v>
      </c>
      <c r="AI103" s="142">
        <v>1537</v>
      </c>
      <c r="AJ103" s="14" t="s">
        <v>521</v>
      </c>
      <c r="AK103" s="142" t="s">
        <v>106</v>
      </c>
      <c r="AL103" s="80">
        <v>1</v>
      </c>
      <c r="AM103" s="1" t="s">
        <v>452</v>
      </c>
      <c r="AN103" s="1" t="s">
        <v>164</v>
      </c>
      <c r="AO103" s="1" t="s">
        <v>164</v>
      </c>
      <c r="AP103" s="143">
        <v>1</v>
      </c>
      <c r="AQ103" s="1" t="s">
        <v>452</v>
      </c>
      <c r="AR103" s="142">
        <v>1567</v>
      </c>
      <c r="AS103" s="142">
        <v>1567</v>
      </c>
      <c r="AT103" s="142">
        <v>1567</v>
      </c>
      <c r="AU103" s="4" t="s">
        <v>96</v>
      </c>
    </row>
    <row r="104" spans="1:47" x14ac:dyDescent="0.2">
      <c r="A104" s="168"/>
      <c r="B104" s="9" t="s">
        <v>33</v>
      </c>
      <c r="C104" s="1" t="s">
        <v>520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519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518</v>
      </c>
      <c r="Z104" s="142" t="s">
        <v>106</v>
      </c>
      <c r="AA104" s="80">
        <v>1</v>
      </c>
      <c r="AB104" s="1" t="s">
        <v>516</v>
      </c>
      <c r="AC104" s="80">
        <v>0</v>
      </c>
      <c r="AD104" s="1" t="s">
        <v>218</v>
      </c>
      <c r="AE104" s="143">
        <v>0.5</v>
      </c>
      <c r="AF104" s="1" t="s">
        <v>511</v>
      </c>
      <c r="AG104" s="142">
        <v>44909</v>
      </c>
      <c r="AH104" s="142">
        <v>8981.7999999999993</v>
      </c>
      <c r="AI104" s="142">
        <v>8961</v>
      </c>
      <c r="AJ104" s="14" t="s">
        <v>517</v>
      </c>
      <c r="AK104" s="142" t="s">
        <v>106</v>
      </c>
      <c r="AL104" s="80">
        <v>1</v>
      </c>
      <c r="AM104" s="1" t="s">
        <v>516</v>
      </c>
      <c r="AN104" s="80">
        <v>0</v>
      </c>
      <c r="AO104" s="1" t="s">
        <v>218</v>
      </c>
      <c r="AP104" s="143">
        <v>0.5</v>
      </c>
      <c r="AQ104" s="1" t="s">
        <v>511</v>
      </c>
      <c r="AR104" s="142">
        <v>46526</v>
      </c>
      <c r="AS104" s="142">
        <v>9305.2000000000007</v>
      </c>
      <c r="AT104" s="142">
        <v>9243</v>
      </c>
      <c r="AU104" s="4" t="s">
        <v>96</v>
      </c>
    </row>
    <row r="105" spans="1:47" x14ac:dyDescent="0.2">
      <c r="A105" s="168"/>
      <c r="B105" s="9" t="s">
        <v>34</v>
      </c>
      <c r="C105" s="1" t="s">
        <v>515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514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513</v>
      </c>
      <c r="Z105" s="142" t="s">
        <v>106</v>
      </c>
      <c r="AA105" s="80">
        <v>0.5</v>
      </c>
      <c r="AB105" s="1" t="s">
        <v>511</v>
      </c>
      <c r="AC105" s="1" t="s">
        <v>164</v>
      </c>
      <c r="AD105" s="1" t="s">
        <v>164</v>
      </c>
      <c r="AE105" s="143">
        <v>0.5</v>
      </c>
      <c r="AF105" s="1" t="s">
        <v>511</v>
      </c>
      <c r="AG105" s="142">
        <v>48362</v>
      </c>
      <c r="AH105" s="142">
        <v>9672.4</v>
      </c>
      <c r="AI105" s="142">
        <v>9500</v>
      </c>
      <c r="AJ105" s="14" t="s">
        <v>512</v>
      </c>
      <c r="AK105" s="142" t="s">
        <v>106</v>
      </c>
      <c r="AL105" s="80">
        <v>0.5</v>
      </c>
      <c r="AM105" s="1" t="s">
        <v>511</v>
      </c>
      <c r="AN105" s="1" t="s">
        <v>164</v>
      </c>
      <c r="AO105" s="1" t="s">
        <v>164</v>
      </c>
      <c r="AP105" s="143">
        <v>0.5</v>
      </c>
      <c r="AQ105" s="1" t="s">
        <v>511</v>
      </c>
      <c r="AR105" s="142">
        <v>46632</v>
      </c>
      <c r="AS105" s="142">
        <v>9326.4</v>
      </c>
      <c r="AT105" s="142">
        <v>9274</v>
      </c>
      <c r="AU105" s="4" t="s">
        <v>96</v>
      </c>
    </row>
    <row r="106" spans="1:47" x14ac:dyDescent="0.2">
      <c r="A106" s="168"/>
      <c r="B106" s="9" t="s">
        <v>132</v>
      </c>
      <c r="C106" s="1" t="s">
        <v>510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509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508</v>
      </c>
      <c r="Z106" s="142" t="s">
        <v>106</v>
      </c>
      <c r="AA106" s="80">
        <v>0.8</v>
      </c>
      <c r="AB106" s="1" t="s">
        <v>506</v>
      </c>
      <c r="AC106" s="80">
        <v>0</v>
      </c>
      <c r="AD106" s="1" t="s">
        <v>218</v>
      </c>
      <c r="AE106" s="143">
        <v>0.4</v>
      </c>
      <c r="AF106" s="1" t="s">
        <v>501</v>
      </c>
      <c r="AG106" s="142">
        <v>46038</v>
      </c>
      <c r="AH106" s="142">
        <v>11509.5</v>
      </c>
      <c r="AI106" s="142">
        <v>11248.5</v>
      </c>
      <c r="AJ106" s="14" t="s">
        <v>507</v>
      </c>
      <c r="AK106" s="142" t="s">
        <v>106</v>
      </c>
      <c r="AL106" s="80">
        <v>0.8</v>
      </c>
      <c r="AM106" s="1" t="s">
        <v>506</v>
      </c>
      <c r="AN106" s="80">
        <v>0</v>
      </c>
      <c r="AO106" s="1" t="s">
        <v>218</v>
      </c>
      <c r="AP106" s="143">
        <v>0.4</v>
      </c>
      <c r="AQ106" s="1" t="s">
        <v>501</v>
      </c>
      <c r="AR106" s="142">
        <v>42704</v>
      </c>
      <c r="AS106" s="142">
        <v>10676</v>
      </c>
      <c r="AT106" s="142">
        <v>10675</v>
      </c>
      <c r="AU106" s="4" t="s">
        <v>96</v>
      </c>
    </row>
    <row r="107" spans="1:47" x14ac:dyDescent="0.2">
      <c r="A107" s="168"/>
      <c r="B107" s="9" t="s">
        <v>133</v>
      </c>
      <c r="C107" s="1" t="s">
        <v>505</v>
      </c>
      <c r="D107" s="142" t="s">
        <v>106</v>
      </c>
      <c r="E107" s="80">
        <v>1</v>
      </c>
      <c r="F107" s="1" t="s">
        <v>452</v>
      </c>
      <c r="G107" s="1" t="s">
        <v>164</v>
      </c>
      <c r="H107" s="1" t="s">
        <v>164</v>
      </c>
      <c r="I107" s="143">
        <v>1</v>
      </c>
      <c r="J107" s="1" t="s">
        <v>452</v>
      </c>
      <c r="K107" s="142">
        <v>7283</v>
      </c>
      <c r="L107" s="142">
        <v>7283</v>
      </c>
      <c r="M107" s="142">
        <v>7283</v>
      </c>
      <c r="N107" s="14" t="s">
        <v>504</v>
      </c>
      <c r="O107" s="142" t="s">
        <v>106</v>
      </c>
      <c r="P107" s="80">
        <v>1</v>
      </c>
      <c r="Q107" s="1" t="s">
        <v>452</v>
      </c>
      <c r="R107" s="1" t="s">
        <v>164</v>
      </c>
      <c r="S107" s="1" t="s">
        <v>164</v>
      </c>
      <c r="T107" s="143">
        <v>1</v>
      </c>
      <c r="U107" s="1" t="s">
        <v>452</v>
      </c>
      <c r="V107" s="142">
        <v>7762</v>
      </c>
      <c r="W107" s="142">
        <v>7762</v>
      </c>
      <c r="X107" s="142">
        <v>7762</v>
      </c>
      <c r="Y107" s="14" t="s">
        <v>503</v>
      </c>
      <c r="Z107" s="142" t="s">
        <v>106</v>
      </c>
      <c r="AA107" s="80">
        <v>0.4</v>
      </c>
      <c r="AB107" s="1" t="s">
        <v>501</v>
      </c>
      <c r="AC107" s="1" t="s">
        <v>164</v>
      </c>
      <c r="AD107" s="1" t="s">
        <v>164</v>
      </c>
      <c r="AE107" s="143">
        <v>0.4</v>
      </c>
      <c r="AF107" s="1" t="s">
        <v>501</v>
      </c>
      <c r="AG107" s="142">
        <v>34314</v>
      </c>
      <c r="AH107" s="142">
        <v>8578.5</v>
      </c>
      <c r="AI107" s="142">
        <v>8573.5</v>
      </c>
      <c r="AJ107" s="14" t="s">
        <v>502</v>
      </c>
      <c r="AK107" s="142" t="s">
        <v>106</v>
      </c>
      <c r="AL107" s="80">
        <v>0.4</v>
      </c>
      <c r="AM107" s="1" t="s">
        <v>501</v>
      </c>
      <c r="AN107" s="1" t="s">
        <v>164</v>
      </c>
      <c r="AO107" s="1" t="s">
        <v>164</v>
      </c>
      <c r="AP107" s="143">
        <v>0.4</v>
      </c>
      <c r="AQ107" s="1" t="s">
        <v>501</v>
      </c>
      <c r="AR107" s="142">
        <v>32864</v>
      </c>
      <c r="AS107" s="142">
        <v>8216</v>
      </c>
      <c r="AT107" s="142">
        <v>8219</v>
      </c>
      <c r="AU107" s="4" t="s">
        <v>96</v>
      </c>
    </row>
    <row r="108" spans="1:47" x14ac:dyDescent="0.2">
      <c r="A108" s="168"/>
      <c r="B108" s="9" t="s">
        <v>134</v>
      </c>
      <c r="C108" s="1" t="s">
        <v>500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499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498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497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8"/>
      <c r="B109" s="9" t="s">
        <v>135</v>
      </c>
      <c r="C109" s="1" t="s">
        <v>496</v>
      </c>
      <c r="D109" s="142" t="s">
        <v>106</v>
      </c>
      <c r="E109" s="80">
        <v>1</v>
      </c>
      <c r="F109" s="1" t="s">
        <v>452</v>
      </c>
      <c r="G109" s="1" t="s">
        <v>164</v>
      </c>
      <c r="H109" s="1" t="s">
        <v>164</v>
      </c>
      <c r="I109" s="143">
        <v>1</v>
      </c>
      <c r="J109" s="1" t="s">
        <v>452</v>
      </c>
      <c r="K109" s="142">
        <v>1628</v>
      </c>
      <c r="L109" s="142">
        <v>1628</v>
      </c>
      <c r="M109" s="142">
        <v>1628</v>
      </c>
      <c r="N109" s="14" t="s">
        <v>495</v>
      </c>
      <c r="O109" s="142" t="s">
        <v>106</v>
      </c>
      <c r="P109" s="80">
        <v>1</v>
      </c>
      <c r="Q109" s="1" t="s">
        <v>452</v>
      </c>
      <c r="R109" s="1" t="s">
        <v>164</v>
      </c>
      <c r="S109" s="1" t="s">
        <v>164</v>
      </c>
      <c r="T109" s="143">
        <v>1</v>
      </c>
      <c r="U109" s="1" t="s">
        <v>452</v>
      </c>
      <c r="V109" s="142">
        <v>1723</v>
      </c>
      <c r="W109" s="142">
        <v>1723</v>
      </c>
      <c r="X109" s="142">
        <v>1723</v>
      </c>
      <c r="Y109" s="14" t="s">
        <v>494</v>
      </c>
      <c r="Z109" s="142" t="s">
        <v>106</v>
      </c>
      <c r="AA109" s="80">
        <v>1</v>
      </c>
      <c r="AB109" s="1" t="s">
        <v>452</v>
      </c>
      <c r="AC109" s="1" t="s">
        <v>164</v>
      </c>
      <c r="AD109" s="1" t="s">
        <v>164</v>
      </c>
      <c r="AE109" s="143">
        <v>1</v>
      </c>
      <c r="AF109" s="1" t="s">
        <v>452</v>
      </c>
      <c r="AG109" s="142">
        <v>1686</v>
      </c>
      <c r="AH109" s="142">
        <v>1686</v>
      </c>
      <c r="AI109" s="142">
        <v>1686</v>
      </c>
      <c r="AJ109" s="14" t="s">
        <v>493</v>
      </c>
      <c r="AK109" s="142" t="s">
        <v>106</v>
      </c>
      <c r="AL109" s="80">
        <v>1</v>
      </c>
      <c r="AM109" s="1" t="s">
        <v>452</v>
      </c>
      <c r="AN109" s="1" t="s">
        <v>164</v>
      </c>
      <c r="AO109" s="1" t="s">
        <v>164</v>
      </c>
      <c r="AP109" s="143">
        <v>1</v>
      </c>
      <c r="AQ109" s="1" t="s">
        <v>452</v>
      </c>
      <c r="AR109" s="142">
        <v>1646</v>
      </c>
      <c r="AS109" s="142">
        <v>1646</v>
      </c>
      <c r="AT109" s="142">
        <v>1646</v>
      </c>
      <c r="AU109" s="4" t="s">
        <v>96</v>
      </c>
    </row>
    <row r="110" spans="1:47" x14ac:dyDescent="0.2">
      <c r="A110" s="168"/>
      <c r="B110" s="9" t="s">
        <v>60</v>
      </c>
      <c r="C110" s="1" t="s">
        <v>492</v>
      </c>
      <c r="D110" s="142" t="s">
        <v>106</v>
      </c>
      <c r="E110" s="80">
        <v>0</v>
      </c>
      <c r="F110" s="1" t="s">
        <v>169</v>
      </c>
      <c r="G110" s="80">
        <v>0</v>
      </c>
      <c r="H110" s="1" t="s">
        <v>163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491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490</v>
      </c>
      <c r="Z110" s="142" t="s">
        <v>106</v>
      </c>
      <c r="AA110" s="80">
        <v>0</v>
      </c>
      <c r="AB110" s="1" t="s">
        <v>169</v>
      </c>
      <c r="AC110" s="80">
        <v>0</v>
      </c>
      <c r="AD110" s="1" t="s">
        <v>163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489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8"/>
      <c r="B111" s="9" t="s">
        <v>61</v>
      </c>
      <c r="C111" s="1" t="s">
        <v>488</v>
      </c>
      <c r="D111" s="142" t="s">
        <v>106</v>
      </c>
      <c r="E111" s="80">
        <v>1</v>
      </c>
      <c r="F111" s="1" t="s">
        <v>452</v>
      </c>
      <c r="G111" s="1" t="s">
        <v>164</v>
      </c>
      <c r="H111" s="1" t="s">
        <v>164</v>
      </c>
      <c r="I111" s="143">
        <v>1</v>
      </c>
      <c r="J111" s="1" t="s">
        <v>452</v>
      </c>
      <c r="K111" s="142">
        <v>1677</v>
      </c>
      <c r="L111" s="142">
        <v>1677</v>
      </c>
      <c r="M111" s="142">
        <v>1677</v>
      </c>
      <c r="N111" s="14" t="s">
        <v>487</v>
      </c>
      <c r="O111" s="142" t="s">
        <v>106</v>
      </c>
      <c r="P111" s="80">
        <v>1</v>
      </c>
      <c r="Q111" s="1" t="s">
        <v>452</v>
      </c>
      <c r="R111" s="1" t="s">
        <v>164</v>
      </c>
      <c r="S111" s="1" t="s">
        <v>164</v>
      </c>
      <c r="T111" s="143">
        <v>1</v>
      </c>
      <c r="U111" s="1" t="s">
        <v>452</v>
      </c>
      <c r="V111" s="142">
        <v>1736</v>
      </c>
      <c r="W111" s="142">
        <v>1736</v>
      </c>
      <c r="X111" s="142">
        <v>1736</v>
      </c>
      <c r="Y111" s="14" t="s">
        <v>486</v>
      </c>
      <c r="Z111" s="142" t="s">
        <v>106</v>
      </c>
      <c r="AA111" s="80">
        <v>1</v>
      </c>
      <c r="AB111" s="1" t="s">
        <v>452</v>
      </c>
      <c r="AC111" s="1" t="s">
        <v>164</v>
      </c>
      <c r="AD111" s="1" t="s">
        <v>164</v>
      </c>
      <c r="AE111" s="143">
        <v>1</v>
      </c>
      <c r="AF111" s="1" t="s">
        <v>452</v>
      </c>
      <c r="AG111" s="142">
        <v>1709</v>
      </c>
      <c r="AH111" s="142">
        <v>1709</v>
      </c>
      <c r="AI111" s="142">
        <v>1709</v>
      </c>
      <c r="AJ111" s="14" t="s">
        <v>485</v>
      </c>
      <c r="AK111" s="142" t="s">
        <v>106</v>
      </c>
      <c r="AL111" s="80">
        <v>1</v>
      </c>
      <c r="AM111" s="1" t="s">
        <v>452</v>
      </c>
      <c r="AN111" s="1" t="s">
        <v>164</v>
      </c>
      <c r="AO111" s="1" t="s">
        <v>164</v>
      </c>
      <c r="AP111" s="143">
        <v>1</v>
      </c>
      <c r="AQ111" s="1" t="s">
        <v>452</v>
      </c>
      <c r="AR111" s="142">
        <v>1683</v>
      </c>
      <c r="AS111" s="142">
        <v>1683</v>
      </c>
      <c r="AT111" s="142">
        <v>1683</v>
      </c>
      <c r="AU111" s="4" t="s">
        <v>96</v>
      </c>
    </row>
    <row r="112" spans="1:47" x14ac:dyDescent="0.2">
      <c r="A112" s="168"/>
      <c r="B112" s="9" t="s">
        <v>136</v>
      </c>
      <c r="C112" s="1" t="s">
        <v>484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483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482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481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8"/>
      <c r="B113" s="9" t="s">
        <v>137</v>
      </c>
      <c r="C113" s="1" t="s">
        <v>480</v>
      </c>
      <c r="D113" s="142" t="s">
        <v>106</v>
      </c>
      <c r="E113" s="80">
        <v>1</v>
      </c>
      <c r="F113" s="1" t="s">
        <v>452</v>
      </c>
      <c r="G113" s="1" t="s">
        <v>164</v>
      </c>
      <c r="H113" s="1" t="s">
        <v>164</v>
      </c>
      <c r="I113" s="143">
        <v>1</v>
      </c>
      <c r="J113" s="1" t="s">
        <v>452</v>
      </c>
      <c r="K113" s="142">
        <v>1653</v>
      </c>
      <c r="L113" s="142">
        <v>1653</v>
      </c>
      <c r="M113" s="142">
        <v>1653</v>
      </c>
      <c r="N113" s="14" t="s">
        <v>479</v>
      </c>
      <c r="O113" s="142" t="s">
        <v>106</v>
      </c>
      <c r="P113" s="80">
        <v>1</v>
      </c>
      <c r="Q113" s="1" t="s">
        <v>452</v>
      </c>
      <c r="R113" s="1" t="s">
        <v>164</v>
      </c>
      <c r="S113" s="1" t="s">
        <v>164</v>
      </c>
      <c r="T113" s="143">
        <v>1</v>
      </c>
      <c r="U113" s="1" t="s">
        <v>452</v>
      </c>
      <c r="V113" s="142">
        <v>1713</v>
      </c>
      <c r="W113" s="142">
        <v>1713</v>
      </c>
      <c r="X113" s="142">
        <v>1713</v>
      </c>
      <c r="Y113" s="14" t="s">
        <v>478</v>
      </c>
      <c r="Z113" s="142" t="s">
        <v>106</v>
      </c>
      <c r="AA113" s="80">
        <v>1</v>
      </c>
      <c r="AB113" s="1" t="s">
        <v>452</v>
      </c>
      <c r="AC113" s="1" t="s">
        <v>164</v>
      </c>
      <c r="AD113" s="1" t="s">
        <v>164</v>
      </c>
      <c r="AE113" s="143">
        <v>1</v>
      </c>
      <c r="AF113" s="1" t="s">
        <v>452</v>
      </c>
      <c r="AG113" s="142">
        <v>1707</v>
      </c>
      <c r="AH113" s="142">
        <v>1707</v>
      </c>
      <c r="AI113" s="142">
        <v>1707</v>
      </c>
      <c r="AJ113" s="14" t="s">
        <v>477</v>
      </c>
      <c r="AK113" s="142" t="s">
        <v>106</v>
      </c>
      <c r="AL113" s="80">
        <v>1</v>
      </c>
      <c r="AM113" s="1" t="s">
        <v>452</v>
      </c>
      <c r="AN113" s="1" t="s">
        <v>164</v>
      </c>
      <c r="AO113" s="1" t="s">
        <v>164</v>
      </c>
      <c r="AP113" s="143">
        <v>1</v>
      </c>
      <c r="AQ113" s="1" t="s">
        <v>452</v>
      </c>
      <c r="AR113" s="142">
        <v>1704</v>
      </c>
      <c r="AS113" s="142">
        <v>1704</v>
      </c>
      <c r="AT113" s="142">
        <v>1704</v>
      </c>
      <c r="AU113" s="4" t="s">
        <v>96</v>
      </c>
    </row>
    <row r="114" spans="1:47" x14ac:dyDescent="0.2">
      <c r="A114" s="168"/>
      <c r="B114" s="9" t="s">
        <v>138</v>
      </c>
      <c r="C114" s="1" t="s">
        <v>476</v>
      </c>
      <c r="D114" s="142" t="s">
        <v>107</v>
      </c>
      <c r="E114" s="1" t="s">
        <v>164</v>
      </c>
      <c r="F114" s="1" t="s">
        <v>164</v>
      </c>
      <c r="G114" s="1" t="s">
        <v>164</v>
      </c>
      <c r="H114" s="1" t="s">
        <v>164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475</v>
      </c>
      <c r="O114" s="142" t="s">
        <v>107</v>
      </c>
      <c r="P114" s="1" t="s">
        <v>164</v>
      </c>
      <c r="Q114" s="1" t="s">
        <v>164</v>
      </c>
      <c r="R114" s="1" t="s">
        <v>164</v>
      </c>
      <c r="S114" s="1" t="s">
        <v>164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474</v>
      </c>
      <c r="Z114" s="142" t="s">
        <v>107</v>
      </c>
      <c r="AA114" s="1" t="s">
        <v>164</v>
      </c>
      <c r="AB114" s="1" t="s">
        <v>164</v>
      </c>
      <c r="AC114" s="1" t="s">
        <v>164</v>
      </c>
      <c r="AD114" s="1" t="s">
        <v>164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473</v>
      </c>
      <c r="AK114" s="142" t="s">
        <v>107</v>
      </c>
      <c r="AL114" s="1" t="s">
        <v>164</v>
      </c>
      <c r="AM114" s="1" t="s">
        <v>164</v>
      </c>
      <c r="AN114" s="1" t="s">
        <v>164</v>
      </c>
      <c r="AO114" s="1" t="s">
        <v>164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8"/>
      <c r="B115" s="9" t="s">
        <v>139</v>
      </c>
      <c r="C115" s="1" t="s">
        <v>472</v>
      </c>
      <c r="D115" s="142" t="s">
        <v>106</v>
      </c>
      <c r="E115" s="80">
        <v>1</v>
      </c>
      <c r="F115" s="1" t="s">
        <v>452</v>
      </c>
      <c r="G115" s="1" t="s">
        <v>164</v>
      </c>
      <c r="H115" s="1" t="s">
        <v>164</v>
      </c>
      <c r="I115" s="143">
        <v>1</v>
      </c>
      <c r="J115" s="1" t="s">
        <v>452</v>
      </c>
      <c r="K115" s="142">
        <v>1536</v>
      </c>
      <c r="L115" s="142">
        <v>1536</v>
      </c>
      <c r="M115" s="142">
        <v>1536</v>
      </c>
      <c r="N115" s="14" t="s">
        <v>471</v>
      </c>
      <c r="O115" s="142" t="s">
        <v>106</v>
      </c>
      <c r="P115" s="80">
        <v>1</v>
      </c>
      <c r="Q115" s="1" t="s">
        <v>452</v>
      </c>
      <c r="R115" s="1" t="s">
        <v>164</v>
      </c>
      <c r="S115" s="1" t="s">
        <v>164</v>
      </c>
      <c r="T115" s="143">
        <v>1</v>
      </c>
      <c r="U115" s="1" t="s">
        <v>452</v>
      </c>
      <c r="V115" s="142">
        <v>1595</v>
      </c>
      <c r="W115" s="142">
        <v>1595</v>
      </c>
      <c r="X115" s="142">
        <v>1595</v>
      </c>
      <c r="Y115" s="14" t="s">
        <v>470</v>
      </c>
      <c r="Z115" s="142" t="s">
        <v>106</v>
      </c>
      <c r="AA115" s="80">
        <v>1</v>
      </c>
      <c r="AB115" s="1" t="s">
        <v>452</v>
      </c>
      <c r="AC115" s="1" t="s">
        <v>164</v>
      </c>
      <c r="AD115" s="1" t="s">
        <v>164</v>
      </c>
      <c r="AE115" s="143">
        <v>1</v>
      </c>
      <c r="AF115" s="1" t="s">
        <v>452</v>
      </c>
      <c r="AG115" s="142">
        <v>1550</v>
      </c>
      <c r="AH115" s="142">
        <v>1550</v>
      </c>
      <c r="AI115" s="142">
        <v>1550</v>
      </c>
      <c r="AJ115" s="14" t="s">
        <v>469</v>
      </c>
      <c r="AK115" s="142" t="s">
        <v>106</v>
      </c>
      <c r="AL115" s="80">
        <v>1</v>
      </c>
      <c r="AM115" s="1" t="s">
        <v>452</v>
      </c>
      <c r="AN115" s="1" t="s">
        <v>164</v>
      </c>
      <c r="AO115" s="1" t="s">
        <v>164</v>
      </c>
      <c r="AP115" s="143">
        <v>1</v>
      </c>
      <c r="AQ115" s="1" t="s">
        <v>452</v>
      </c>
      <c r="AR115" s="142">
        <v>1556</v>
      </c>
      <c r="AS115" s="142">
        <v>1556</v>
      </c>
      <c r="AT115" s="142">
        <v>1556</v>
      </c>
      <c r="AU115" s="4" t="s">
        <v>96</v>
      </c>
    </row>
    <row r="116" spans="1:47" x14ac:dyDescent="0.2">
      <c r="A116" s="168"/>
      <c r="B116" s="9" t="s">
        <v>140</v>
      </c>
      <c r="C116" s="1" t="s">
        <v>468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467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466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465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8"/>
      <c r="B117" s="9" t="s">
        <v>141</v>
      </c>
      <c r="C117" s="1" t="s">
        <v>464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463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462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461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8"/>
      <c r="B118" s="9" t="s">
        <v>142</v>
      </c>
      <c r="C118" s="1" t="s">
        <v>460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459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458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457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8"/>
      <c r="B119" s="9" t="s">
        <v>143</v>
      </c>
      <c r="C119" s="1" t="s">
        <v>456</v>
      </c>
      <c r="D119" s="142" t="s">
        <v>106</v>
      </c>
      <c r="E119" s="80">
        <v>1</v>
      </c>
      <c r="F119" s="1" t="s">
        <v>452</v>
      </c>
      <c r="G119" s="1" t="s">
        <v>164</v>
      </c>
      <c r="H119" s="1" t="s">
        <v>164</v>
      </c>
      <c r="I119" s="143">
        <v>1</v>
      </c>
      <c r="J119" s="1" t="s">
        <v>452</v>
      </c>
      <c r="K119" s="142">
        <v>1669</v>
      </c>
      <c r="L119" s="142">
        <v>1669</v>
      </c>
      <c r="M119" s="142">
        <v>1669</v>
      </c>
      <c r="N119" s="14" t="s">
        <v>455</v>
      </c>
      <c r="O119" s="142" t="s">
        <v>106</v>
      </c>
      <c r="P119" s="80">
        <v>1</v>
      </c>
      <c r="Q119" s="1" t="s">
        <v>452</v>
      </c>
      <c r="R119" s="1" t="s">
        <v>164</v>
      </c>
      <c r="S119" s="1" t="s">
        <v>164</v>
      </c>
      <c r="T119" s="143">
        <v>1</v>
      </c>
      <c r="U119" s="1" t="s">
        <v>452</v>
      </c>
      <c r="V119" s="142">
        <v>1717</v>
      </c>
      <c r="W119" s="142">
        <v>1717</v>
      </c>
      <c r="X119" s="142">
        <v>1717</v>
      </c>
      <c r="Y119" s="14" t="s">
        <v>454</v>
      </c>
      <c r="Z119" s="142" t="s">
        <v>106</v>
      </c>
      <c r="AA119" s="80">
        <v>1</v>
      </c>
      <c r="AB119" s="1" t="s">
        <v>452</v>
      </c>
      <c r="AC119" s="1" t="s">
        <v>164</v>
      </c>
      <c r="AD119" s="1" t="s">
        <v>164</v>
      </c>
      <c r="AE119" s="143">
        <v>1</v>
      </c>
      <c r="AF119" s="1" t="s">
        <v>452</v>
      </c>
      <c r="AG119" s="142">
        <v>1668</v>
      </c>
      <c r="AH119" s="142">
        <v>1668</v>
      </c>
      <c r="AI119" s="142">
        <v>1668</v>
      </c>
      <c r="AJ119" s="14" t="s">
        <v>453</v>
      </c>
      <c r="AK119" s="142" t="s">
        <v>106</v>
      </c>
      <c r="AL119" s="80">
        <v>1</v>
      </c>
      <c r="AM119" s="1" t="s">
        <v>452</v>
      </c>
      <c r="AN119" s="1" t="s">
        <v>164</v>
      </c>
      <c r="AO119" s="1" t="s">
        <v>164</v>
      </c>
      <c r="AP119" s="143">
        <v>1</v>
      </c>
      <c r="AQ119" s="1" t="s">
        <v>452</v>
      </c>
      <c r="AR119" s="142">
        <v>1681</v>
      </c>
      <c r="AS119" s="142">
        <v>1681</v>
      </c>
      <c r="AT119" s="142">
        <v>1681</v>
      </c>
      <c r="AU119" s="4" t="s">
        <v>96</v>
      </c>
    </row>
  </sheetData>
  <mergeCells count="16">
    <mergeCell ref="A96:A119"/>
    <mergeCell ref="A1:A2"/>
    <mergeCell ref="B1:B2"/>
    <mergeCell ref="C1:M1"/>
    <mergeCell ref="N1:X1"/>
    <mergeCell ref="A3:A95"/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D3D2-B7C1-48EE-A061-9DA6B6EC4848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9"/>
      <c r="B1" s="171" t="s">
        <v>95</v>
      </c>
      <c r="C1" s="163" t="s">
        <v>114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3" t="s">
        <v>115</v>
      </c>
      <c r="O1" s="164"/>
      <c r="P1" s="164"/>
      <c r="Q1" s="164"/>
      <c r="R1" s="164"/>
      <c r="S1" s="164"/>
      <c r="T1" s="164"/>
      <c r="U1" s="164"/>
      <c r="V1" s="164"/>
      <c r="W1" s="164"/>
      <c r="X1" s="165"/>
      <c r="Y1" s="163" t="s">
        <v>152</v>
      </c>
      <c r="Z1" s="164"/>
      <c r="AA1" s="164"/>
      <c r="AB1" s="164"/>
      <c r="AC1" s="164"/>
      <c r="AD1" s="164"/>
      <c r="AE1" s="164"/>
      <c r="AF1" s="164"/>
      <c r="AG1" s="164"/>
      <c r="AH1" s="164"/>
      <c r="AI1" s="165"/>
      <c r="AJ1" s="163" t="s">
        <v>153</v>
      </c>
      <c r="AK1" s="164"/>
      <c r="AL1" s="164"/>
      <c r="AM1" s="164"/>
      <c r="AN1" s="164"/>
      <c r="AO1" s="164"/>
      <c r="AP1" s="164"/>
      <c r="AQ1" s="164"/>
      <c r="AR1" s="164"/>
      <c r="AS1" s="164"/>
      <c r="AT1" s="165"/>
      <c r="AU1" s="66"/>
    </row>
    <row r="2" spans="1:47" s="5" customFormat="1" ht="21" thickBot="1" x14ac:dyDescent="0.25">
      <c r="A2" s="170"/>
      <c r="B2" s="172"/>
      <c r="C2" s="66" t="s">
        <v>154</v>
      </c>
      <c r="D2" s="166" t="s">
        <v>158</v>
      </c>
      <c r="E2" s="167"/>
      <c r="F2" s="167"/>
      <c r="G2" s="167"/>
      <c r="H2" s="167"/>
      <c r="I2" s="166" t="s">
        <v>159</v>
      </c>
      <c r="J2" s="167"/>
      <c r="K2" s="68" t="s">
        <v>157</v>
      </c>
      <c r="L2" s="77" t="s">
        <v>156</v>
      </c>
      <c r="M2" s="68" t="s">
        <v>155</v>
      </c>
      <c r="N2" s="66" t="s">
        <v>154</v>
      </c>
      <c r="O2" s="166" t="s">
        <v>158</v>
      </c>
      <c r="P2" s="167"/>
      <c r="Q2" s="167"/>
      <c r="R2" s="167"/>
      <c r="S2" s="167"/>
      <c r="T2" s="166" t="s">
        <v>159</v>
      </c>
      <c r="U2" s="167"/>
      <c r="V2" s="68" t="s">
        <v>157</v>
      </c>
      <c r="W2" s="68" t="s">
        <v>156</v>
      </c>
      <c r="X2" s="68" t="s">
        <v>155</v>
      </c>
      <c r="Y2" s="66" t="s">
        <v>154</v>
      </c>
      <c r="Z2" s="166" t="s">
        <v>158</v>
      </c>
      <c r="AA2" s="167"/>
      <c r="AB2" s="167"/>
      <c r="AC2" s="167"/>
      <c r="AD2" s="167"/>
      <c r="AE2" s="166" t="s">
        <v>159</v>
      </c>
      <c r="AF2" s="167"/>
      <c r="AG2" s="68" t="s">
        <v>157</v>
      </c>
      <c r="AH2" s="68" t="s">
        <v>156</v>
      </c>
      <c r="AI2" s="68" t="s">
        <v>155</v>
      </c>
      <c r="AJ2" s="66" t="s">
        <v>154</v>
      </c>
      <c r="AK2" s="166" t="s">
        <v>158</v>
      </c>
      <c r="AL2" s="167"/>
      <c r="AM2" s="167"/>
      <c r="AN2" s="167"/>
      <c r="AO2" s="167"/>
      <c r="AP2" s="166" t="s">
        <v>159</v>
      </c>
      <c r="AQ2" s="167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3" t="s">
        <v>100</v>
      </c>
      <c r="B3" s="9" t="s">
        <v>0</v>
      </c>
      <c r="C3" s="1" t="s">
        <v>2839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3613</v>
      </c>
      <c r="L3" s="142">
        <v>3613</v>
      </c>
      <c r="M3" s="142">
        <v>3613</v>
      </c>
      <c r="N3" s="14" t="s">
        <v>2838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2749</v>
      </c>
      <c r="W3" s="142">
        <v>2749</v>
      </c>
      <c r="X3" s="142">
        <v>2749</v>
      </c>
      <c r="Y3" s="14" t="s">
        <v>2837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29163</v>
      </c>
      <c r="AH3" s="142">
        <v>2916.3</v>
      </c>
      <c r="AI3" s="142">
        <v>2855.5</v>
      </c>
      <c r="AJ3" s="14" t="s">
        <v>2836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29581</v>
      </c>
      <c r="AS3" s="142">
        <v>2958.1</v>
      </c>
      <c r="AT3" s="142">
        <v>2861</v>
      </c>
    </row>
    <row r="4" spans="1:47" x14ac:dyDescent="0.2">
      <c r="A4" s="174"/>
      <c r="B4" s="9" t="s">
        <v>1</v>
      </c>
      <c r="C4" s="1" t="s">
        <v>2835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3443</v>
      </c>
      <c r="L4" s="142">
        <v>3443</v>
      </c>
      <c r="M4" s="142">
        <v>3443</v>
      </c>
      <c r="N4" s="14" t="s">
        <v>2834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3045</v>
      </c>
      <c r="W4" s="142">
        <v>3045</v>
      </c>
      <c r="X4" s="142">
        <v>3045</v>
      </c>
      <c r="Y4" s="14" t="s">
        <v>2833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29295</v>
      </c>
      <c r="AH4" s="142">
        <v>2929.5</v>
      </c>
      <c r="AI4" s="142">
        <v>2773.5</v>
      </c>
      <c r="AJ4" s="14" t="s">
        <v>2832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25777</v>
      </c>
      <c r="AS4" s="142">
        <v>2577.6999999999998</v>
      </c>
      <c r="AT4" s="142">
        <v>2418</v>
      </c>
    </row>
    <row r="5" spans="1:47" x14ac:dyDescent="0.2">
      <c r="A5" s="174"/>
      <c r="B5" s="9" t="s">
        <v>2</v>
      </c>
      <c r="C5" s="1" t="s">
        <v>2831</v>
      </c>
      <c r="D5" s="142" t="s">
        <v>106</v>
      </c>
      <c r="E5" s="80">
        <v>0</v>
      </c>
      <c r="F5" s="1" t="s">
        <v>169</v>
      </c>
      <c r="G5" s="80">
        <v>0</v>
      </c>
      <c r="H5" s="1" t="s">
        <v>163</v>
      </c>
      <c r="I5" s="143">
        <v>0</v>
      </c>
      <c r="J5" s="1" t="s">
        <v>163</v>
      </c>
      <c r="K5" s="142">
        <v>0</v>
      </c>
      <c r="L5" s="142">
        <v>0</v>
      </c>
      <c r="M5" s="142">
        <v>0</v>
      </c>
      <c r="N5" s="14" t="s">
        <v>2830</v>
      </c>
      <c r="O5" s="142" t="s">
        <v>106</v>
      </c>
      <c r="P5" s="80">
        <v>0</v>
      </c>
      <c r="Q5" s="1" t="s">
        <v>169</v>
      </c>
      <c r="R5" s="80">
        <v>0</v>
      </c>
      <c r="S5" s="1" t="s">
        <v>163</v>
      </c>
      <c r="T5" s="143">
        <v>0</v>
      </c>
      <c r="U5" s="1" t="s">
        <v>163</v>
      </c>
      <c r="V5" s="142">
        <v>0</v>
      </c>
      <c r="W5" s="142">
        <v>0</v>
      </c>
      <c r="X5" s="142">
        <v>0</v>
      </c>
      <c r="Y5" s="14" t="s">
        <v>4022</v>
      </c>
      <c r="Z5" s="142" t="s">
        <v>106</v>
      </c>
      <c r="AA5" s="80">
        <v>1</v>
      </c>
      <c r="AB5" s="1" t="s">
        <v>516</v>
      </c>
      <c r="AC5" s="80">
        <v>0</v>
      </c>
      <c r="AD5" s="1" t="s">
        <v>218</v>
      </c>
      <c r="AE5" s="143">
        <v>0.5</v>
      </c>
      <c r="AF5" s="1" t="s">
        <v>511</v>
      </c>
      <c r="AG5" s="142">
        <v>20465</v>
      </c>
      <c r="AH5" s="142">
        <v>4093</v>
      </c>
      <c r="AI5" s="142">
        <v>4469</v>
      </c>
      <c r="AJ5" s="14" t="s">
        <v>4021</v>
      </c>
      <c r="AK5" s="142" t="s">
        <v>106</v>
      </c>
      <c r="AL5" s="80">
        <v>0.8</v>
      </c>
      <c r="AM5" s="1" t="s">
        <v>506</v>
      </c>
      <c r="AN5" s="80">
        <v>0</v>
      </c>
      <c r="AO5" s="1" t="s">
        <v>218</v>
      </c>
      <c r="AP5" s="143">
        <v>0.4</v>
      </c>
      <c r="AQ5" s="1" t="s">
        <v>501</v>
      </c>
      <c r="AR5" s="142">
        <v>30200</v>
      </c>
      <c r="AS5" s="142">
        <v>7550</v>
      </c>
      <c r="AT5" s="142">
        <v>6713.5</v>
      </c>
    </row>
    <row r="6" spans="1:47" x14ac:dyDescent="0.2">
      <c r="A6" s="174"/>
      <c r="B6" s="9" t="s">
        <v>3</v>
      </c>
      <c r="C6" s="1" t="s">
        <v>2829</v>
      </c>
      <c r="D6" s="142" t="s">
        <v>106</v>
      </c>
      <c r="E6" s="80">
        <v>0</v>
      </c>
      <c r="F6" s="1" t="s">
        <v>163</v>
      </c>
      <c r="G6" s="1" t="s">
        <v>164</v>
      </c>
      <c r="H6" s="1" t="s">
        <v>164</v>
      </c>
      <c r="I6" s="143">
        <v>0</v>
      </c>
      <c r="J6" s="1" t="s">
        <v>163</v>
      </c>
      <c r="K6" s="142">
        <v>0</v>
      </c>
      <c r="L6" s="142">
        <v>0</v>
      </c>
      <c r="M6" s="142">
        <v>0</v>
      </c>
      <c r="N6" s="14" t="s">
        <v>2828</v>
      </c>
      <c r="O6" s="142" t="s">
        <v>106</v>
      </c>
      <c r="P6" s="80">
        <v>0</v>
      </c>
      <c r="Q6" s="1" t="s">
        <v>163</v>
      </c>
      <c r="R6" s="1" t="s">
        <v>164</v>
      </c>
      <c r="S6" s="1" t="s">
        <v>164</v>
      </c>
      <c r="T6" s="143">
        <v>0</v>
      </c>
      <c r="U6" s="1" t="s">
        <v>163</v>
      </c>
      <c r="V6" s="142">
        <v>0</v>
      </c>
      <c r="W6" s="142">
        <v>0</v>
      </c>
      <c r="X6" s="142">
        <v>0</v>
      </c>
      <c r="Y6" s="14" t="s">
        <v>2827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54267</v>
      </c>
      <c r="AH6" s="142">
        <v>5426.7</v>
      </c>
      <c r="AI6" s="142">
        <v>2395.5</v>
      </c>
      <c r="AJ6" s="14" t="s">
        <v>2826</v>
      </c>
      <c r="AK6" s="142" t="s">
        <v>106</v>
      </c>
      <c r="AL6" s="80">
        <v>0.8</v>
      </c>
      <c r="AM6" s="1" t="s">
        <v>1077</v>
      </c>
      <c r="AN6" s="1" t="s">
        <v>164</v>
      </c>
      <c r="AO6" s="1" t="s">
        <v>164</v>
      </c>
      <c r="AP6" s="143">
        <v>0.8</v>
      </c>
      <c r="AQ6" s="1" t="s">
        <v>1077</v>
      </c>
      <c r="AR6" s="142">
        <v>39177</v>
      </c>
      <c r="AS6" s="142">
        <v>4897.12</v>
      </c>
      <c r="AT6" s="142">
        <v>2450.5</v>
      </c>
    </row>
    <row r="7" spans="1:47" x14ac:dyDescent="0.2">
      <c r="A7" s="174"/>
      <c r="B7" s="9" t="s">
        <v>4</v>
      </c>
      <c r="C7" s="1" t="s">
        <v>4020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4019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2825</v>
      </c>
      <c r="Z7" s="142" t="s">
        <v>106</v>
      </c>
      <c r="AA7" s="80">
        <v>1</v>
      </c>
      <c r="AB7" s="1" t="s">
        <v>516</v>
      </c>
      <c r="AC7" s="80">
        <v>1</v>
      </c>
      <c r="AD7" s="1" t="s">
        <v>516</v>
      </c>
      <c r="AE7" s="143">
        <v>1</v>
      </c>
      <c r="AF7" s="1" t="s">
        <v>529</v>
      </c>
      <c r="AG7" s="142">
        <v>50991</v>
      </c>
      <c r="AH7" s="142">
        <v>5099.1000000000004</v>
      </c>
      <c r="AI7" s="142">
        <v>4297.5</v>
      </c>
      <c r="AJ7" s="14" t="s">
        <v>2824</v>
      </c>
      <c r="AK7" s="142" t="s">
        <v>106</v>
      </c>
      <c r="AL7" s="80">
        <v>1</v>
      </c>
      <c r="AM7" s="1" t="s">
        <v>529</v>
      </c>
      <c r="AN7" s="80">
        <v>1</v>
      </c>
      <c r="AO7" s="1" t="s">
        <v>1325</v>
      </c>
      <c r="AP7" s="143">
        <v>0.95</v>
      </c>
      <c r="AQ7" s="1" t="s">
        <v>1315</v>
      </c>
      <c r="AR7" s="142">
        <v>186915</v>
      </c>
      <c r="AS7" s="142">
        <v>9837.6299999999992</v>
      </c>
      <c r="AT7" s="142">
        <v>5782</v>
      </c>
    </row>
    <row r="8" spans="1:47" x14ac:dyDescent="0.2">
      <c r="A8" s="174"/>
      <c r="B8" s="9" t="s">
        <v>5</v>
      </c>
      <c r="C8" s="1" t="s">
        <v>2823</v>
      </c>
      <c r="D8" s="142" t="s">
        <v>106</v>
      </c>
      <c r="E8" s="80">
        <v>1</v>
      </c>
      <c r="F8" s="1" t="s">
        <v>452</v>
      </c>
      <c r="G8" s="1" t="s">
        <v>164</v>
      </c>
      <c r="H8" s="1" t="s">
        <v>164</v>
      </c>
      <c r="I8" s="143">
        <v>1</v>
      </c>
      <c r="J8" s="1" t="s">
        <v>452</v>
      </c>
      <c r="K8" s="142">
        <v>41246</v>
      </c>
      <c r="L8" s="142">
        <v>41246</v>
      </c>
      <c r="M8" s="142">
        <v>41246</v>
      </c>
      <c r="N8" s="14" t="s">
        <v>2822</v>
      </c>
      <c r="O8" s="142" t="s">
        <v>106</v>
      </c>
      <c r="P8" s="80">
        <v>1</v>
      </c>
      <c r="Q8" s="1" t="s">
        <v>1073</v>
      </c>
      <c r="R8" s="1" t="s">
        <v>164</v>
      </c>
      <c r="S8" s="1" t="s">
        <v>164</v>
      </c>
      <c r="T8" s="143">
        <v>1</v>
      </c>
      <c r="U8" s="1" t="s">
        <v>1073</v>
      </c>
      <c r="V8" s="142">
        <v>69797</v>
      </c>
      <c r="W8" s="142">
        <v>34898.5</v>
      </c>
      <c r="X8" s="142">
        <v>34898.5</v>
      </c>
      <c r="Y8" s="14" t="s">
        <v>2821</v>
      </c>
      <c r="Z8" s="142" t="s">
        <v>106</v>
      </c>
      <c r="AA8" s="80">
        <v>1</v>
      </c>
      <c r="AB8" s="1" t="s">
        <v>529</v>
      </c>
      <c r="AC8" s="1" t="s">
        <v>164</v>
      </c>
      <c r="AD8" s="1" t="s">
        <v>164</v>
      </c>
      <c r="AE8" s="143">
        <v>1</v>
      </c>
      <c r="AF8" s="1" t="s">
        <v>529</v>
      </c>
      <c r="AG8" s="142">
        <v>126140</v>
      </c>
      <c r="AH8" s="142">
        <v>12614</v>
      </c>
      <c r="AI8" s="142">
        <v>11474.5</v>
      </c>
      <c r="AJ8" s="14" t="s">
        <v>2820</v>
      </c>
      <c r="AK8" s="142" t="s">
        <v>106</v>
      </c>
      <c r="AL8" s="80">
        <v>0.65</v>
      </c>
      <c r="AM8" s="1" t="s">
        <v>2819</v>
      </c>
      <c r="AN8" s="1" t="s">
        <v>164</v>
      </c>
      <c r="AO8" s="1" t="s">
        <v>164</v>
      </c>
      <c r="AP8" s="143">
        <v>0.65</v>
      </c>
      <c r="AQ8" s="1" t="s">
        <v>2819</v>
      </c>
      <c r="AR8" s="142">
        <v>125198</v>
      </c>
      <c r="AS8" s="142">
        <v>9630.6200000000008</v>
      </c>
      <c r="AT8" s="142">
        <v>10786</v>
      </c>
    </row>
    <row r="9" spans="1:47" x14ac:dyDescent="0.2">
      <c r="A9" s="174"/>
      <c r="B9" s="9" t="s">
        <v>6</v>
      </c>
      <c r="C9" s="1" t="s">
        <v>4018</v>
      </c>
      <c r="D9" s="142" t="s">
        <v>106</v>
      </c>
      <c r="E9" s="80">
        <v>0</v>
      </c>
      <c r="F9" s="1" t="s">
        <v>169</v>
      </c>
      <c r="G9" s="80">
        <v>0</v>
      </c>
      <c r="H9" s="1" t="s">
        <v>163</v>
      </c>
      <c r="I9" s="143">
        <v>0</v>
      </c>
      <c r="J9" s="1" t="s">
        <v>163</v>
      </c>
      <c r="K9" s="142">
        <v>0</v>
      </c>
      <c r="L9" s="142">
        <v>0</v>
      </c>
      <c r="M9" s="142">
        <v>0</v>
      </c>
      <c r="N9" s="14" t="s">
        <v>4017</v>
      </c>
      <c r="O9" s="142" t="s">
        <v>106</v>
      </c>
      <c r="P9" s="80">
        <v>0</v>
      </c>
      <c r="Q9" s="1" t="s">
        <v>169</v>
      </c>
      <c r="R9" s="80">
        <v>0</v>
      </c>
      <c r="S9" s="1" t="s">
        <v>939</v>
      </c>
      <c r="T9" s="143">
        <v>0</v>
      </c>
      <c r="U9" s="1" t="s">
        <v>939</v>
      </c>
      <c r="V9" s="142">
        <v>0</v>
      </c>
      <c r="W9" s="142">
        <v>0</v>
      </c>
      <c r="X9" s="142">
        <v>0</v>
      </c>
      <c r="Y9" s="14" t="s">
        <v>4016</v>
      </c>
      <c r="Z9" s="142" t="s">
        <v>106</v>
      </c>
      <c r="AA9" s="80">
        <v>1</v>
      </c>
      <c r="AB9" s="1" t="s">
        <v>516</v>
      </c>
      <c r="AC9" s="80">
        <v>0</v>
      </c>
      <c r="AD9" s="1" t="s">
        <v>218</v>
      </c>
      <c r="AE9" s="143">
        <v>0.5</v>
      </c>
      <c r="AF9" s="1" t="s">
        <v>511</v>
      </c>
      <c r="AG9" s="142">
        <v>21095</v>
      </c>
      <c r="AH9" s="142">
        <v>4219</v>
      </c>
      <c r="AI9" s="142">
        <v>4232</v>
      </c>
      <c r="AJ9" s="14" t="s">
        <v>4015</v>
      </c>
      <c r="AK9" s="142" t="s">
        <v>106</v>
      </c>
      <c r="AL9" s="80">
        <v>1</v>
      </c>
      <c r="AM9" s="1" t="s">
        <v>529</v>
      </c>
      <c r="AN9" s="80">
        <v>0</v>
      </c>
      <c r="AO9" s="1" t="s">
        <v>213</v>
      </c>
      <c r="AP9" s="143">
        <v>0.5</v>
      </c>
      <c r="AQ9" s="1" t="s">
        <v>936</v>
      </c>
      <c r="AR9" s="142">
        <v>44516</v>
      </c>
      <c r="AS9" s="142">
        <v>4451.6000000000004</v>
      </c>
      <c r="AT9" s="142">
        <v>4437</v>
      </c>
    </row>
    <row r="10" spans="1:47" x14ac:dyDescent="0.2">
      <c r="A10" s="174"/>
      <c r="B10" s="9" t="s">
        <v>7</v>
      </c>
      <c r="C10" s="1" t="s">
        <v>2818</v>
      </c>
      <c r="D10" s="142" t="s">
        <v>106</v>
      </c>
      <c r="E10" s="80">
        <v>1</v>
      </c>
      <c r="F10" s="1" t="s">
        <v>452</v>
      </c>
      <c r="G10" s="1" t="s">
        <v>164</v>
      </c>
      <c r="H10" s="1" t="s">
        <v>164</v>
      </c>
      <c r="I10" s="143">
        <v>1</v>
      </c>
      <c r="J10" s="1" t="s">
        <v>452</v>
      </c>
      <c r="K10" s="142">
        <v>5123</v>
      </c>
      <c r="L10" s="142">
        <v>5123</v>
      </c>
      <c r="M10" s="142">
        <v>5123</v>
      </c>
      <c r="N10" s="14" t="s">
        <v>2817</v>
      </c>
      <c r="O10" s="142" t="s">
        <v>106</v>
      </c>
      <c r="P10" s="80">
        <v>1</v>
      </c>
      <c r="Q10" s="1" t="s">
        <v>1073</v>
      </c>
      <c r="R10" s="1" t="s">
        <v>164</v>
      </c>
      <c r="S10" s="1" t="s">
        <v>164</v>
      </c>
      <c r="T10" s="143">
        <v>1</v>
      </c>
      <c r="U10" s="1" t="s">
        <v>1073</v>
      </c>
      <c r="V10" s="142">
        <v>22265</v>
      </c>
      <c r="W10" s="142">
        <v>11132.5</v>
      </c>
      <c r="X10" s="142">
        <v>11132.5</v>
      </c>
      <c r="Y10" s="14" t="s">
        <v>2816</v>
      </c>
      <c r="Z10" s="142" t="s">
        <v>106</v>
      </c>
      <c r="AA10" s="80">
        <v>1</v>
      </c>
      <c r="AB10" s="1" t="s">
        <v>529</v>
      </c>
      <c r="AC10" s="1" t="s">
        <v>164</v>
      </c>
      <c r="AD10" s="1" t="s">
        <v>164</v>
      </c>
      <c r="AE10" s="143">
        <v>1</v>
      </c>
      <c r="AF10" s="1" t="s">
        <v>529</v>
      </c>
      <c r="AG10" s="142">
        <v>47001</v>
      </c>
      <c r="AH10" s="142">
        <v>4700.1000000000004</v>
      </c>
      <c r="AI10" s="142">
        <v>3987.5</v>
      </c>
      <c r="AJ10" s="14" t="s">
        <v>2815</v>
      </c>
      <c r="AK10" s="142" t="s">
        <v>106</v>
      </c>
      <c r="AL10" s="80">
        <v>1</v>
      </c>
      <c r="AM10" s="1" t="s">
        <v>1070</v>
      </c>
      <c r="AN10" s="1" t="s">
        <v>164</v>
      </c>
      <c r="AO10" s="1" t="s">
        <v>164</v>
      </c>
      <c r="AP10" s="143">
        <v>1</v>
      </c>
      <c r="AQ10" s="1" t="s">
        <v>1070</v>
      </c>
      <c r="AR10" s="142">
        <v>183633</v>
      </c>
      <c r="AS10" s="142">
        <v>9181.65</v>
      </c>
      <c r="AT10" s="142">
        <v>10064.5</v>
      </c>
    </row>
    <row r="11" spans="1:47" x14ac:dyDescent="0.2">
      <c r="A11" s="174"/>
      <c r="B11" s="9" t="s">
        <v>8</v>
      </c>
      <c r="C11" s="1" t="s">
        <v>2814</v>
      </c>
      <c r="D11" s="142" t="s">
        <v>106</v>
      </c>
      <c r="E11" s="80">
        <v>0</v>
      </c>
      <c r="F11" s="1" t="s">
        <v>169</v>
      </c>
      <c r="G11" s="80">
        <v>1</v>
      </c>
      <c r="H11" s="1" t="s">
        <v>452</v>
      </c>
      <c r="I11" s="143">
        <v>1</v>
      </c>
      <c r="J11" s="1" t="s">
        <v>452</v>
      </c>
      <c r="K11" s="142">
        <v>3995</v>
      </c>
      <c r="L11" s="142">
        <v>3995</v>
      </c>
      <c r="M11" s="142">
        <v>3995</v>
      </c>
      <c r="N11" s="14" t="s">
        <v>2813</v>
      </c>
      <c r="O11" s="142" t="s">
        <v>106</v>
      </c>
      <c r="P11" s="80">
        <v>1</v>
      </c>
      <c r="Q11" s="1" t="s">
        <v>452</v>
      </c>
      <c r="R11" s="80">
        <v>1</v>
      </c>
      <c r="S11" s="1" t="s">
        <v>452</v>
      </c>
      <c r="T11" s="143">
        <v>1</v>
      </c>
      <c r="U11" s="1" t="s">
        <v>1073</v>
      </c>
      <c r="V11" s="142">
        <v>6295</v>
      </c>
      <c r="W11" s="142">
        <v>3147.5</v>
      </c>
      <c r="X11" s="142">
        <v>3147.5</v>
      </c>
      <c r="Y11" s="14" t="s">
        <v>2812</v>
      </c>
      <c r="Z11" s="142" t="s">
        <v>106</v>
      </c>
      <c r="AA11" s="80">
        <v>1</v>
      </c>
      <c r="AB11" s="1" t="s">
        <v>516</v>
      </c>
      <c r="AC11" s="80">
        <v>0.4</v>
      </c>
      <c r="AD11" s="1" t="s">
        <v>974</v>
      </c>
      <c r="AE11" s="143">
        <v>0.7</v>
      </c>
      <c r="AF11" s="1" t="s">
        <v>973</v>
      </c>
      <c r="AG11" s="142">
        <v>28424</v>
      </c>
      <c r="AH11" s="142">
        <v>4060.57</v>
      </c>
      <c r="AI11" s="142">
        <v>2509</v>
      </c>
      <c r="AJ11" s="14" t="s">
        <v>2811</v>
      </c>
      <c r="AK11" s="142" t="s">
        <v>106</v>
      </c>
      <c r="AL11" s="80">
        <v>1</v>
      </c>
      <c r="AM11" s="1" t="s">
        <v>2400</v>
      </c>
      <c r="AN11" s="80">
        <v>0.4</v>
      </c>
      <c r="AO11" s="1" t="s">
        <v>974</v>
      </c>
      <c r="AP11" s="143">
        <v>0.85</v>
      </c>
      <c r="AQ11" s="1" t="s">
        <v>1310</v>
      </c>
      <c r="AR11" s="142">
        <v>55749</v>
      </c>
      <c r="AS11" s="142">
        <v>3279.35</v>
      </c>
      <c r="AT11" s="142">
        <v>2764</v>
      </c>
      <c r="AU11" s="4" t="s">
        <v>98</v>
      </c>
    </row>
    <row r="12" spans="1:47" x14ac:dyDescent="0.2">
      <c r="A12" s="174"/>
      <c r="B12" s="9" t="s">
        <v>9</v>
      </c>
      <c r="C12" s="1" t="s">
        <v>2810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2809</v>
      </c>
      <c r="O12" s="142" t="s">
        <v>106</v>
      </c>
      <c r="P12" s="80">
        <v>0.5</v>
      </c>
      <c r="Q12" s="1" t="s">
        <v>1108</v>
      </c>
      <c r="R12" s="1" t="s">
        <v>164</v>
      </c>
      <c r="S12" s="1" t="s">
        <v>164</v>
      </c>
      <c r="T12" s="143">
        <v>0.5</v>
      </c>
      <c r="U12" s="1" t="s">
        <v>1108</v>
      </c>
      <c r="V12" s="142">
        <v>3390</v>
      </c>
      <c r="W12" s="142">
        <v>3390</v>
      </c>
      <c r="X12" s="142">
        <v>3390</v>
      </c>
      <c r="Y12" s="14" t="s">
        <v>2808</v>
      </c>
      <c r="Z12" s="142" t="s">
        <v>106</v>
      </c>
      <c r="AA12" s="80">
        <v>0.6</v>
      </c>
      <c r="AB12" s="1" t="s">
        <v>963</v>
      </c>
      <c r="AC12" s="1" t="s">
        <v>164</v>
      </c>
      <c r="AD12" s="1" t="s">
        <v>164</v>
      </c>
      <c r="AE12" s="143">
        <v>0.6</v>
      </c>
      <c r="AF12" s="1" t="s">
        <v>963</v>
      </c>
      <c r="AG12" s="142">
        <v>15372</v>
      </c>
      <c r="AH12" s="142">
        <v>2562</v>
      </c>
      <c r="AI12" s="142">
        <v>2540.5</v>
      </c>
      <c r="AJ12" s="14" t="s">
        <v>2807</v>
      </c>
      <c r="AK12" s="142" t="s">
        <v>106</v>
      </c>
      <c r="AL12" s="80">
        <v>0.8</v>
      </c>
      <c r="AM12" s="1" t="s">
        <v>1320</v>
      </c>
      <c r="AN12" s="1" t="s">
        <v>164</v>
      </c>
      <c r="AO12" s="1" t="s">
        <v>164</v>
      </c>
      <c r="AP12" s="143">
        <v>0.8</v>
      </c>
      <c r="AQ12" s="1" t="s">
        <v>1320</v>
      </c>
      <c r="AR12" s="142">
        <v>43315</v>
      </c>
      <c r="AS12" s="142">
        <v>2707.19</v>
      </c>
      <c r="AT12" s="142">
        <v>2748.5</v>
      </c>
      <c r="AU12" s="4" t="s">
        <v>98</v>
      </c>
    </row>
    <row r="13" spans="1:47" x14ac:dyDescent="0.2">
      <c r="A13" s="174"/>
      <c r="B13" s="9" t="s">
        <v>12</v>
      </c>
      <c r="C13" s="1" t="s">
        <v>2806</v>
      </c>
      <c r="D13" s="142" t="s">
        <v>106</v>
      </c>
      <c r="E13" s="80">
        <v>0</v>
      </c>
      <c r="F13" s="1" t="s">
        <v>169</v>
      </c>
      <c r="G13" s="80">
        <v>0</v>
      </c>
      <c r="H13" s="1" t="s">
        <v>163</v>
      </c>
      <c r="I13" s="143">
        <v>0</v>
      </c>
      <c r="J13" s="1" t="s">
        <v>163</v>
      </c>
      <c r="K13" s="142">
        <v>0</v>
      </c>
      <c r="L13" s="142">
        <v>0</v>
      </c>
      <c r="M13" s="142">
        <v>0</v>
      </c>
      <c r="N13" s="14" t="s">
        <v>2805</v>
      </c>
      <c r="O13" s="142" t="s">
        <v>106</v>
      </c>
      <c r="P13" s="80">
        <v>0</v>
      </c>
      <c r="Q13" s="1" t="s">
        <v>169</v>
      </c>
      <c r="R13" s="80">
        <v>0</v>
      </c>
      <c r="S13" s="1" t="s">
        <v>163</v>
      </c>
      <c r="T13" s="143">
        <v>0</v>
      </c>
      <c r="U13" s="1" t="s">
        <v>163</v>
      </c>
      <c r="V13" s="142">
        <v>0</v>
      </c>
      <c r="W13" s="142">
        <v>0</v>
      </c>
      <c r="X13" s="142">
        <v>0</v>
      </c>
      <c r="Y13" s="14" t="s">
        <v>2804</v>
      </c>
      <c r="Z13" s="142" t="s">
        <v>106</v>
      </c>
      <c r="AA13" s="80">
        <v>0</v>
      </c>
      <c r="AB13" s="1" t="s">
        <v>218</v>
      </c>
      <c r="AC13" s="80">
        <v>0</v>
      </c>
      <c r="AD13" s="1" t="s">
        <v>218</v>
      </c>
      <c r="AE13" s="143">
        <v>0</v>
      </c>
      <c r="AF13" s="1" t="s">
        <v>213</v>
      </c>
      <c r="AG13" s="142">
        <v>0</v>
      </c>
      <c r="AH13" s="142">
        <v>0</v>
      </c>
      <c r="AI13" s="142">
        <v>0</v>
      </c>
      <c r="AJ13" s="14" t="s">
        <v>2803</v>
      </c>
      <c r="AK13" s="142" t="s">
        <v>106</v>
      </c>
      <c r="AL13" s="80">
        <v>0</v>
      </c>
      <c r="AM13" s="1" t="s">
        <v>218</v>
      </c>
      <c r="AN13" s="80">
        <v>0</v>
      </c>
      <c r="AO13" s="1" t="s">
        <v>218</v>
      </c>
      <c r="AP13" s="143">
        <v>0</v>
      </c>
      <c r="AQ13" s="1" t="s">
        <v>213</v>
      </c>
      <c r="AR13" s="142">
        <v>0</v>
      </c>
      <c r="AS13" s="142">
        <v>0</v>
      </c>
      <c r="AT13" s="142">
        <v>0</v>
      </c>
      <c r="AU13" s="4" t="s">
        <v>97</v>
      </c>
    </row>
    <row r="14" spans="1:47" x14ac:dyDescent="0.2">
      <c r="A14" s="174"/>
      <c r="B14" s="9" t="s">
        <v>13</v>
      </c>
      <c r="C14" s="1" t="s">
        <v>2802</v>
      </c>
      <c r="D14" s="142" t="s">
        <v>106</v>
      </c>
      <c r="E14" s="80">
        <v>1</v>
      </c>
      <c r="F14" s="1" t="s">
        <v>452</v>
      </c>
      <c r="G14" s="1" t="s">
        <v>164</v>
      </c>
      <c r="H14" s="1" t="s">
        <v>164</v>
      </c>
      <c r="I14" s="143">
        <v>1</v>
      </c>
      <c r="J14" s="1" t="s">
        <v>452</v>
      </c>
      <c r="K14" s="142">
        <v>2669</v>
      </c>
      <c r="L14" s="142">
        <v>2669</v>
      </c>
      <c r="M14" s="142">
        <v>2669</v>
      </c>
      <c r="N14" s="14" t="s">
        <v>2801</v>
      </c>
      <c r="O14" s="142" t="s">
        <v>106</v>
      </c>
      <c r="P14" s="80">
        <v>1</v>
      </c>
      <c r="Q14" s="1" t="s">
        <v>452</v>
      </c>
      <c r="R14" s="1" t="s">
        <v>164</v>
      </c>
      <c r="S14" s="1" t="s">
        <v>164</v>
      </c>
      <c r="T14" s="143">
        <v>1</v>
      </c>
      <c r="U14" s="1" t="s">
        <v>452</v>
      </c>
      <c r="V14" s="142">
        <v>2610</v>
      </c>
      <c r="W14" s="142">
        <v>2610</v>
      </c>
      <c r="X14" s="142">
        <v>2610</v>
      </c>
      <c r="Y14" s="14" t="s">
        <v>2800</v>
      </c>
      <c r="Z14" s="142" t="s">
        <v>106</v>
      </c>
      <c r="AA14" s="80">
        <v>0.9</v>
      </c>
      <c r="AB14" s="1" t="s">
        <v>951</v>
      </c>
      <c r="AC14" s="1" t="s">
        <v>164</v>
      </c>
      <c r="AD14" s="1" t="s">
        <v>164</v>
      </c>
      <c r="AE14" s="143">
        <v>0.9</v>
      </c>
      <c r="AF14" s="1" t="s">
        <v>951</v>
      </c>
      <c r="AG14" s="142">
        <v>23943</v>
      </c>
      <c r="AH14" s="142">
        <v>2660.33</v>
      </c>
      <c r="AI14" s="142">
        <v>2661</v>
      </c>
      <c r="AJ14" s="14" t="s">
        <v>2799</v>
      </c>
      <c r="AK14" s="142" t="s">
        <v>106</v>
      </c>
      <c r="AL14" s="80">
        <v>0.9</v>
      </c>
      <c r="AM14" s="1" t="s">
        <v>951</v>
      </c>
      <c r="AN14" s="1" t="s">
        <v>164</v>
      </c>
      <c r="AO14" s="1" t="s">
        <v>164</v>
      </c>
      <c r="AP14" s="143">
        <v>0.9</v>
      </c>
      <c r="AQ14" s="1" t="s">
        <v>951</v>
      </c>
      <c r="AR14" s="142">
        <v>22952</v>
      </c>
      <c r="AS14" s="142">
        <v>2550.2199999999998</v>
      </c>
      <c r="AT14" s="142">
        <v>2481</v>
      </c>
      <c r="AU14" s="4" t="s">
        <v>97</v>
      </c>
    </row>
    <row r="15" spans="1:47" x14ac:dyDescent="0.2">
      <c r="A15" s="174"/>
      <c r="B15" s="9" t="s">
        <v>14</v>
      </c>
      <c r="C15" s="1" t="s">
        <v>2798</v>
      </c>
      <c r="D15" s="142" t="s">
        <v>106</v>
      </c>
      <c r="E15" s="80">
        <v>0</v>
      </c>
      <c r="F15" s="1" t="s">
        <v>169</v>
      </c>
      <c r="G15" s="80">
        <v>0</v>
      </c>
      <c r="H15" s="1" t="s">
        <v>163</v>
      </c>
      <c r="I15" s="143">
        <v>0</v>
      </c>
      <c r="J15" s="1" t="s">
        <v>163</v>
      </c>
      <c r="K15" s="142">
        <v>0</v>
      </c>
      <c r="L15" s="142">
        <v>0</v>
      </c>
      <c r="M15" s="142">
        <v>0</v>
      </c>
      <c r="N15" s="14" t="s">
        <v>2797</v>
      </c>
      <c r="O15" s="142" t="s">
        <v>106</v>
      </c>
      <c r="P15" s="80">
        <v>0</v>
      </c>
      <c r="Q15" s="1" t="s">
        <v>169</v>
      </c>
      <c r="R15" s="80">
        <v>0</v>
      </c>
      <c r="S15" s="1" t="s">
        <v>163</v>
      </c>
      <c r="T15" s="143">
        <v>0</v>
      </c>
      <c r="U15" s="1" t="s">
        <v>163</v>
      </c>
      <c r="V15" s="142">
        <v>0</v>
      </c>
      <c r="W15" s="142">
        <v>0</v>
      </c>
      <c r="X15" s="142">
        <v>0</v>
      </c>
      <c r="Y15" s="14" t="s">
        <v>2796</v>
      </c>
      <c r="Z15" s="142" t="s">
        <v>106</v>
      </c>
      <c r="AA15" s="80">
        <v>0</v>
      </c>
      <c r="AB15" s="1" t="s">
        <v>218</v>
      </c>
      <c r="AC15" s="80">
        <v>0</v>
      </c>
      <c r="AD15" s="1" t="s">
        <v>218</v>
      </c>
      <c r="AE15" s="143">
        <v>0</v>
      </c>
      <c r="AF15" s="1" t="s">
        <v>213</v>
      </c>
      <c r="AG15" s="142">
        <v>0</v>
      </c>
      <c r="AH15" s="142">
        <v>0</v>
      </c>
      <c r="AI15" s="142">
        <v>0</v>
      </c>
      <c r="AJ15" s="14" t="s">
        <v>2795</v>
      </c>
      <c r="AK15" s="142" t="s">
        <v>106</v>
      </c>
      <c r="AL15" s="80">
        <v>0</v>
      </c>
      <c r="AM15" s="1" t="s">
        <v>218</v>
      </c>
      <c r="AN15" s="80">
        <v>0</v>
      </c>
      <c r="AO15" s="1" t="s">
        <v>218</v>
      </c>
      <c r="AP15" s="143">
        <v>0</v>
      </c>
      <c r="AQ15" s="1" t="s">
        <v>213</v>
      </c>
      <c r="AR15" s="142">
        <v>0</v>
      </c>
      <c r="AS15" s="142">
        <v>0</v>
      </c>
      <c r="AT15" s="142">
        <v>0</v>
      </c>
      <c r="AU15" s="4" t="s">
        <v>97</v>
      </c>
    </row>
    <row r="16" spans="1:47" x14ac:dyDescent="0.2">
      <c r="A16" s="174"/>
      <c r="B16" s="9" t="s">
        <v>15</v>
      </c>
      <c r="C16" s="1" t="s">
        <v>2794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2793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2792</v>
      </c>
      <c r="Z16" s="142" t="s">
        <v>106</v>
      </c>
      <c r="AA16" s="80">
        <v>0</v>
      </c>
      <c r="AB16" s="1" t="s">
        <v>213</v>
      </c>
      <c r="AC16" s="1" t="s">
        <v>164</v>
      </c>
      <c r="AD16" s="1" t="s">
        <v>164</v>
      </c>
      <c r="AE16" s="143">
        <v>0</v>
      </c>
      <c r="AF16" s="1" t="s">
        <v>213</v>
      </c>
      <c r="AG16" s="142">
        <v>0</v>
      </c>
      <c r="AH16" s="142">
        <v>0</v>
      </c>
      <c r="AI16" s="142">
        <v>0</v>
      </c>
      <c r="AJ16" s="14" t="s">
        <v>2791</v>
      </c>
      <c r="AK16" s="142" t="s">
        <v>106</v>
      </c>
      <c r="AL16" s="80">
        <v>0</v>
      </c>
      <c r="AM16" s="1" t="s">
        <v>213</v>
      </c>
      <c r="AN16" s="1" t="s">
        <v>164</v>
      </c>
      <c r="AO16" s="1" t="s">
        <v>164</v>
      </c>
      <c r="AP16" s="143">
        <v>0</v>
      </c>
      <c r="AQ16" s="1" t="s">
        <v>213</v>
      </c>
      <c r="AR16" s="142">
        <v>0</v>
      </c>
      <c r="AS16" s="142">
        <v>0</v>
      </c>
      <c r="AT16" s="142">
        <v>0</v>
      </c>
      <c r="AU16" s="4" t="s">
        <v>97</v>
      </c>
    </row>
    <row r="17" spans="1:47" x14ac:dyDescent="0.2">
      <c r="A17" s="174"/>
      <c r="B17" s="9" t="s">
        <v>16</v>
      </c>
      <c r="C17" s="1" t="s">
        <v>2790</v>
      </c>
      <c r="D17" s="142" t="s">
        <v>106</v>
      </c>
      <c r="E17" s="80">
        <v>0</v>
      </c>
      <c r="F17" s="1" t="s">
        <v>169</v>
      </c>
      <c r="G17" s="80">
        <v>1</v>
      </c>
      <c r="H17" s="1" t="s">
        <v>452</v>
      </c>
      <c r="I17" s="143">
        <v>1</v>
      </c>
      <c r="J17" s="1" t="s">
        <v>452</v>
      </c>
      <c r="K17" s="142">
        <v>2247</v>
      </c>
      <c r="L17" s="142">
        <v>2247</v>
      </c>
      <c r="M17" s="142">
        <v>2247</v>
      </c>
      <c r="N17" s="14" t="s">
        <v>2789</v>
      </c>
      <c r="O17" s="142" t="s">
        <v>106</v>
      </c>
      <c r="P17" s="80">
        <v>0</v>
      </c>
      <c r="Q17" s="1" t="s">
        <v>169</v>
      </c>
      <c r="R17" s="80">
        <v>1</v>
      </c>
      <c r="S17" s="1" t="s">
        <v>452</v>
      </c>
      <c r="T17" s="143">
        <v>1</v>
      </c>
      <c r="U17" s="1" t="s">
        <v>452</v>
      </c>
      <c r="V17" s="142">
        <v>2230</v>
      </c>
      <c r="W17" s="142">
        <v>2230</v>
      </c>
      <c r="X17" s="142">
        <v>2230</v>
      </c>
      <c r="Y17" s="14" t="s">
        <v>2788</v>
      </c>
      <c r="Z17" s="142" t="s">
        <v>106</v>
      </c>
      <c r="AA17" s="80">
        <v>1</v>
      </c>
      <c r="AB17" s="1" t="s">
        <v>516</v>
      </c>
      <c r="AC17" s="80">
        <v>0.6</v>
      </c>
      <c r="AD17" s="1" t="s">
        <v>964</v>
      </c>
      <c r="AE17" s="143">
        <v>0.8</v>
      </c>
      <c r="AF17" s="1" t="s">
        <v>1077</v>
      </c>
      <c r="AG17" s="142">
        <v>20775</v>
      </c>
      <c r="AH17" s="142">
        <v>2596.88</v>
      </c>
      <c r="AI17" s="142">
        <v>2589</v>
      </c>
      <c r="AJ17" s="14" t="s">
        <v>2787</v>
      </c>
      <c r="AK17" s="142" t="s">
        <v>106</v>
      </c>
      <c r="AL17" s="80">
        <v>1</v>
      </c>
      <c r="AM17" s="1" t="s">
        <v>516</v>
      </c>
      <c r="AN17" s="80">
        <v>0.6</v>
      </c>
      <c r="AO17" s="1" t="s">
        <v>964</v>
      </c>
      <c r="AP17" s="143">
        <v>0.8</v>
      </c>
      <c r="AQ17" s="1" t="s">
        <v>1077</v>
      </c>
      <c r="AR17" s="142">
        <v>20459</v>
      </c>
      <c r="AS17" s="142">
        <v>2557.38</v>
      </c>
      <c r="AT17" s="142">
        <v>2498</v>
      </c>
      <c r="AU17" s="4" t="s">
        <v>97</v>
      </c>
    </row>
    <row r="18" spans="1:47" x14ac:dyDescent="0.2">
      <c r="A18" s="174"/>
      <c r="B18" s="9" t="s">
        <v>17</v>
      </c>
      <c r="C18" s="1" t="s">
        <v>2786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2785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2784</v>
      </c>
      <c r="Z18" s="142" t="s">
        <v>106</v>
      </c>
      <c r="AA18" s="80">
        <v>0</v>
      </c>
      <c r="AB18" s="1" t="s">
        <v>213</v>
      </c>
      <c r="AC18" s="1" t="s">
        <v>164</v>
      </c>
      <c r="AD18" s="1" t="s">
        <v>164</v>
      </c>
      <c r="AE18" s="143">
        <v>0</v>
      </c>
      <c r="AF18" s="1" t="s">
        <v>213</v>
      </c>
      <c r="AG18" s="142">
        <v>0</v>
      </c>
      <c r="AH18" s="142">
        <v>0</v>
      </c>
      <c r="AI18" s="142">
        <v>0</v>
      </c>
      <c r="AJ18" s="14" t="s">
        <v>2783</v>
      </c>
      <c r="AK18" s="142" t="s">
        <v>106</v>
      </c>
      <c r="AL18" s="80">
        <v>0</v>
      </c>
      <c r="AM18" s="1" t="s">
        <v>213</v>
      </c>
      <c r="AN18" s="1" t="s">
        <v>164</v>
      </c>
      <c r="AO18" s="1" t="s">
        <v>164</v>
      </c>
      <c r="AP18" s="143">
        <v>0</v>
      </c>
      <c r="AQ18" s="1" t="s">
        <v>213</v>
      </c>
      <c r="AR18" s="142">
        <v>0</v>
      </c>
      <c r="AS18" s="142">
        <v>0</v>
      </c>
      <c r="AT18" s="142">
        <v>0</v>
      </c>
      <c r="AU18" s="4" t="s">
        <v>97</v>
      </c>
    </row>
    <row r="19" spans="1:47" x14ac:dyDescent="0.2">
      <c r="A19" s="174"/>
      <c r="B19" s="9" t="s">
        <v>18</v>
      </c>
      <c r="C19" s="1" t="s">
        <v>2782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2781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2675</v>
      </c>
      <c r="W19" s="142">
        <v>2675</v>
      </c>
      <c r="X19" s="142">
        <v>2675</v>
      </c>
      <c r="Y19" s="14" t="s">
        <v>2780</v>
      </c>
      <c r="Z19" s="142" t="s">
        <v>107</v>
      </c>
      <c r="AA19" s="1" t="s">
        <v>164</v>
      </c>
      <c r="AB19" s="1" t="s">
        <v>164</v>
      </c>
      <c r="AC19" s="1" t="s">
        <v>164</v>
      </c>
      <c r="AD19" s="1" t="s">
        <v>164</v>
      </c>
      <c r="AE19" s="143">
        <v>0.7</v>
      </c>
      <c r="AF19" s="1" t="s">
        <v>973</v>
      </c>
      <c r="AG19" s="142">
        <v>118598</v>
      </c>
      <c r="AH19" s="142">
        <v>16942.57</v>
      </c>
      <c r="AI19" s="142">
        <v>16091</v>
      </c>
      <c r="AJ19" s="14" t="s">
        <v>2779</v>
      </c>
      <c r="AK19" s="142" t="s">
        <v>107</v>
      </c>
      <c r="AL19" s="1" t="s">
        <v>164</v>
      </c>
      <c r="AM19" s="1" t="s">
        <v>164</v>
      </c>
      <c r="AN19" s="1" t="s">
        <v>164</v>
      </c>
      <c r="AO19" s="1" t="s">
        <v>164</v>
      </c>
      <c r="AP19" s="143">
        <v>0.85</v>
      </c>
      <c r="AQ19" s="1" t="s">
        <v>1310</v>
      </c>
      <c r="AR19" s="142">
        <v>136884</v>
      </c>
      <c r="AS19" s="142">
        <v>8052</v>
      </c>
      <c r="AT19" s="142">
        <v>2695</v>
      </c>
      <c r="AU19" s="4" t="s">
        <v>99</v>
      </c>
    </row>
    <row r="20" spans="1:47" x14ac:dyDescent="0.2">
      <c r="A20" s="174"/>
      <c r="B20" s="9" t="s">
        <v>19</v>
      </c>
      <c r="C20" s="1" t="s">
        <v>2778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2777</v>
      </c>
      <c r="O20" s="142" t="s">
        <v>106</v>
      </c>
      <c r="P20" s="80">
        <v>0.5</v>
      </c>
      <c r="Q20" s="1" t="s">
        <v>1108</v>
      </c>
      <c r="R20" s="1" t="s">
        <v>164</v>
      </c>
      <c r="S20" s="1" t="s">
        <v>164</v>
      </c>
      <c r="T20" s="143">
        <v>0.5</v>
      </c>
      <c r="U20" s="1" t="s">
        <v>1108</v>
      </c>
      <c r="V20" s="142">
        <v>2491</v>
      </c>
      <c r="W20" s="142">
        <v>2491</v>
      </c>
      <c r="X20" s="142">
        <v>2491</v>
      </c>
      <c r="Y20" s="14" t="s">
        <v>2776</v>
      </c>
      <c r="Z20" s="142" t="s">
        <v>106</v>
      </c>
      <c r="AA20" s="80">
        <v>1</v>
      </c>
      <c r="AB20" s="1" t="s">
        <v>529</v>
      </c>
      <c r="AC20" s="1" t="s">
        <v>164</v>
      </c>
      <c r="AD20" s="1" t="s">
        <v>164</v>
      </c>
      <c r="AE20" s="143">
        <v>1</v>
      </c>
      <c r="AF20" s="1" t="s">
        <v>529</v>
      </c>
      <c r="AG20" s="142">
        <v>191737</v>
      </c>
      <c r="AH20" s="142">
        <v>19173.7</v>
      </c>
      <c r="AI20" s="142">
        <v>16077.5</v>
      </c>
      <c r="AJ20" s="14" t="s">
        <v>2775</v>
      </c>
      <c r="AK20" s="142" t="s">
        <v>106</v>
      </c>
      <c r="AL20" s="80">
        <v>1</v>
      </c>
      <c r="AM20" s="1" t="s">
        <v>1070</v>
      </c>
      <c r="AN20" s="1" t="s">
        <v>164</v>
      </c>
      <c r="AO20" s="1" t="s">
        <v>164</v>
      </c>
      <c r="AP20" s="143">
        <v>1</v>
      </c>
      <c r="AQ20" s="1" t="s">
        <v>1070</v>
      </c>
      <c r="AR20" s="142">
        <v>212425</v>
      </c>
      <c r="AS20" s="142">
        <v>10621.25</v>
      </c>
      <c r="AT20" s="142">
        <v>8791</v>
      </c>
      <c r="AU20" s="4" t="s">
        <v>99</v>
      </c>
    </row>
    <row r="21" spans="1:47" x14ac:dyDescent="0.2">
      <c r="A21" s="174"/>
      <c r="B21" s="9" t="s">
        <v>20</v>
      </c>
      <c r="C21" s="1" t="s">
        <v>2774</v>
      </c>
      <c r="D21" s="142" t="s">
        <v>106</v>
      </c>
      <c r="E21" s="80">
        <v>0</v>
      </c>
      <c r="F21" s="1" t="s">
        <v>169</v>
      </c>
      <c r="G21" s="80">
        <v>1</v>
      </c>
      <c r="H21" s="1" t="s">
        <v>452</v>
      </c>
      <c r="I21" s="143">
        <v>1</v>
      </c>
      <c r="J21" s="1" t="s">
        <v>452</v>
      </c>
      <c r="K21" s="142">
        <v>35880</v>
      </c>
      <c r="L21" s="142">
        <v>35880</v>
      </c>
      <c r="M21" s="142">
        <v>35880</v>
      </c>
      <c r="N21" s="14" t="s">
        <v>2773</v>
      </c>
      <c r="O21" s="142" t="s">
        <v>106</v>
      </c>
      <c r="P21" s="80">
        <v>1</v>
      </c>
      <c r="Q21" s="1" t="s">
        <v>452</v>
      </c>
      <c r="R21" s="80">
        <v>1</v>
      </c>
      <c r="S21" s="1" t="s">
        <v>452</v>
      </c>
      <c r="T21" s="143">
        <v>1</v>
      </c>
      <c r="U21" s="1" t="s">
        <v>1073</v>
      </c>
      <c r="V21" s="142">
        <v>36136</v>
      </c>
      <c r="W21" s="142">
        <v>18068</v>
      </c>
      <c r="X21" s="142">
        <v>18068</v>
      </c>
      <c r="Y21" s="14" t="s">
        <v>2772</v>
      </c>
      <c r="Z21" s="142" t="s">
        <v>106</v>
      </c>
      <c r="AA21" s="80">
        <v>1</v>
      </c>
      <c r="AB21" s="1" t="s">
        <v>516</v>
      </c>
      <c r="AC21" s="80">
        <v>1</v>
      </c>
      <c r="AD21" s="1" t="s">
        <v>516</v>
      </c>
      <c r="AE21" s="143">
        <v>1</v>
      </c>
      <c r="AF21" s="1" t="s">
        <v>529</v>
      </c>
      <c r="AG21" s="142">
        <v>80114</v>
      </c>
      <c r="AH21" s="142">
        <v>8011.4</v>
      </c>
      <c r="AI21" s="142">
        <v>6217.5</v>
      </c>
      <c r="AJ21" s="14" t="s">
        <v>2771</v>
      </c>
      <c r="AK21" s="142" t="s">
        <v>106</v>
      </c>
      <c r="AL21" s="80">
        <v>1</v>
      </c>
      <c r="AM21" s="1" t="s">
        <v>2400</v>
      </c>
      <c r="AN21" s="80">
        <v>1</v>
      </c>
      <c r="AO21" s="1" t="s">
        <v>516</v>
      </c>
      <c r="AP21" s="143">
        <v>1</v>
      </c>
      <c r="AQ21" s="1" t="s">
        <v>1070</v>
      </c>
      <c r="AR21" s="142">
        <v>97809</v>
      </c>
      <c r="AS21" s="142">
        <v>4890.45</v>
      </c>
      <c r="AT21" s="142">
        <v>3525.5</v>
      </c>
      <c r="AU21" s="4" t="s">
        <v>93</v>
      </c>
    </row>
    <row r="22" spans="1:47" x14ac:dyDescent="0.2">
      <c r="A22" s="174"/>
      <c r="B22" s="9" t="s">
        <v>21</v>
      </c>
      <c r="C22" s="1" t="s">
        <v>2770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17963</v>
      </c>
      <c r="L22" s="142">
        <v>17963</v>
      </c>
      <c r="M22" s="142">
        <v>17963</v>
      </c>
      <c r="N22" s="14" t="s">
        <v>2769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20706</v>
      </c>
      <c r="W22" s="142">
        <v>10353</v>
      </c>
      <c r="X22" s="142">
        <v>10353</v>
      </c>
      <c r="Y22" s="14" t="s">
        <v>2768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60268</v>
      </c>
      <c r="AH22" s="142">
        <v>6026.8</v>
      </c>
      <c r="AI22" s="142">
        <v>6390</v>
      </c>
      <c r="AJ22" s="14" t="s">
        <v>2767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85130</v>
      </c>
      <c r="AS22" s="142">
        <v>4256.5</v>
      </c>
      <c r="AT22" s="142">
        <v>3327.5</v>
      </c>
      <c r="AU22" s="4" t="s">
        <v>93</v>
      </c>
    </row>
    <row r="23" spans="1:47" x14ac:dyDescent="0.2">
      <c r="A23" s="174"/>
      <c r="B23" s="9" t="s">
        <v>26</v>
      </c>
      <c r="C23" s="1" t="s">
        <v>2766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2765</v>
      </c>
      <c r="O23" s="142" t="s">
        <v>106</v>
      </c>
      <c r="P23" s="80">
        <v>1</v>
      </c>
      <c r="Q23" s="1" t="s">
        <v>452</v>
      </c>
      <c r="R23" s="80">
        <v>0</v>
      </c>
      <c r="S23" s="1" t="s">
        <v>1161</v>
      </c>
      <c r="T23" s="143">
        <v>0.25</v>
      </c>
      <c r="U23" s="1" t="s">
        <v>1247</v>
      </c>
      <c r="V23" s="142">
        <v>2423</v>
      </c>
      <c r="W23" s="142">
        <v>2423</v>
      </c>
      <c r="X23" s="142">
        <v>2423</v>
      </c>
      <c r="Y23" s="14" t="s">
        <v>4014</v>
      </c>
      <c r="Z23" s="142" t="s">
        <v>107</v>
      </c>
      <c r="AA23" s="1" t="s">
        <v>164</v>
      </c>
      <c r="AB23" s="1" t="s">
        <v>164</v>
      </c>
      <c r="AC23" s="1" t="s">
        <v>164</v>
      </c>
      <c r="AD23" s="1" t="s">
        <v>164</v>
      </c>
      <c r="AE23" s="143">
        <v>0.2</v>
      </c>
      <c r="AF23" s="1" t="s">
        <v>930</v>
      </c>
      <c r="AG23" s="142">
        <v>38399</v>
      </c>
      <c r="AH23" s="142">
        <v>19199.5</v>
      </c>
      <c r="AI23" s="142">
        <v>19199.5</v>
      </c>
      <c r="AJ23" s="14" t="s">
        <v>4013</v>
      </c>
      <c r="AK23" s="142" t="s">
        <v>107</v>
      </c>
      <c r="AL23" s="1" t="s">
        <v>164</v>
      </c>
      <c r="AM23" s="1" t="s">
        <v>164</v>
      </c>
      <c r="AN23" s="1" t="s">
        <v>164</v>
      </c>
      <c r="AO23" s="1" t="s">
        <v>164</v>
      </c>
      <c r="AP23" s="143">
        <v>0.4</v>
      </c>
      <c r="AQ23" s="1" t="s">
        <v>2764</v>
      </c>
      <c r="AR23" s="142">
        <v>135297</v>
      </c>
      <c r="AS23" s="142">
        <v>8456.06</v>
      </c>
      <c r="AT23" s="142">
        <v>2718</v>
      </c>
      <c r="AU23" s="4" t="s">
        <v>99</v>
      </c>
    </row>
    <row r="24" spans="1:47" x14ac:dyDescent="0.2">
      <c r="A24" s="174"/>
      <c r="B24" s="9" t="s">
        <v>27</v>
      </c>
      <c r="C24" s="1" t="s">
        <v>2763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2762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2701</v>
      </c>
      <c r="W24" s="142">
        <v>2701</v>
      </c>
      <c r="X24" s="142">
        <v>2701</v>
      </c>
      <c r="Y24" s="14" t="s">
        <v>2761</v>
      </c>
      <c r="Z24" s="142" t="s">
        <v>106</v>
      </c>
      <c r="AA24" s="80">
        <v>0.7</v>
      </c>
      <c r="AB24" s="1" t="s">
        <v>973</v>
      </c>
      <c r="AC24" s="1" t="s">
        <v>164</v>
      </c>
      <c r="AD24" s="1" t="s">
        <v>164</v>
      </c>
      <c r="AE24" s="143">
        <v>0.7</v>
      </c>
      <c r="AF24" s="1" t="s">
        <v>973</v>
      </c>
      <c r="AG24" s="142">
        <v>487120</v>
      </c>
      <c r="AH24" s="142">
        <v>69588.570000000007</v>
      </c>
      <c r="AI24" s="142">
        <v>17925</v>
      </c>
      <c r="AJ24" s="14" t="s">
        <v>2760</v>
      </c>
      <c r="AK24" s="142" t="s">
        <v>106</v>
      </c>
      <c r="AL24" s="80">
        <v>0.7</v>
      </c>
      <c r="AM24" s="1" t="s">
        <v>2759</v>
      </c>
      <c r="AN24" s="1" t="s">
        <v>164</v>
      </c>
      <c r="AO24" s="1" t="s">
        <v>164</v>
      </c>
      <c r="AP24" s="143">
        <v>0.7</v>
      </c>
      <c r="AQ24" s="1" t="s">
        <v>2759</v>
      </c>
      <c r="AR24" s="142">
        <v>593578</v>
      </c>
      <c r="AS24" s="142">
        <v>21199.21</v>
      </c>
      <c r="AT24" s="142">
        <v>16814.5</v>
      </c>
      <c r="AU24" s="4" t="s">
        <v>99</v>
      </c>
    </row>
    <row r="25" spans="1:47" x14ac:dyDescent="0.2">
      <c r="A25" s="174"/>
      <c r="B25" s="9" t="s">
        <v>28</v>
      </c>
      <c r="C25" s="1" t="s">
        <v>2758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8087</v>
      </c>
      <c r="L25" s="142">
        <v>8087</v>
      </c>
      <c r="M25" s="142">
        <v>8087</v>
      </c>
      <c r="N25" s="14" t="s">
        <v>2757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15980</v>
      </c>
      <c r="W25" s="142">
        <v>7990</v>
      </c>
      <c r="X25" s="142">
        <v>7990</v>
      </c>
      <c r="Y25" s="14" t="s">
        <v>2756</v>
      </c>
      <c r="Z25" s="142" t="s">
        <v>107</v>
      </c>
      <c r="AA25" s="1" t="s">
        <v>164</v>
      </c>
      <c r="AB25" s="1" t="s">
        <v>164</v>
      </c>
      <c r="AC25" s="1" t="s">
        <v>164</v>
      </c>
      <c r="AD25" s="1" t="s">
        <v>164</v>
      </c>
      <c r="AE25" s="143">
        <v>0.6</v>
      </c>
      <c r="AF25" s="1" t="s">
        <v>963</v>
      </c>
      <c r="AG25" s="142">
        <v>44748</v>
      </c>
      <c r="AH25" s="142">
        <v>7458</v>
      </c>
      <c r="AI25" s="142">
        <v>7377.5</v>
      </c>
      <c r="AJ25" s="14" t="s">
        <v>2755</v>
      </c>
      <c r="AK25" s="142" t="s">
        <v>107</v>
      </c>
      <c r="AL25" s="1" t="s">
        <v>164</v>
      </c>
      <c r="AM25" s="1" t="s">
        <v>164</v>
      </c>
      <c r="AN25" s="1" t="s">
        <v>164</v>
      </c>
      <c r="AO25" s="1" t="s">
        <v>164</v>
      </c>
      <c r="AP25" s="143">
        <v>0.6</v>
      </c>
      <c r="AQ25" s="1" t="s">
        <v>1239</v>
      </c>
      <c r="AR25" s="142">
        <v>78621</v>
      </c>
      <c r="AS25" s="142">
        <v>6551.75</v>
      </c>
      <c r="AT25" s="142">
        <v>6592</v>
      </c>
    </row>
    <row r="26" spans="1:47" x14ac:dyDescent="0.2">
      <c r="A26" s="174"/>
      <c r="B26" s="9" t="s">
        <v>112</v>
      </c>
      <c r="C26" s="1" t="s">
        <v>2754</v>
      </c>
      <c r="D26" s="142" t="s">
        <v>106</v>
      </c>
      <c r="E26" s="80">
        <v>0</v>
      </c>
      <c r="F26" s="1" t="s">
        <v>169</v>
      </c>
      <c r="G26" s="80">
        <v>1</v>
      </c>
      <c r="H26" s="1" t="s">
        <v>452</v>
      </c>
      <c r="I26" s="143">
        <v>1</v>
      </c>
      <c r="J26" s="1" t="s">
        <v>452</v>
      </c>
      <c r="K26" s="142">
        <v>138274</v>
      </c>
      <c r="L26" s="142">
        <v>138274</v>
      </c>
      <c r="M26" s="142">
        <v>138274</v>
      </c>
      <c r="N26" s="14" t="s">
        <v>2753</v>
      </c>
      <c r="O26" s="142" t="s">
        <v>106</v>
      </c>
      <c r="P26" s="80">
        <v>0</v>
      </c>
      <c r="Q26" s="1" t="s">
        <v>169</v>
      </c>
      <c r="R26" s="80">
        <v>1</v>
      </c>
      <c r="S26" s="1" t="s">
        <v>1073</v>
      </c>
      <c r="T26" s="143">
        <v>1</v>
      </c>
      <c r="U26" s="1" t="s">
        <v>1073</v>
      </c>
      <c r="V26" s="142">
        <v>242488</v>
      </c>
      <c r="W26" s="142">
        <v>121244</v>
      </c>
      <c r="X26" s="142">
        <v>121244</v>
      </c>
      <c r="Y26" s="14" t="s">
        <v>2752</v>
      </c>
      <c r="Z26" s="142" t="s">
        <v>107</v>
      </c>
      <c r="AA26" s="1" t="s">
        <v>164</v>
      </c>
      <c r="AB26" s="1" t="s">
        <v>164</v>
      </c>
      <c r="AC26" s="1" t="s">
        <v>164</v>
      </c>
      <c r="AD26" s="1" t="s">
        <v>164</v>
      </c>
      <c r="AE26" s="143">
        <v>0.1</v>
      </c>
      <c r="AF26" s="1" t="s">
        <v>1235</v>
      </c>
      <c r="AG26" s="142">
        <v>4279</v>
      </c>
      <c r="AH26" s="142">
        <v>4279</v>
      </c>
      <c r="AI26" s="142">
        <v>4279</v>
      </c>
      <c r="AJ26" s="14" t="s">
        <v>2751</v>
      </c>
      <c r="AK26" s="142" t="s">
        <v>106</v>
      </c>
      <c r="AL26" s="80">
        <v>0.2</v>
      </c>
      <c r="AM26" s="1" t="s">
        <v>930</v>
      </c>
      <c r="AN26" s="80">
        <v>0</v>
      </c>
      <c r="AO26" s="1" t="s">
        <v>213</v>
      </c>
      <c r="AP26" s="143">
        <v>0.1</v>
      </c>
      <c r="AQ26" s="1" t="s">
        <v>1233</v>
      </c>
      <c r="AR26" s="142">
        <v>6702</v>
      </c>
      <c r="AS26" s="142">
        <v>3351</v>
      </c>
      <c r="AT26" s="142">
        <v>3351</v>
      </c>
    </row>
    <row r="27" spans="1:47" x14ac:dyDescent="0.2">
      <c r="A27" s="174"/>
      <c r="B27" s="9" t="s">
        <v>29</v>
      </c>
      <c r="C27" s="1" t="s">
        <v>2750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2749</v>
      </c>
      <c r="O27" s="142" t="s">
        <v>106</v>
      </c>
      <c r="P27" s="80">
        <v>1</v>
      </c>
      <c r="Q27" s="1" t="s">
        <v>452</v>
      </c>
      <c r="R27" s="80">
        <v>0</v>
      </c>
      <c r="S27" s="1" t="s">
        <v>939</v>
      </c>
      <c r="T27" s="143">
        <v>0.33329999999999999</v>
      </c>
      <c r="U27" s="1" t="s">
        <v>932</v>
      </c>
      <c r="V27" s="142">
        <v>2686</v>
      </c>
      <c r="W27" s="142">
        <v>2686</v>
      </c>
      <c r="X27" s="142">
        <v>2686</v>
      </c>
      <c r="Y27" s="14" t="s">
        <v>2748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2747</v>
      </c>
      <c r="AK27" s="142" t="s">
        <v>106</v>
      </c>
      <c r="AL27" s="80">
        <v>1</v>
      </c>
      <c r="AM27" s="1" t="s">
        <v>452</v>
      </c>
      <c r="AN27" s="80">
        <v>0</v>
      </c>
      <c r="AO27" s="1" t="s">
        <v>939</v>
      </c>
      <c r="AP27" s="143">
        <v>0.33329999999999999</v>
      </c>
      <c r="AQ27" s="1" t="s">
        <v>932</v>
      </c>
      <c r="AR27" s="142">
        <v>2632</v>
      </c>
      <c r="AS27" s="142">
        <v>2632</v>
      </c>
      <c r="AT27" s="142">
        <v>2632</v>
      </c>
      <c r="AU27" s="4" t="s">
        <v>99</v>
      </c>
    </row>
    <row r="28" spans="1:47" x14ac:dyDescent="0.2">
      <c r="A28" s="174"/>
      <c r="B28" s="9" t="s">
        <v>30</v>
      </c>
      <c r="C28" s="1" t="s">
        <v>2746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2745</v>
      </c>
      <c r="O28" s="142" t="s">
        <v>106</v>
      </c>
      <c r="P28" s="80">
        <v>0.33329999999999999</v>
      </c>
      <c r="Q28" s="1" t="s">
        <v>932</v>
      </c>
      <c r="R28" s="1" t="s">
        <v>164</v>
      </c>
      <c r="S28" s="1" t="s">
        <v>164</v>
      </c>
      <c r="T28" s="143">
        <v>0.33329999999999999</v>
      </c>
      <c r="U28" s="1" t="s">
        <v>932</v>
      </c>
      <c r="V28" s="142">
        <v>2402</v>
      </c>
      <c r="W28" s="142">
        <v>2402</v>
      </c>
      <c r="X28" s="142">
        <v>2402</v>
      </c>
      <c r="Y28" s="14" t="s">
        <v>2744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2743</v>
      </c>
      <c r="AK28" s="142" t="s">
        <v>106</v>
      </c>
      <c r="AL28" s="80">
        <v>0.33329999999999999</v>
      </c>
      <c r="AM28" s="1" t="s">
        <v>932</v>
      </c>
      <c r="AN28" s="1" t="s">
        <v>164</v>
      </c>
      <c r="AO28" s="1" t="s">
        <v>164</v>
      </c>
      <c r="AP28" s="143">
        <v>0.33329999999999999</v>
      </c>
      <c r="AQ28" s="1" t="s">
        <v>932</v>
      </c>
      <c r="AR28" s="142">
        <v>2689</v>
      </c>
      <c r="AS28" s="142">
        <v>2689</v>
      </c>
      <c r="AT28" s="142">
        <v>2689</v>
      </c>
      <c r="AU28" s="4" t="s">
        <v>99</v>
      </c>
    </row>
    <row r="29" spans="1:47" x14ac:dyDescent="0.2">
      <c r="A29" s="174"/>
      <c r="B29" s="9" t="s">
        <v>31</v>
      </c>
      <c r="C29" s="1" t="s">
        <v>2742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3096</v>
      </c>
      <c r="L29" s="142">
        <v>3096</v>
      </c>
      <c r="M29" s="142">
        <v>3096</v>
      </c>
      <c r="N29" s="14" t="s">
        <v>2741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3078</v>
      </c>
      <c r="W29" s="142">
        <v>3078</v>
      </c>
      <c r="X29" s="142">
        <v>3078</v>
      </c>
      <c r="Y29" s="14" t="s">
        <v>2740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29878</v>
      </c>
      <c r="AH29" s="142">
        <v>2987.8</v>
      </c>
      <c r="AI29" s="142">
        <v>2977</v>
      </c>
      <c r="AJ29" s="14" t="s">
        <v>2739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29722</v>
      </c>
      <c r="AS29" s="142">
        <v>2972.2</v>
      </c>
      <c r="AT29" s="142">
        <v>2966.5</v>
      </c>
    </row>
    <row r="30" spans="1:47" x14ac:dyDescent="0.2">
      <c r="A30" s="174"/>
      <c r="B30" s="9" t="s">
        <v>32</v>
      </c>
      <c r="C30" s="1" t="s">
        <v>4012</v>
      </c>
      <c r="D30" s="142" t="s">
        <v>106</v>
      </c>
      <c r="E30" s="80">
        <v>0</v>
      </c>
      <c r="F30" s="1" t="s">
        <v>163</v>
      </c>
      <c r="G30" s="1" t="s">
        <v>164</v>
      </c>
      <c r="H30" s="1" t="s">
        <v>164</v>
      </c>
      <c r="I30" s="143">
        <v>0</v>
      </c>
      <c r="J30" s="1" t="s">
        <v>163</v>
      </c>
      <c r="K30" s="142">
        <v>0</v>
      </c>
      <c r="L30" s="142">
        <v>0</v>
      </c>
      <c r="M30" s="142">
        <v>0</v>
      </c>
      <c r="N30" s="14" t="s">
        <v>4011</v>
      </c>
      <c r="O30" s="142" t="s">
        <v>106</v>
      </c>
      <c r="P30" s="80">
        <v>0</v>
      </c>
      <c r="Q30" s="1" t="s">
        <v>163</v>
      </c>
      <c r="R30" s="1" t="s">
        <v>164</v>
      </c>
      <c r="S30" s="1" t="s">
        <v>164</v>
      </c>
      <c r="T30" s="143">
        <v>0</v>
      </c>
      <c r="U30" s="1" t="s">
        <v>163</v>
      </c>
      <c r="V30" s="142">
        <v>0</v>
      </c>
      <c r="W30" s="142">
        <v>0</v>
      </c>
      <c r="X30" s="142">
        <v>0</v>
      </c>
      <c r="Y30" s="14" t="s">
        <v>4010</v>
      </c>
      <c r="Z30" s="142" t="s">
        <v>106</v>
      </c>
      <c r="AA30" s="80">
        <v>0.5</v>
      </c>
      <c r="AB30" s="1" t="s">
        <v>511</v>
      </c>
      <c r="AC30" s="1" t="s">
        <v>164</v>
      </c>
      <c r="AD30" s="1" t="s">
        <v>164</v>
      </c>
      <c r="AE30" s="143">
        <v>0.5</v>
      </c>
      <c r="AF30" s="1" t="s">
        <v>511</v>
      </c>
      <c r="AG30" s="142">
        <v>14384</v>
      </c>
      <c r="AH30" s="142">
        <v>2876.8</v>
      </c>
      <c r="AI30" s="142">
        <v>2870</v>
      </c>
      <c r="AJ30" s="14" t="s">
        <v>4009</v>
      </c>
      <c r="AK30" s="142" t="s">
        <v>106</v>
      </c>
      <c r="AL30" s="80">
        <v>0.5</v>
      </c>
      <c r="AM30" s="1" t="s">
        <v>511</v>
      </c>
      <c r="AN30" s="1" t="s">
        <v>164</v>
      </c>
      <c r="AO30" s="1" t="s">
        <v>164</v>
      </c>
      <c r="AP30" s="143">
        <v>0.5</v>
      </c>
      <c r="AQ30" s="1" t="s">
        <v>511</v>
      </c>
      <c r="AR30" s="142">
        <v>14249</v>
      </c>
      <c r="AS30" s="142">
        <v>2849.8</v>
      </c>
      <c r="AT30" s="142">
        <v>2860</v>
      </c>
    </row>
    <row r="31" spans="1:47" x14ac:dyDescent="0.2">
      <c r="A31" s="174"/>
      <c r="B31" s="9" t="s">
        <v>35</v>
      </c>
      <c r="C31" s="1" t="s">
        <v>2738</v>
      </c>
      <c r="D31" s="142" t="s">
        <v>106</v>
      </c>
      <c r="E31" s="80">
        <v>0</v>
      </c>
      <c r="F31" s="1" t="s">
        <v>169</v>
      </c>
      <c r="G31" s="80">
        <v>1</v>
      </c>
      <c r="H31" s="1" t="s">
        <v>452</v>
      </c>
      <c r="I31" s="143">
        <v>1</v>
      </c>
      <c r="J31" s="1" t="s">
        <v>452</v>
      </c>
      <c r="K31" s="142">
        <v>2308</v>
      </c>
      <c r="L31" s="142">
        <v>2308</v>
      </c>
      <c r="M31" s="142">
        <v>2308</v>
      </c>
      <c r="N31" s="14" t="s">
        <v>2737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4097</v>
      </c>
      <c r="W31" s="142">
        <v>4097</v>
      </c>
      <c r="X31" s="142">
        <v>4097</v>
      </c>
      <c r="Y31" s="14" t="s">
        <v>2736</v>
      </c>
      <c r="Z31" s="142" t="s">
        <v>106</v>
      </c>
      <c r="AA31" s="80">
        <v>1</v>
      </c>
      <c r="AB31" s="1" t="s">
        <v>516</v>
      </c>
      <c r="AC31" s="80">
        <v>0.8</v>
      </c>
      <c r="AD31" s="1" t="s">
        <v>506</v>
      </c>
      <c r="AE31" s="143">
        <v>0.9</v>
      </c>
      <c r="AF31" s="1" t="s">
        <v>951</v>
      </c>
      <c r="AG31" s="142">
        <v>59682</v>
      </c>
      <c r="AH31" s="142">
        <v>6631.33</v>
      </c>
      <c r="AI31" s="142">
        <v>4998</v>
      </c>
      <c r="AJ31" s="14" t="s">
        <v>2735</v>
      </c>
      <c r="AK31" s="142" t="s">
        <v>106</v>
      </c>
      <c r="AL31" s="80">
        <v>1</v>
      </c>
      <c r="AM31" s="1" t="s">
        <v>516</v>
      </c>
      <c r="AN31" s="80">
        <v>0.8</v>
      </c>
      <c r="AO31" s="1" t="s">
        <v>506</v>
      </c>
      <c r="AP31" s="143">
        <v>0.9</v>
      </c>
      <c r="AQ31" s="1" t="s">
        <v>951</v>
      </c>
      <c r="AR31" s="142">
        <v>65995</v>
      </c>
      <c r="AS31" s="142">
        <v>7332.78</v>
      </c>
      <c r="AT31" s="142">
        <v>6332</v>
      </c>
      <c r="AU31" s="4" t="s">
        <v>102</v>
      </c>
    </row>
    <row r="32" spans="1:47" x14ac:dyDescent="0.2">
      <c r="A32" s="174"/>
      <c r="B32" s="9" t="s">
        <v>36</v>
      </c>
      <c r="C32" s="1" t="s">
        <v>2734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5307</v>
      </c>
      <c r="L32" s="142">
        <v>5307</v>
      </c>
      <c r="M32" s="142">
        <v>5307</v>
      </c>
      <c r="N32" s="14" t="s">
        <v>2733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3971</v>
      </c>
      <c r="W32" s="142">
        <v>3971</v>
      </c>
      <c r="X32" s="142">
        <v>3971</v>
      </c>
      <c r="Y32" s="14" t="s">
        <v>2732</v>
      </c>
      <c r="Z32" s="142" t="s">
        <v>106</v>
      </c>
      <c r="AA32" s="80">
        <v>0.7</v>
      </c>
      <c r="AB32" s="1" t="s">
        <v>973</v>
      </c>
      <c r="AC32" s="1" t="s">
        <v>164</v>
      </c>
      <c r="AD32" s="1" t="s">
        <v>164</v>
      </c>
      <c r="AE32" s="143">
        <v>0.7</v>
      </c>
      <c r="AF32" s="1" t="s">
        <v>973</v>
      </c>
      <c r="AG32" s="142">
        <v>46124</v>
      </c>
      <c r="AH32" s="142">
        <v>6589.14</v>
      </c>
      <c r="AI32" s="142">
        <v>6988</v>
      </c>
      <c r="AJ32" s="14" t="s">
        <v>2731</v>
      </c>
      <c r="AK32" s="142" t="s">
        <v>106</v>
      </c>
      <c r="AL32" s="80">
        <v>0.7</v>
      </c>
      <c r="AM32" s="1" t="s">
        <v>973</v>
      </c>
      <c r="AN32" s="1" t="s">
        <v>164</v>
      </c>
      <c r="AO32" s="1" t="s">
        <v>164</v>
      </c>
      <c r="AP32" s="143">
        <v>0.7</v>
      </c>
      <c r="AQ32" s="1" t="s">
        <v>973</v>
      </c>
      <c r="AR32" s="142">
        <v>43713</v>
      </c>
      <c r="AS32" s="142">
        <v>6244.71</v>
      </c>
      <c r="AT32" s="142">
        <v>6492</v>
      </c>
      <c r="AU32" s="4" t="s">
        <v>102</v>
      </c>
    </row>
    <row r="33" spans="1:47" x14ac:dyDescent="0.2">
      <c r="A33" s="174"/>
      <c r="B33" s="9" t="s">
        <v>37</v>
      </c>
      <c r="C33" s="1" t="s">
        <v>2730</v>
      </c>
      <c r="D33" s="142" t="s">
        <v>106</v>
      </c>
      <c r="E33" s="80">
        <v>0</v>
      </c>
      <c r="F33" s="1" t="s">
        <v>169</v>
      </c>
      <c r="G33" s="80">
        <v>0</v>
      </c>
      <c r="H33" s="1" t="s">
        <v>163</v>
      </c>
      <c r="I33" s="143">
        <v>0</v>
      </c>
      <c r="J33" s="1" t="s">
        <v>163</v>
      </c>
      <c r="K33" s="142">
        <v>0</v>
      </c>
      <c r="L33" s="142">
        <v>0</v>
      </c>
      <c r="M33" s="142">
        <v>0</v>
      </c>
      <c r="N33" s="14" t="s">
        <v>2729</v>
      </c>
      <c r="O33" s="142" t="s">
        <v>106</v>
      </c>
      <c r="P33" s="80">
        <v>0</v>
      </c>
      <c r="Q33" s="1" t="s">
        <v>169</v>
      </c>
      <c r="R33" s="80">
        <v>0</v>
      </c>
      <c r="S33" s="1" t="s">
        <v>163</v>
      </c>
      <c r="T33" s="143">
        <v>0</v>
      </c>
      <c r="U33" s="1" t="s">
        <v>163</v>
      </c>
      <c r="V33" s="142">
        <v>0</v>
      </c>
      <c r="W33" s="142">
        <v>0</v>
      </c>
      <c r="X33" s="142">
        <v>0</v>
      </c>
      <c r="Y33" s="14" t="s">
        <v>2728</v>
      </c>
      <c r="Z33" s="142" t="s">
        <v>106</v>
      </c>
      <c r="AA33" s="80">
        <v>0.8</v>
      </c>
      <c r="AB33" s="1" t="s">
        <v>506</v>
      </c>
      <c r="AC33" s="80">
        <v>0</v>
      </c>
      <c r="AD33" s="1" t="s">
        <v>218</v>
      </c>
      <c r="AE33" s="143">
        <v>0.4</v>
      </c>
      <c r="AF33" s="1" t="s">
        <v>501</v>
      </c>
      <c r="AG33" s="142">
        <v>23128</v>
      </c>
      <c r="AH33" s="142">
        <v>5782</v>
      </c>
      <c r="AI33" s="142">
        <v>4758.5</v>
      </c>
      <c r="AJ33" s="14" t="s">
        <v>2727</v>
      </c>
      <c r="AK33" s="142" t="s">
        <v>106</v>
      </c>
      <c r="AL33" s="80">
        <v>0</v>
      </c>
      <c r="AM33" s="1" t="s">
        <v>218</v>
      </c>
      <c r="AN33" s="80">
        <v>0</v>
      </c>
      <c r="AO33" s="1" t="s">
        <v>218</v>
      </c>
      <c r="AP33" s="143">
        <v>0</v>
      </c>
      <c r="AQ33" s="1" t="s">
        <v>213</v>
      </c>
      <c r="AR33" s="142">
        <v>0</v>
      </c>
      <c r="AS33" s="142">
        <v>0</v>
      </c>
      <c r="AT33" s="142">
        <v>0</v>
      </c>
      <c r="AU33" s="4" t="s">
        <v>102</v>
      </c>
    </row>
    <row r="34" spans="1:47" x14ac:dyDescent="0.2">
      <c r="A34" s="174"/>
      <c r="B34" s="9" t="s">
        <v>38</v>
      </c>
      <c r="C34" s="1" t="s">
        <v>2726</v>
      </c>
      <c r="D34" s="142" t="s">
        <v>106</v>
      </c>
      <c r="E34" s="80">
        <v>0</v>
      </c>
      <c r="F34" s="1" t="s">
        <v>163</v>
      </c>
      <c r="G34" s="1" t="s">
        <v>164</v>
      </c>
      <c r="H34" s="1" t="s">
        <v>164</v>
      </c>
      <c r="I34" s="143">
        <v>0</v>
      </c>
      <c r="J34" s="1" t="s">
        <v>163</v>
      </c>
      <c r="K34" s="142">
        <v>0</v>
      </c>
      <c r="L34" s="142">
        <v>0</v>
      </c>
      <c r="M34" s="142">
        <v>0</v>
      </c>
      <c r="N34" s="14" t="s">
        <v>2725</v>
      </c>
      <c r="O34" s="142" t="s">
        <v>106</v>
      </c>
      <c r="P34" s="80">
        <v>0</v>
      </c>
      <c r="Q34" s="1" t="s">
        <v>163</v>
      </c>
      <c r="R34" s="1" t="s">
        <v>164</v>
      </c>
      <c r="S34" s="1" t="s">
        <v>164</v>
      </c>
      <c r="T34" s="143">
        <v>0</v>
      </c>
      <c r="U34" s="1" t="s">
        <v>163</v>
      </c>
      <c r="V34" s="142">
        <v>0</v>
      </c>
      <c r="W34" s="142">
        <v>0</v>
      </c>
      <c r="X34" s="142">
        <v>0</v>
      </c>
      <c r="Y34" s="14" t="s">
        <v>2724</v>
      </c>
      <c r="Z34" s="142" t="s">
        <v>106</v>
      </c>
      <c r="AA34" s="80">
        <v>0.5</v>
      </c>
      <c r="AB34" s="1" t="s">
        <v>511</v>
      </c>
      <c r="AC34" s="1" t="s">
        <v>164</v>
      </c>
      <c r="AD34" s="1" t="s">
        <v>164</v>
      </c>
      <c r="AE34" s="143">
        <v>0.5</v>
      </c>
      <c r="AF34" s="1" t="s">
        <v>511</v>
      </c>
      <c r="AG34" s="142">
        <v>32833</v>
      </c>
      <c r="AH34" s="142">
        <v>6566.6</v>
      </c>
      <c r="AI34" s="142">
        <v>6901</v>
      </c>
      <c r="AJ34" s="14" t="s">
        <v>2723</v>
      </c>
      <c r="AK34" s="142" t="s">
        <v>106</v>
      </c>
      <c r="AL34" s="80">
        <v>0.4</v>
      </c>
      <c r="AM34" s="1" t="s">
        <v>501</v>
      </c>
      <c r="AN34" s="1" t="s">
        <v>164</v>
      </c>
      <c r="AO34" s="1" t="s">
        <v>164</v>
      </c>
      <c r="AP34" s="143">
        <v>0.4</v>
      </c>
      <c r="AQ34" s="1" t="s">
        <v>501</v>
      </c>
      <c r="AR34" s="142">
        <v>34417</v>
      </c>
      <c r="AS34" s="142">
        <v>8604.25</v>
      </c>
      <c r="AT34" s="142">
        <v>8299</v>
      </c>
      <c r="AU34" s="4" t="s">
        <v>102</v>
      </c>
    </row>
    <row r="35" spans="1:47" x14ac:dyDescent="0.2">
      <c r="A35" s="174"/>
      <c r="B35" s="9" t="s">
        <v>39</v>
      </c>
      <c r="C35" s="1" t="s">
        <v>2722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2214</v>
      </c>
      <c r="L35" s="142">
        <v>2214</v>
      </c>
      <c r="M35" s="142">
        <v>2214</v>
      </c>
      <c r="N35" s="14" t="s">
        <v>2721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2180</v>
      </c>
      <c r="W35" s="142">
        <v>2180</v>
      </c>
      <c r="X35" s="142">
        <v>2180</v>
      </c>
      <c r="Y35" s="14" t="s">
        <v>2720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49655</v>
      </c>
      <c r="AH35" s="142">
        <v>4965.5</v>
      </c>
      <c r="AI35" s="142">
        <v>4187.5</v>
      </c>
      <c r="AJ35" s="14" t="s">
        <v>2719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42197</v>
      </c>
      <c r="AS35" s="142">
        <v>4219.7</v>
      </c>
      <c r="AT35" s="142">
        <v>4090</v>
      </c>
      <c r="AU35" s="4" t="s">
        <v>102</v>
      </c>
    </row>
    <row r="36" spans="1:47" x14ac:dyDescent="0.2">
      <c r="A36" s="174"/>
      <c r="B36" s="9" t="s">
        <v>40</v>
      </c>
      <c r="C36" s="1" t="s">
        <v>4008</v>
      </c>
      <c r="D36" s="142" t="s">
        <v>106</v>
      </c>
      <c r="E36" s="80">
        <v>0</v>
      </c>
      <c r="F36" s="1" t="s">
        <v>169</v>
      </c>
      <c r="G36" s="80">
        <v>0</v>
      </c>
      <c r="H36" s="1" t="s">
        <v>163</v>
      </c>
      <c r="I36" s="143">
        <v>0</v>
      </c>
      <c r="J36" s="1" t="s">
        <v>163</v>
      </c>
      <c r="K36" s="142">
        <v>0</v>
      </c>
      <c r="L36" s="142">
        <v>0</v>
      </c>
      <c r="M36" s="142">
        <v>0</v>
      </c>
      <c r="N36" s="14" t="s">
        <v>4007</v>
      </c>
      <c r="O36" s="142" t="s">
        <v>106</v>
      </c>
      <c r="P36" s="80">
        <v>0</v>
      </c>
      <c r="Q36" s="1" t="s">
        <v>169</v>
      </c>
      <c r="R36" s="80">
        <v>0</v>
      </c>
      <c r="S36" s="1" t="s">
        <v>163</v>
      </c>
      <c r="T36" s="143">
        <v>0</v>
      </c>
      <c r="U36" s="1" t="s">
        <v>163</v>
      </c>
      <c r="V36" s="142">
        <v>0</v>
      </c>
      <c r="W36" s="142">
        <v>0</v>
      </c>
      <c r="X36" s="142">
        <v>0</v>
      </c>
      <c r="Y36" s="14" t="s">
        <v>4006</v>
      </c>
      <c r="Z36" s="142" t="s">
        <v>106</v>
      </c>
      <c r="AA36" s="80">
        <v>1</v>
      </c>
      <c r="AB36" s="1" t="s">
        <v>516</v>
      </c>
      <c r="AC36" s="80">
        <v>0</v>
      </c>
      <c r="AD36" s="1" t="s">
        <v>218</v>
      </c>
      <c r="AE36" s="143">
        <v>0.5</v>
      </c>
      <c r="AF36" s="1" t="s">
        <v>511</v>
      </c>
      <c r="AG36" s="142">
        <v>17804</v>
      </c>
      <c r="AH36" s="142">
        <v>3560.8</v>
      </c>
      <c r="AI36" s="142">
        <v>3569</v>
      </c>
      <c r="AJ36" s="14" t="s">
        <v>4005</v>
      </c>
      <c r="AK36" s="142" t="s">
        <v>106</v>
      </c>
      <c r="AL36" s="80">
        <v>1</v>
      </c>
      <c r="AM36" s="1" t="s">
        <v>516</v>
      </c>
      <c r="AN36" s="80">
        <v>0</v>
      </c>
      <c r="AO36" s="1" t="s">
        <v>218</v>
      </c>
      <c r="AP36" s="143">
        <v>0.5</v>
      </c>
      <c r="AQ36" s="1" t="s">
        <v>511</v>
      </c>
      <c r="AR36" s="142">
        <v>12770</v>
      </c>
      <c r="AS36" s="142">
        <v>2554</v>
      </c>
      <c r="AT36" s="142">
        <v>2558</v>
      </c>
    </row>
    <row r="37" spans="1:47" x14ac:dyDescent="0.2">
      <c r="A37" s="174"/>
      <c r="B37" s="9" t="s">
        <v>41</v>
      </c>
      <c r="C37" s="1" t="s">
        <v>2718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2991</v>
      </c>
      <c r="L37" s="142">
        <v>2991</v>
      </c>
      <c r="M37" s="142">
        <v>2991</v>
      </c>
      <c r="N37" s="14" t="s">
        <v>2717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2953</v>
      </c>
      <c r="W37" s="142">
        <v>2953</v>
      </c>
      <c r="X37" s="142">
        <v>2953</v>
      </c>
      <c r="Y37" s="14" t="s">
        <v>2716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25307</v>
      </c>
      <c r="AH37" s="142">
        <v>2530.6999999999998</v>
      </c>
      <c r="AI37" s="142">
        <v>2372.5</v>
      </c>
      <c r="AJ37" s="14" t="s">
        <v>2715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25754</v>
      </c>
      <c r="AS37" s="142">
        <v>2575.4</v>
      </c>
      <c r="AT37" s="142">
        <v>2423.5</v>
      </c>
    </row>
    <row r="38" spans="1:47" x14ac:dyDescent="0.2">
      <c r="A38" s="174"/>
      <c r="B38" s="9" t="s">
        <v>42</v>
      </c>
      <c r="C38" s="1" t="s">
        <v>2714</v>
      </c>
      <c r="D38" s="142" t="s">
        <v>106</v>
      </c>
      <c r="E38" s="80">
        <v>0</v>
      </c>
      <c r="F38" s="1" t="s">
        <v>169</v>
      </c>
      <c r="G38" s="80">
        <v>1</v>
      </c>
      <c r="H38" s="1" t="s">
        <v>452</v>
      </c>
      <c r="I38" s="143">
        <v>1</v>
      </c>
      <c r="J38" s="1" t="s">
        <v>452</v>
      </c>
      <c r="K38" s="142">
        <v>2470</v>
      </c>
      <c r="L38" s="142">
        <v>2470</v>
      </c>
      <c r="M38" s="142">
        <v>2470</v>
      </c>
      <c r="N38" s="14" t="s">
        <v>2713</v>
      </c>
      <c r="O38" s="142" t="s">
        <v>106</v>
      </c>
      <c r="P38" s="80">
        <v>0</v>
      </c>
      <c r="Q38" s="1" t="s">
        <v>169</v>
      </c>
      <c r="R38" s="80">
        <v>1</v>
      </c>
      <c r="S38" s="1" t="s">
        <v>452</v>
      </c>
      <c r="T38" s="143">
        <v>1</v>
      </c>
      <c r="U38" s="1" t="s">
        <v>452</v>
      </c>
      <c r="V38" s="142">
        <v>2179</v>
      </c>
      <c r="W38" s="142">
        <v>2179</v>
      </c>
      <c r="X38" s="142">
        <v>2179</v>
      </c>
      <c r="Y38" s="14" t="s">
        <v>2712</v>
      </c>
      <c r="Z38" s="142" t="s">
        <v>106</v>
      </c>
      <c r="AA38" s="80">
        <v>1</v>
      </c>
      <c r="AB38" s="1" t="s">
        <v>516</v>
      </c>
      <c r="AC38" s="80">
        <v>0.4</v>
      </c>
      <c r="AD38" s="1" t="s">
        <v>974</v>
      </c>
      <c r="AE38" s="143">
        <v>0.7</v>
      </c>
      <c r="AF38" s="1" t="s">
        <v>973</v>
      </c>
      <c r="AG38" s="142">
        <v>20371</v>
      </c>
      <c r="AH38" s="142">
        <v>2910.14</v>
      </c>
      <c r="AI38" s="142">
        <v>3030</v>
      </c>
      <c r="AJ38" s="14" t="s">
        <v>2711</v>
      </c>
      <c r="AK38" s="142" t="s">
        <v>106</v>
      </c>
      <c r="AL38" s="80">
        <v>1</v>
      </c>
      <c r="AM38" s="1" t="s">
        <v>516</v>
      </c>
      <c r="AN38" s="80">
        <v>0.4</v>
      </c>
      <c r="AO38" s="1" t="s">
        <v>974</v>
      </c>
      <c r="AP38" s="143">
        <v>0.7</v>
      </c>
      <c r="AQ38" s="1" t="s">
        <v>973</v>
      </c>
      <c r="AR38" s="142">
        <v>18468</v>
      </c>
      <c r="AS38" s="142">
        <v>2638.29</v>
      </c>
      <c r="AT38" s="142">
        <v>2795</v>
      </c>
      <c r="AU38" s="4" t="s">
        <v>97</v>
      </c>
    </row>
    <row r="39" spans="1:47" x14ac:dyDescent="0.2">
      <c r="A39" s="174"/>
      <c r="B39" s="9" t="s">
        <v>43</v>
      </c>
      <c r="C39" s="1" t="s">
        <v>2710</v>
      </c>
      <c r="D39" s="142" t="s">
        <v>106</v>
      </c>
      <c r="E39" s="80">
        <v>1</v>
      </c>
      <c r="F39" s="1" t="s">
        <v>452</v>
      </c>
      <c r="G39" s="1" t="s">
        <v>164</v>
      </c>
      <c r="H39" s="1" t="s">
        <v>164</v>
      </c>
      <c r="I39" s="143">
        <v>1</v>
      </c>
      <c r="J39" s="1" t="s">
        <v>452</v>
      </c>
      <c r="K39" s="142">
        <v>3026</v>
      </c>
      <c r="L39" s="142">
        <v>3026</v>
      </c>
      <c r="M39" s="142">
        <v>3026</v>
      </c>
      <c r="N39" s="14" t="s">
        <v>2709</v>
      </c>
      <c r="O39" s="142" t="s">
        <v>106</v>
      </c>
      <c r="P39" s="80">
        <v>1</v>
      </c>
      <c r="Q39" s="1" t="s">
        <v>452</v>
      </c>
      <c r="R39" s="1" t="s">
        <v>164</v>
      </c>
      <c r="S39" s="1" t="s">
        <v>164</v>
      </c>
      <c r="T39" s="143">
        <v>1</v>
      </c>
      <c r="U39" s="1" t="s">
        <v>452</v>
      </c>
      <c r="V39" s="142">
        <v>2526</v>
      </c>
      <c r="W39" s="142">
        <v>2526</v>
      </c>
      <c r="X39" s="142">
        <v>2526</v>
      </c>
      <c r="Y39" s="14" t="s">
        <v>2708</v>
      </c>
      <c r="Z39" s="142" t="s">
        <v>106</v>
      </c>
      <c r="AA39" s="80">
        <v>1</v>
      </c>
      <c r="AB39" s="1" t="s">
        <v>529</v>
      </c>
      <c r="AC39" s="1" t="s">
        <v>164</v>
      </c>
      <c r="AD39" s="1" t="s">
        <v>164</v>
      </c>
      <c r="AE39" s="143">
        <v>1</v>
      </c>
      <c r="AF39" s="1" t="s">
        <v>529</v>
      </c>
      <c r="AG39" s="142">
        <v>26727</v>
      </c>
      <c r="AH39" s="142">
        <v>2672.7</v>
      </c>
      <c r="AI39" s="142">
        <v>2440</v>
      </c>
      <c r="AJ39" s="14" t="s">
        <v>2707</v>
      </c>
      <c r="AK39" s="142" t="s">
        <v>106</v>
      </c>
      <c r="AL39" s="80">
        <v>1</v>
      </c>
      <c r="AM39" s="1" t="s">
        <v>529</v>
      </c>
      <c r="AN39" s="1" t="s">
        <v>164</v>
      </c>
      <c r="AO39" s="1" t="s">
        <v>164</v>
      </c>
      <c r="AP39" s="143">
        <v>1</v>
      </c>
      <c r="AQ39" s="1" t="s">
        <v>529</v>
      </c>
      <c r="AR39" s="142">
        <v>24878</v>
      </c>
      <c r="AS39" s="142">
        <v>2487.8000000000002</v>
      </c>
      <c r="AT39" s="142">
        <v>2290.5</v>
      </c>
      <c r="AU39" s="4" t="s">
        <v>97</v>
      </c>
    </row>
    <row r="40" spans="1:47" x14ac:dyDescent="0.2">
      <c r="A40" s="174"/>
      <c r="B40" s="9" t="s">
        <v>44</v>
      </c>
      <c r="C40" s="1" t="s">
        <v>2706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2705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2704</v>
      </c>
      <c r="Z40" s="142" t="s">
        <v>106</v>
      </c>
      <c r="AA40" s="80">
        <v>0.2</v>
      </c>
      <c r="AB40" s="1" t="s">
        <v>1049</v>
      </c>
      <c r="AC40" s="80">
        <v>0</v>
      </c>
      <c r="AD40" s="1" t="s">
        <v>218</v>
      </c>
      <c r="AE40" s="143">
        <v>0.1</v>
      </c>
      <c r="AF40" s="1" t="s">
        <v>1235</v>
      </c>
      <c r="AG40" s="142">
        <v>14846</v>
      </c>
      <c r="AH40" s="142">
        <v>14846</v>
      </c>
      <c r="AI40" s="142">
        <v>14846</v>
      </c>
      <c r="AJ40" s="14" t="s">
        <v>2703</v>
      </c>
      <c r="AK40" s="142" t="s">
        <v>106</v>
      </c>
      <c r="AL40" s="80">
        <v>0.2</v>
      </c>
      <c r="AM40" s="1" t="s">
        <v>2702</v>
      </c>
      <c r="AN40" s="80">
        <v>0</v>
      </c>
      <c r="AO40" s="1" t="s">
        <v>1176</v>
      </c>
      <c r="AP40" s="143">
        <v>0.1</v>
      </c>
      <c r="AQ40" s="1" t="s">
        <v>2701</v>
      </c>
      <c r="AR40" s="142">
        <v>60561</v>
      </c>
      <c r="AS40" s="142">
        <v>15140.25</v>
      </c>
      <c r="AT40" s="142">
        <v>15087.5</v>
      </c>
      <c r="AU40" s="4" t="s">
        <v>94</v>
      </c>
    </row>
    <row r="41" spans="1:47" x14ac:dyDescent="0.2">
      <c r="A41" s="174"/>
      <c r="B41" s="9" t="s">
        <v>45</v>
      </c>
      <c r="C41" s="1" t="s">
        <v>2700</v>
      </c>
      <c r="D41" s="142" t="s">
        <v>106</v>
      </c>
      <c r="E41" s="80">
        <v>1</v>
      </c>
      <c r="F41" s="1" t="s">
        <v>452</v>
      </c>
      <c r="G41" s="1" t="s">
        <v>164</v>
      </c>
      <c r="H41" s="1" t="s">
        <v>164</v>
      </c>
      <c r="I41" s="143">
        <v>1</v>
      </c>
      <c r="J41" s="1" t="s">
        <v>452</v>
      </c>
      <c r="K41" s="142">
        <v>15450</v>
      </c>
      <c r="L41" s="142">
        <v>15450</v>
      </c>
      <c r="M41" s="142">
        <v>15450</v>
      </c>
      <c r="N41" s="14" t="s">
        <v>2699</v>
      </c>
      <c r="O41" s="142" t="s">
        <v>106</v>
      </c>
      <c r="P41" s="80">
        <v>1</v>
      </c>
      <c r="Q41" s="1" t="s">
        <v>1280</v>
      </c>
      <c r="R41" s="1" t="s">
        <v>164</v>
      </c>
      <c r="S41" s="1" t="s">
        <v>164</v>
      </c>
      <c r="T41" s="143">
        <v>1</v>
      </c>
      <c r="U41" s="1" t="s">
        <v>1280</v>
      </c>
      <c r="V41" s="142">
        <v>61698</v>
      </c>
      <c r="W41" s="142">
        <v>15424.5</v>
      </c>
      <c r="X41" s="142">
        <v>15454.5</v>
      </c>
      <c r="Y41" s="14" t="s">
        <v>2698</v>
      </c>
      <c r="Z41" s="142" t="s">
        <v>106</v>
      </c>
      <c r="AA41" s="80">
        <v>0.2</v>
      </c>
      <c r="AB41" s="1" t="s">
        <v>930</v>
      </c>
      <c r="AC41" s="1" t="s">
        <v>164</v>
      </c>
      <c r="AD41" s="1" t="s">
        <v>164</v>
      </c>
      <c r="AE41" s="143">
        <v>0.2</v>
      </c>
      <c r="AF41" s="1" t="s">
        <v>930</v>
      </c>
      <c r="AG41" s="142">
        <v>159580</v>
      </c>
      <c r="AH41" s="142">
        <v>79790</v>
      </c>
      <c r="AI41" s="142">
        <v>79790</v>
      </c>
      <c r="AJ41" s="14" t="s">
        <v>2697</v>
      </c>
      <c r="AK41" s="142" t="s">
        <v>106</v>
      </c>
      <c r="AL41" s="80">
        <v>0.2</v>
      </c>
      <c r="AM41" s="1" t="s">
        <v>2696</v>
      </c>
      <c r="AN41" s="1" t="s">
        <v>164</v>
      </c>
      <c r="AO41" s="1" t="s">
        <v>164</v>
      </c>
      <c r="AP41" s="143">
        <v>0.2</v>
      </c>
      <c r="AQ41" s="1" t="s">
        <v>2696</v>
      </c>
      <c r="AR41" s="142">
        <v>717032</v>
      </c>
      <c r="AS41" s="142">
        <v>89629</v>
      </c>
      <c r="AT41" s="142">
        <v>59982.5</v>
      </c>
      <c r="AU41" s="4" t="s">
        <v>94</v>
      </c>
    </row>
    <row r="42" spans="1:47" x14ac:dyDescent="0.2">
      <c r="A42" s="174"/>
      <c r="B42" s="9" t="s">
        <v>46</v>
      </c>
      <c r="C42" s="1" t="s">
        <v>2695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2694</v>
      </c>
      <c r="O42" s="142" t="s">
        <v>106</v>
      </c>
      <c r="P42" s="80">
        <v>0.5</v>
      </c>
      <c r="Q42" s="1" t="s">
        <v>1108</v>
      </c>
      <c r="R42" s="80">
        <v>0</v>
      </c>
      <c r="S42" s="1" t="s">
        <v>163</v>
      </c>
      <c r="T42" s="143">
        <v>0.33329999999999999</v>
      </c>
      <c r="U42" s="1" t="s">
        <v>932</v>
      </c>
      <c r="V42" s="142">
        <v>3247</v>
      </c>
      <c r="W42" s="142">
        <v>3247</v>
      </c>
      <c r="X42" s="142">
        <v>3247</v>
      </c>
      <c r="Y42" s="14" t="s">
        <v>2693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13517</v>
      </c>
      <c r="AH42" s="142">
        <v>2703.4</v>
      </c>
      <c r="AI42" s="142">
        <v>2696</v>
      </c>
      <c r="AJ42" s="14" t="s">
        <v>2692</v>
      </c>
      <c r="AK42" s="142" t="s">
        <v>106</v>
      </c>
      <c r="AL42" s="80">
        <v>0.84</v>
      </c>
      <c r="AM42" s="1" t="s">
        <v>2691</v>
      </c>
      <c r="AN42" s="80">
        <v>0</v>
      </c>
      <c r="AO42" s="1" t="s">
        <v>218</v>
      </c>
      <c r="AP42" s="143">
        <v>0.7</v>
      </c>
      <c r="AQ42" s="1" t="s">
        <v>2690</v>
      </c>
      <c r="AR42" s="142">
        <v>56491</v>
      </c>
      <c r="AS42" s="142">
        <v>2690.05</v>
      </c>
      <c r="AT42" s="142">
        <v>2572</v>
      </c>
      <c r="AU42" s="4" t="s">
        <v>98</v>
      </c>
    </row>
    <row r="43" spans="1:47" x14ac:dyDescent="0.2">
      <c r="A43" s="174"/>
      <c r="B43" s="9" t="s">
        <v>47</v>
      </c>
      <c r="C43" s="1" t="s">
        <v>2689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2688</v>
      </c>
      <c r="O43" s="142" t="s">
        <v>106</v>
      </c>
      <c r="P43" s="80">
        <v>0.33329999999999999</v>
      </c>
      <c r="Q43" s="1" t="s">
        <v>932</v>
      </c>
      <c r="R43" s="1" t="s">
        <v>164</v>
      </c>
      <c r="S43" s="1" t="s">
        <v>164</v>
      </c>
      <c r="T43" s="143">
        <v>0.33329999999999999</v>
      </c>
      <c r="U43" s="1" t="s">
        <v>932</v>
      </c>
      <c r="V43" s="142">
        <v>3421</v>
      </c>
      <c r="W43" s="142">
        <v>3421</v>
      </c>
      <c r="X43" s="142">
        <v>3421</v>
      </c>
      <c r="Y43" s="14" t="s">
        <v>2687</v>
      </c>
      <c r="Z43" s="142" t="s">
        <v>106</v>
      </c>
      <c r="AA43" s="80">
        <v>0.7</v>
      </c>
      <c r="AB43" s="1" t="s">
        <v>973</v>
      </c>
      <c r="AC43" s="1" t="s">
        <v>164</v>
      </c>
      <c r="AD43" s="1" t="s">
        <v>164</v>
      </c>
      <c r="AE43" s="143">
        <v>0.7</v>
      </c>
      <c r="AF43" s="1" t="s">
        <v>973</v>
      </c>
      <c r="AG43" s="142">
        <v>187539</v>
      </c>
      <c r="AH43" s="142">
        <v>26791.29</v>
      </c>
      <c r="AI43" s="142">
        <v>2746</v>
      </c>
      <c r="AJ43" s="14" t="s">
        <v>2686</v>
      </c>
      <c r="AK43" s="142" t="s">
        <v>106</v>
      </c>
      <c r="AL43" s="80">
        <v>0.73329999999999995</v>
      </c>
      <c r="AM43" s="1" t="s">
        <v>2685</v>
      </c>
      <c r="AN43" s="1" t="s">
        <v>164</v>
      </c>
      <c r="AO43" s="1" t="s">
        <v>164</v>
      </c>
      <c r="AP43" s="143">
        <v>0.73329999999999995</v>
      </c>
      <c r="AQ43" s="1" t="s">
        <v>2685</v>
      </c>
      <c r="AR43" s="142">
        <v>60126</v>
      </c>
      <c r="AS43" s="142">
        <v>2733</v>
      </c>
      <c r="AT43" s="142">
        <v>2660.5</v>
      </c>
      <c r="AU43" s="4" t="s">
        <v>98</v>
      </c>
    </row>
    <row r="44" spans="1:47" x14ac:dyDescent="0.2">
      <c r="A44" s="174"/>
      <c r="B44" s="9" t="s">
        <v>48</v>
      </c>
      <c r="C44" s="1" t="s">
        <v>2684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2581</v>
      </c>
      <c r="L44" s="142">
        <v>2581</v>
      </c>
      <c r="M44" s="142">
        <v>2581</v>
      </c>
      <c r="N44" s="14" t="s">
        <v>2683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5057</v>
      </c>
      <c r="W44" s="142">
        <v>2528.5</v>
      </c>
      <c r="X44" s="142">
        <v>2528.5</v>
      </c>
      <c r="Y44" s="14" t="s">
        <v>2682</v>
      </c>
      <c r="Z44" s="142" t="s">
        <v>106</v>
      </c>
      <c r="AA44" s="80">
        <v>1</v>
      </c>
      <c r="AB44" s="1" t="s">
        <v>516</v>
      </c>
      <c r="AC44" s="80">
        <v>1</v>
      </c>
      <c r="AD44" s="1" t="s">
        <v>516</v>
      </c>
      <c r="AE44" s="143">
        <v>1</v>
      </c>
      <c r="AF44" s="1" t="s">
        <v>529</v>
      </c>
      <c r="AG44" s="142">
        <v>25034</v>
      </c>
      <c r="AH44" s="142">
        <v>2503.4</v>
      </c>
      <c r="AI44" s="142">
        <v>2541.5</v>
      </c>
      <c r="AJ44" s="14" t="s">
        <v>2681</v>
      </c>
      <c r="AK44" s="142" t="s">
        <v>106</v>
      </c>
      <c r="AL44" s="80">
        <v>1</v>
      </c>
      <c r="AM44" s="1" t="s">
        <v>529</v>
      </c>
      <c r="AN44" s="80">
        <v>1</v>
      </c>
      <c r="AO44" s="1" t="s">
        <v>529</v>
      </c>
      <c r="AP44" s="143">
        <v>1</v>
      </c>
      <c r="AQ44" s="1" t="s">
        <v>1070</v>
      </c>
      <c r="AR44" s="142">
        <v>50681</v>
      </c>
      <c r="AS44" s="142">
        <v>2534.0500000000002</v>
      </c>
      <c r="AT44" s="142">
        <v>2557</v>
      </c>
    </row>
    <row r="45" spans="1:47" x14ac:dyDescent="0.2">
      <c r="A45" s="174"/>
      <c r="B45" s="9" t="s">
        <v>49</v>
      </c>
      <c r="C45" s="1" t="s">
        <v>2680</v>
      </c>
      <c r="D45" s="142" t="s">
        <v>106</v>
      </c>
      <c r="E45" s="80">
        <v>1</v>
      </c>
      <c r="F45" s="1" t="s">
        <v>452</v>
      </c>
      <c r="G45" s="1" t="s">
        <v>164</v>
      </c>
      <c r="H45" s="1" t="s">
        <v>164</v>
      </c>
      <c r="I45" s="143">
        <v>1</v>
      </c>
      <c r="J45" s="1" t="s">
        <v>452</v>
      </c>
      <c r="K45" s="142">
        <v>3033</v>
      </c>
      <c r="L45" s="142">
        <v>3033</v>
      </c>
      <c r="M45" s="142">
        <v>3033</v>
      </c>
      <c r="N45" s="14" t="s">
        <v>2679</v>
      </c>
      <c r="O45" s="142" t="s">
        <v>106</v>
      </c>
      <c r="P45" s="80">
        <v>1</v>
      </c>
      <c r="Q45" s="1" t="s">
        <v>1073</v>
      </c>
      <c r="R45" s="1" t="s">
        <v>164</v>
      </c>
      <c r="S45" s="1" t="s">
        <v>164</v>
      </c>
      <c r="T45" s="143">
        <v>1</v>
      </c>
      <c r="U45" s="1" t="s">
        <v>1073</v>
      </c>
      <c r="V45" s="142">
        <v>6193</v>
      </c>
      <c r="W45" s="142">
        <v>3096.5</v>
      </c>
      <c r="X45" s="142">
        <v>3096.5</v>
      </c>
      <c r="Y45" s="14" t="s">
        <v>2678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28155</v>
      </c>
      <c r="AH45" s="142">
        <v>2815.5</v>
      </c>
      <c r="AI45" s="142">
        <v>2821</v>
      </c>
      <c r="AJ45" s="14" t="s">
        <v>2677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56528</v>
      </c>
      <c r="AS45" s="142">
        <v>2826.4</v>
      </c>
      <c r="AT45" s="142">
        <v>2833</v>
      </c>
    </row>
    <row r="46" spans="1:47" x14ac:dyDescent="0.2">
      <c r="A46" s="174"/>
      <c r="B46" s="9" t="s">
        <v>50</v>
      </c>
      <c r="C46" s="1" t="s">
        <v>2676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2345</v>
      </c>
      <c r="L46" s="142">
        <v>2345</v>
      </c>
      <c r="M46" s="142">
        <v>2345</v>
      </c>
      <c r="N46" s="14" t="s">
        <v>2675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2674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23919</v>
      </c>
      <c r="AH46" s="142">
        <v>2391.9</v>
      </c>
      <c r="AI46" s="142">
        <v>2383</v>
      </c>
      <c r="AJ46" s="14" t="s">
        <v>2673</v>
      </c>
      <c r="AK46" s="142" t="s">
        <v>106</v>
      </c>
      <c r="AL46" s="80">
        <v>0</v>
      </c>
      <c r="AM46" s="1" t="s">
        <v>218</v>
      </c>
      <c r="AN46" s="80">
        <v>0</v>
      </c>
      <c r="AO46" s="1" t="s">
        <v>218</v>
      </c>
      <c r="AP46" s="143">
        <v>0</v>
      </c>
      <c r="AQ46" s="1" t="s">
        <v>213</v>
      </c>
      <c r="AR46" s="142">
        <v>0</v>
      </c>
      <c r="AS46" s="142">
        <v>0</v>
      </c>
      <c r="AT46" s="142">
        <v>0</v>
      </c>
    </row>
    <row r="47" spans="1:47" x14ac:dyDescent="0.2">
      <c r="A47" s="174"/>
      <c r="B47" s="9" t="s">
        <v>51</v>
      </c>
      <c r="C47" s="1" t="s">
        <v>2672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4767</v>
      </c>
      <c r="L47" s="142">
        <v>4767</v>
      </c>
      <c r="M47" s="142">
        <v>4767</v>
      </c>
      <c r="N47" s="14" t="s">
        <v>2671</v>
      </c>
      <c r="O47" s="142" t="s">
        <v>106</v>
      </c>
      <c r="P47" s="80">
        <v>0.5</v>
      </c>
      <c r="Q47" s="1" t="s">
        <v>1108</v>
      </c>
      <c r="R47" s="1" t="s">
        <v>164</v>
      </c>
      <c r="S47" s="1" t="s">
        <v>164</v>
      </c>
      <c r="T47" s="143">
        <v>0.5</v>
      </c>
      <c r="U47" s="1" t="s">
        <v>1108</v>
      </c>
      <c r="V47" s="142">
        <v>4847</v>
      </c>
      <c r="W47" s="142">
        <v>4847</v>
      </c>
      <c r="X47" s="142">
        <v>4847</v>
      </c>
      <c r="Y47" s="14" t="s">
        <v>2670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26084</v>
      </c>
      <c r="AH47" s="142">
        <v>2608.4</v>
      </c>
      <c r="AI47" s="142">
        <v>2604.5</v>
      </c>
      <c r="AJ47" s="14" t="s">
        <v>2669</v>
      </c>
      <c r="AK47" s="142" t="s">
        <v>106</v>
      </c>
      <c r="AL47" s="80">
        <v>0.5</v>
      </c>
      <c r="AM47" s="1" t="s">
        <v>936</v>
      </c>
      <c r="AN47" s="1" t="s">
        <v>164</v>
      </c>
      <c r="AO47" s="1" t="s">
        <v>164</v>
      </c>
      <c r="AP47" s="143">
        <v>0.5</v>
      </c>
      <c r="AQ47" s="1" t="s">
        <v>936</v>
      </c>
      <c r="AR47" s="142">
        <v>26385</v>
      </c>
      <c r="AS47" s="142">
        <v>2638.5</v>
      </c>
      <c r="AT47" s="142">
        <v>2651.5</v>
      </c>
    </row>
    <row r="48" spans="1:47" x14ac:dyDescent="0.2">
      <c r="A48" s="174"/>
      <c r="B48" s="9" t="s">
        <v>52</v>
      </c>
      <c r="C48" s="1" t="s">
        <v>2668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5224</v>
      </c>
      <c r="L48" s="142">
        <v>5224</v>
      </c>
      <c r="M48" s="142">
        <v>5224</v>
      </c>
      <c r="N48" s="14" t="s">
        <v>2667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5680</v>
      </c>
      <c r="W48" s="142">
        <v>5680</v>
      </c>
      <c r="X48" s="142">
        <v>5680</v>
      </c>
      <c r="Y48" s="14" t="s">
        <v>2666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36485</v>
      </c>
      <c r="AH48" s="142">
        <v>3648.5</v>
      </c>
      <c r="AI48" s="142">
        <v>3096</v>
      </c>
      <c r="AJ48" s="14" t="s">
        <v>2665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40905</v>
      </c>
      <c r="AS48" s="142">
        <v>4090.5</v>
      </c>
      <c r="AT48" s="142">
        <v>3536</v>
      </c>
    </row>
    <row r="49" spans="1:47" x14ac:dyDescent="0.2">
      <c r="A49" s="174"/>
      <c r="B49" s="9" t="s">
        <v>53</v>
      </c>
      <c r="C49" s="1" t="s">
        <v>2664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5343</v>
      </c>
      <c r="L49" s="142">
        <v>5343</v>
      </c>
      <c r="M49" s="142">
        <v>5343</v>
      </c>
      <c r="N49" s="14" t="s">
        <v>2663</v>
      </c>
      <c r="O49" s="142" t="s">
        <v>106</v>
      </c>
      <c r="P49" s="80">
        <v>1</v>
      </c>
      <c r="Q49" s="1" t="s">
        <v>452</v>
      </c>
      <c r="R49" s="1" t="s">
        <v>164</v>
      </c>
      <c r="S49" s="1" t="s">
        <v>164</v>
      </c>
      <c r="T49" s="143">
        <v>1</v>
      </c>
      <c r="U49" s="1" t="s">
        <v>452</v>
      </c>
      <c r="V49" s="142">
        <v>5347</v>
      </c>
      <c r="W49" s="142">
        <v>5347</v>
      </c>
      <c r="X49" s="142">
        <v>5347</v>
      </c>
      <c r="Y49" s="14" t="s">
        <v>2662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48378</v>
      </c>
      <c r="AH49" s="142">
        <v>4837.8</v>
      </c>
      <c r="AI49" s="142">
        <v>5222</v>
      </c>
      <c r="AJ49" s="14" t="s">
        <v>2661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52311</v>
      </c>
      <c r="AS49" s="142">
        <v>5231.1000000000004</v>
      </c>
      <c r="AT49" s="142">
        <v>5617</v>
      </c>
    </row>
    <row r="50" spans="1:47" x14ac:dyDescent="0.2">
      <c r="A50" s="174"/>
      <c r="B50" s="10" t="s">
        <v>54</v>
      </c>
      <c r="C50" s="1" t="s">
        <v>2660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2659</v>
      </c>
      <c r="O50" s="142" t="s">
        <v>106</v>
      </c>
      <c r="P50" s="80">
        <v>1</v>
      </c>
      <c r="Q50" s="1" t="s">
        <v>452</v>
      </c>
      <c r="R50" s="80">
        <v>0</v>
      </c>
      <c r="S50" s="1" t="s">
        <v>163</v>
      </c>
      <c r="T50" s="143">
        <v>0.5</v>
      </c>
      <c r="U50" s="1" t="s">
        <v>1108</v>
      </c>
      <c r="V50" s="142">
        <v>2879</v>
      </c>
      <c r="W50" s="142">
        <v>2879</v>
      </c>
      <c r="X50" s="142">
        <v>2879</v>
      </c>
      <c r="Y50" s="14" t="s">
        <v>2658</v>
      </c>
      <c r="Z50" s="142" t="s">
        <v>106</v>
      </c>
      <c r="AA50" s="80">
        <v>1</v>
      </c>
      <c r="AB50" s="1" t="s">
        <v>516</v>
      </c>
      <c r="AC50" s="80">
        <v>0</v>
      </c>
      <c r="AD50" s="1" t="s">
        <v>218</v>
      </c>
      <c r="AE50" s="143">
        <v>0.5</v>
      </c>
      <c r="AF50" s="1" t="s">
        <v>511</v>
      </c>
      <c r="AG50" s="142">
        <v>21793</v>
      </c>
      <c r="AH50" s="142">
        <v>4358.6000000000004</v>
      </c>
      <c r="AI50" s="142">
        <v>4294</v>
      </c>
      <c r="AJ50" s="14" t="s">
        <v>2657</v>
      </c>
      <c r="AK50" s="142" t="s">
        <v>106</v>
      </c>
      <c r="AL50" s="80">
        <v>0.93330000000000002</v>
      </c>
      <c r="AM50" s="1" t="s">
        <v>2656</v>
      </c>
      <c r="AN50" s="80">
        <v>0</v>
      </c>
      <c r="AO50" s="1" t="s">
        <v>218</v>
      </c>
      <c r="AP50" s="143">
        <v>0.7</v>
      </c>
      <c r="AQ50" s="1" t="s">
        <v>1646</v>
      </c>
      <c r="AR50" s="142">
        <v>50985</v>
      </c>
      <c r="AS50" s="142">
        <v>3641.79</v>
      </c>
      <c r="AT50" s="142">
        <v>2913.5</v>
      </c>
      <c r="AU50" s="4" t="s">
        <v>99</v>
      </c>
    </row>
    <row r="51" spans="1:47" x14ac:dyDescent="0.2">
      <c r="A51" s="174"/>
      <c r="B51" s="10" t="s">
        <v>55</v>
      </c>
      <c r="C51" s="1" t="s">
        <v>2655</v>
      </c>
      <c r="D51" s="142" t="s">
        <v>106</v>
      </c>
      <c r="E51" s="80">
        <v>1</v>
      </c>
      <c r="F51" s="1" t="s">
        <v>452</v>
      </c>
      <c r="G51" s="1" t="s">
        <v>164</v>
      </c>
      <c r="H51" s="1" t="s">
        <v>164</v>
      </c>
      <c r="I51" s="143">
        <v>1</v>
      </c>
      <c r="J51" s="1" t="s">
        <v>452</v>
      </c>
      <c r="K51" s="142">
        <v>4208</v>
      </c>
      <c r="L51" s="142">
        <v>4208</v>
      </c>
      <c r="M51" s="142">
        <v>4208</v>
      </c>
      <c r="N51" s="14" t="s">
        <v>2654</v>
      </c>
      <c r="O51" s="142" t="s">
        <v>106</v>
      </c>
      <c r="P51" s="80">
        <v>1</v>
      </c>
      <c r="Q51" s="1" t="s">
        <v>1073</v>
      </c>
      <c r="R51" s="1" t="s">
        <v>164</v>
      </c>
      <c r="S51" s="1" t="s">
        <v>164</v>
      </c>
      <c r="T51" s="143">
        <v>1</v>
      </c>
      <c r="U51" s="1" t="s">
        <v>1073</v>
      </c>
      <c r="V51" s="142">
        <v>6678</v>
      </c>
      <c r="W51" s="142">
        <v>3339</v>
      </c>
      <c r="X51" s="142">
        <v>3339</v>
      </c>
      <c r="Y51" s="14" t="s">
        <v>2653</v>
      </c>
      <c r="Z51" s="142" t="s">
        <v>106</v>
      </c>
      <c r="AA51" s="80">
        <v>1</v>
      </c>
      <c r="AB51" s="1" t="s">
        <v>529</v>
      </c>
      <c r="AC51" s="1" t="s">
        <v>164</v>
      </c>
      <c r="AD51" s="1" t="s">
        <v>164</v>
      </c>
      <c r="AE51" s="143">
        <v>1</v>
      </c>
      <c r="AF51" s="1" t="s">
        <v>529</v>
      </c>
      <c r="AG51" s="142">
        <v>40565</v>
      </c>
      <c r="AH51" s="142">
        <v>4056.5</v>
      </c>
      <c r="AI51" s="142">
        <v>4152.5</v>
      </c>
      <c r="AJ51" s="14" t="s">
        <v>2652</v>
      </c>
      <c r="AK51" s="142" t="s">
        <v>106</v>
      </c>
      <c r="AL51" s="80">
        <v>1</v>
      </c>
      <c r="AM51" s="1" t="s">
        <v>1070</v>
      </c>
      <c r="AN51" s="1" t="s">
        <v>164</v>
      </c>
      <c r="AO51" s="1" t="s">
        <v>164</v>
      </c>
      <c r="AP51" s="143">
        <v>1</v>
      </c>
      <c r="AQ51" s="1" t="s">
        <v>1070</v>
      </c>
      <c r="AR51" s="142">
        <v>71802</v>
      </c>
      <c r="AS51" s="142">
        <v>3590.1</v>
      </c>
      <c r="AT51" s="142">
        <v>3608</v>
      </c>
      <c r="AU51" s="4" t="s">
        <v>99</v>
      </c>
    </row>
    <row r="52" spans="1:47" x14ac:dyDescent="0.2">
      <c r="A52" s="174"/>
      <c r="B52" s="9" t="s">
        <v>56</v>
      </c>
      <c r="C52" s="1" t="s">
        <v>2651</v>
      </c>
      <c r="D52" s="142" t="s">
        <v>106</v>
      </c>
      <c r="E52" s="80">
        <v>0</v>
      </c>
      <c r="F52" s="1" t="s">
        <v>169</v>
      </c>
      <c r="G52" s="80">
        <v>1</v>
      </c>
      <c r="H52" s="1" t="s">
        <v>452</v>
      </c>
      <c r="I52" s="143">
        <v>1</v>
      </c>
      <c r="J52" s="1" t="s">
        <v>452</v>
      </c>
      <c r="K52" s="142">
        <v>2591</v>
      </c>
      <c r="L52" s="142">
        <v>2591</v>
      </c>
      <c r="M52" s="142">
        <v>2591</v>
      </c>
      <c r="N52" s="14" t="s">
        <v>2650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4609</v>
      </c>
      <c r="W52" s="142">
        <v>2304.5</v>
      </c>
      <c r="X52" s="142">
        <v>2304.5</v>
      </c>
      <c r="Y52" s="14" t="s">
        <v>2649</v>
      </c>
      <c r="Z52" s="142" t="s">
        <v>106</v>
      </c>
      <c r="AA52" s="80">
        <v>1</v>
      </c>
      <c r="AB52" s="1" t="s">
        <v>516</v>
      </c>
      <c r="AC52" s="80">
        <v>0.8</v>
      </c>
      <c r="AD52" s="1" t="s">
        <v>506</v>
      </c>
      <c r="AE52" s="143">
        <v>0.9</v>
      </c>
      <c r="AF52" s="1" t="s">
        <v>951</v>
      </c>
      <c r="AG52" s="142">
        <v>36710</v>
      </c>
      <c r="AH52" s="142">
        <v>4078.89</v>
      </c>
      <c r="AI52" s="142">
        <v>2491</v>
      </c>
      <c r="AJ52" s="14" t="s">
        <v>2648</v>
      </c>
      <c r="AK52" s="142" t="s">
        <v>106</v>
      </c>
      <c r="AL52" s="80">
        <v>1</v>
      </c>
      <c r="AM52" s="1" t="s">
        <v>529</v>
      </c>
      <c r="AN52" s="80">
        <v>0.9</v>
      </c>
      <c r="AO52" s="1" t="s">
        <v>951</v>
      </c>
      <c r="AP52" s="143">
        <v>0.95</v>
      </c>
      <c r="AQ52" s="1" t="s">
        <v>1315</v>
      </c>
      <c r="AR52" s="142">
        <v>55613</v>
      </c>
      <c r="AS52" s="142">
        <v>2927</v>
      </c>
      <c r="AT52" s="142">
        <v>2339</v>
      </c>
    </row>
    <row r="53" spans="1:47" x14ac:dyDescent="0.2">
      <c r="A53" s="174"/>
      <c r="B53" s="9" t="s">
        <v>57</v>
      </c>
      <c r="C53" s="1" t="s">
        <v>2647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3917</v>
      </c>
      <c r="L53" s="142">
        <v>3917</v>
      </c>
      <c r="M53" s="142">
        <v>3917</v>
      </c>
      <c r="N53" s="14" t="s">
        <v>2646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6345</v>
      </c>
      <c r="W53" s="142">
        <v>3172.5</v>
      </c>
      <c r="X53" s="142">
        <v>3172.5</v>
      </c>
      <c r="Y53" s="14" t="s">
        <v>2645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33364</v>
      </c>
      <c r="AH53" s="142">
        <v>3336.4</v>
      </c>
      <c r="AI53" s="142">
        <v>3247.5</v>
      </c>
      <c r="AJ53" s="14" t="s">
        <v>2644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59827</v>
      </c>
      <c r="AS53" s="142">
        <v>2991.35</v>
      </c>
      <c r="AT53" s="142">
        <v>2783.5</v>
      </c>
    </row>
    <row r="54" spans="1:47" x14ac:dyDescent="0.2">
      <c r="A54" s="174"/>
      <c r="B54" s="9" t="s">
        <v>58</v>
      </c>
      <c r="C54" s="1" t="s">
        <v>2643</v>
      </c>
      <c r="D54" s="142" t="s">
        <v>106</v>
      </c>
      <c r="E54" s="80">
        <v>0</v>
      </c>
      <c r="F54" s="1" t="s">
        <v>169</v>
      </c>
      <c r="G54" s="80">
        <v>1</v>
      </c>
      <c r="H54" s="1" t="s">
        <v>452</v>
      </c>
      <c r="I54" s="143">
        <v>1</v>
      </c>
      <c r="J54" s="1" t="s">
        <v>452</v>
      </c>
      <c r="K54" s="142">
        <v>3823</v>
      </c>
      <c r="L54" s="142">
        <v>3823</v>
      </c>
      <c r="M54" s="142">
        <v>3823</v>
      </c>
      <c r="N54" s="14" t="s">
        <v>2642</v>
      </c>
      <c r="O54" s="142" t="s">
        <v>106</v>
      </c>
      <c r="P54" s="80">
        <v>0</v>
      </c>
      <c r="Q54" s="1" t="s">
        <v>169</v>
      </c>
      <c r="R54" s="80">
        <v>1</v>
      </c>
      <c r="S54" s="1" t="s">
        <v>1073</v>
      </c>
      <c r="T54" s="143">
        <v>1</v>
      </c>
      <c r="U54" s="1" t="s">
        <v>1073</v>
      </c>
      <c r="V54" s="142">
        <v>6276</v>
      </c>
      <c r="W54" s="142">
        <v>3138</v>
      </c>
      <c r="X54" s="142">
        <v>3138</v>
      </c>
      <c r="Y54" s="14" t="s">
        <v>2641</v>
      </c>
      <c r="Z54" s="142" t="s">
        <v>106</v>
      </c>
      <c r="AA54" s="80">
        <v>0.6</v>
      </c>
      <c r="AB54" s="1" t="s">
        <v>964</v>
      </c>
      <c r="AC54" s="80">
        <v>0.8</v>
      </c>
      <c r="AD54" s="1" t="s">
        <v>506</v>
      </c>
      <c r="AE54" s="143">
        <v>0.7</v>
      </c>
      <c r="AF54" s="1" t="s">
        <v>973</v>
      </c>
      <c r="AG54" s="142">
        <v>30620</v>
      </c>
      <c r="AH54" s="142">
        <v>4374.29</v>
      </c>
      <c r="AI54" s="142">
        <v>3989</v>
      </c>
      <c r="AJ54" s="14" t="s">
        <v>2640</v>
      </c>
      <c r="AK54" s="142" t="s">
        <v>107</v>
      </c>
      <c r="AL54" s="1" t="s">
        <v>164</v>
      </c>
      <c r="AM54" s="1" t="s">
        <v>164</v>
      </c>
      <c r="AN54" s="1" t="s">
        <v>164</v>
      </c>
      <c r="AO54" s="1" t="s">
        <v>164</v>
      </c>
      <c r="AP54" s="143">
        <v>0.7</v>
      </c>
      <c r="AQ54" s="1" t="s">
        <v>1646</v>
      </c>
      <c r="AR54" s="142">
        <v>48602</v>
      </c>
      <c r="AS54" s="142">
        <v>3471.57</v>
      </c>
      <c r="AT54" s="142">
        <v>4027</v>
      </c>
      <c r="AU54" s="4" t="s">
        <v>93</v>
      </c>
    </row>
    <row r="55" spans="1:47" x14ac:dyDescent="0.2">
      <c r="A55" s="174"/>
      <c r="B55" s="9" t="s">
        <v>59</v>
      </c>
      <c r="C55" s="1" t="s">
        <v>2639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3634</v>
      </c>
      <c r="L55" s="142">
        <v>3634</v>
      </c>
      <c r="M55" s="142">
        <v>3634</v>
      </c>
      <c r="N55" s="14" t="s">
        <v>2638</v>
      </c>
      <c r="O55" s="142" t="s">
        <v>106</v>
      </c>
      <c r="P55" s="80">
        <v>1</v>
      </c>
      <c r="Q55" s="1" t="s">
        <v>1073</v>
      </c>
      <c r="R55" s="1" t="s">
        <v>164</v>
      </c>
      <c r="S55" s="1" t="s">
        <v>164</v>
      </c>
      <c r="T55" s="143">
        <v>1</v>
      </c>
      <c r="U55" s="1" t="s">
        <v>1073</v>
      </c>
      <c r="V55" s="142">
        <v>7082</v>
      </c>
      <c r="W55" s="142">
        <v>3541</v>
      </c>
      <c r="X55" s="142">
        <v>3541</v>
      </c>
      <c r="Y55" s="14" t="s">
        <v>2637</v>
      </c>
      <c r="Z55" s="142" t="s">
        <v>106</v>
      </c>
      <c r="AA55" s="80">
        <v>0.7</v>
      </c>
      <c r="AB55" s="1" t="s">
        <v>973</v>
      </c>
      <c r="AC55" s="1" t="s">
        <v>164</v>
      </c>
      <c r="AD55" s="1" t="s">
        <v>164</v>
      </c>
      <c r="AE55" s="143">
        <v>0.7</v>
      </c>
      <c r="AF55" s="1" t="s">
        <v>973</v>
      </c>
      <c r="AG55" s="142">
        <v>26099</v>
      </c>
      <c r="AH55" s="142">
        <v>3728.43</v>
      </c>
      <c r="AI55" s="142">
        <v>3700</v>
      </c>
      <c r="AJ55" s="14" t="s">
        <v>2636</v>
      </c>
      <c r="AK55" s="142" t="s">
        <v>106</v>
      </c>
      <c r="AL55" s="80">
        <v>0.9</v>
      </c>
      <c r="AM55" s="1" t="s">
        <v>2078</v>
      </c>
      <c r="AN55" s="1" t="s">
        <v>164</v>
      </c>
      <c r="AO55" s="1" t="s">
        <v>164</v>
      </c>
      <c r="AP55" s="143">
        <v>0.9</v>
      </c>
      <c r="AQ55" s="1" t="s">
        <v>2078</v>
      </c>
      <c r="AR55" s="142">
        <v>71172</v>
      </c>
      <c r="AS55" s="142">
        <v>3954</v>
      </c>
      <c r="AT55" s="142">
        <v>4692</v>
      </c>
      <c r="AU55" s="4" t="s">
        <v>93</v>
      </c>
    </row>
    <row r="56" spans="1:47" x14ac:dyDescent="0.2">
      <c r="A56" s="174"/>
      <c r="B56" s="9" t="s">
        <v>62</v>
      </c>
      <c r="C56" s="1" t="s">
        <v>2635</v>
      </c>
      <c r="D56" s="142" t="s">
        <v>106</v>
      </c>
      <c r="E56" s="80">
        <v>0</v>
      </c>
      <c r="F56" s="1" t="s">
        <v>169</v>
      </c>
      <c r="G56" s="80">
        <v>0</v>
      </c>
      <c r="H56" s="1" t="s">
        <v>163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2634</v>
      </c>
      <c r="O56" s="142" t="s">
        <v>106</v>
      </c>
      <c r="P56" s="80">
        <v>1</v>
      </c>
      <c r="Q56" s="1" t="s">
        <v>452</v>
      </c>
      <c r="R56" s="80">
        <v>0.5</v>
      </c>
      <c r="S56" s="1" t="s">
        <v>1108</v>
      </c>
      <c r="T56" s="143">
        <v>0.66669999999999996</v>
      </c>
      <c r="U56" s="1" t="s">
        <v>1881</v>
      </c>
      <c r="V56" s="142">
        <v>4452</v>
      </c>
      <c r="W56" s="142">
        <v>2226</v>
      </c>
      <c r="X56" s="142">
        <v>2226</v>
      </c>
      <c r="Y56" s="14" t="s">
        <v>2633</v>
      </c>
      <c r="Z56" s="142" t="s">
        <v>106</v>
      </c>
      <c r="AA56" s="80">
        <v>0</v>
      </c>
      <c r="AB56" s="1" t="s">
        <v>169</v>
      </c>
      <c r="AC56" s="80">
        <v>0</v>
      </c>
      <c r="AD56" s="1" t="s">
        <v>163</v>
      </c>
      <c r="AE56" s="143">
        <v>0</v>
      </c>
      <c r="AF56" s="1" t="s">
        <v>163</v>
      </c>
      <c r="AG56" s="142">
        <v>0</v>
      </c>
      <c r="AH56" s="142">
        <v>0</v>
      </c>
      <c r="AI56" s="142">
        <v>0</v>
      </c>
      <c r="AJ56" s="14" t="s">
        <v>2632</v>
      </c>
      <c r="AK56" s="142" t="s">
        <v>106</v>
      </c>
      <c r="AL56" s="80">
        <v>1</v>
      </c>
      <c r="AM56" s="1" t="s">
        <v>452</v>
      </c>
      <c r="AN56" s="80">
        <v>0.5</v>
      </c>
      <c r="AO56" s="1" t="s">
        <v>1108</v>
      </c>
      <c r="AP56" s="143">
        <v>0.66669999999999996</v>
      </c>
      <c r="AQ56" s="1" t="s">
        <v>1881</v>
      </c>
      <c r="AR56" s="142">
        <v>5293</v>
      </c>
      <c r="AS56" s="142">
        <v>2646.5</v>
      </c>
      <c r="AT56" s="142">
        <v>2646.5</v>
      </c>
      <c r="AU56" s="4" t="s">
        <v>102</v>
      </c>
    </row>
    <row r="57" spans="1:47" x14ac:dyDescent="0.2">
      <c r="A57" s="174"/>
      <c r="B57" s="9" t="s">
        <v>63</v>
      </c>
      <c r="C57" s="1" t="s">
        <v>2631</v>
      </c>
      <c r="D57" s="142" t="s">
        <v>106</v>
      </c>
      <c r="E57" s="80">
        <v>0</v>
      </c>
      <c r="F57" s="1" t="s">
        <v>163</v>
      </c>
      <c r="G57" s="1" t="s">
        <v>164</v>
      </c>
      <c r="H57" s="1" t="s">
        <v>164</v>
      </c>
      <c r="I57" s="143">
        <v>0</v>
      </c>
      <c r="J57" s="1" t="s">
        <v>163</v>
      </c>
      <c r="K57" s="142">
        <v>0</v>
      </c>
      <c r="L57" s="142">
        <v>0</v>
      </c>
      <c r="M57" s="142">
        <v>0</v>
      </c>
      <c r="N57" s="14" t="s">
        <v>2630</v>
      </c>
      <c r="O57" s="142" t="s">
        <v>106</v>
      </c>
      <c r="P57" s="80">
        <v>0.66669999999999996</v>
      </c>
      <c r="Q57" s="1" t="s">
        <v>1881</v>
      </c>
      <c r="R57" s="1" t="s">
        <v>164</v>
      </c>
      <c r="S57" s="1" t="s">
        <v>164</v>
      </c>
      <c r="T57" s="143">
        <v>0.66669999999999996</v>
      </c>
      <c r="U57" s="1" t="s">
        <v>1881</v>
      </c>
      <c r="V57" s="142">
        <v>6664</v>
      </c>
      <c r="W57" s="142">
        <v>3332</v>
      </c>
      <c r="X57" s="142">
        <v>3332</v>
      </c>
      <c r="Y57" s="14" t="s">
        <v>2629</v>
      </c>
      <c r="Z57" s="142" t="s">
        <v>106</v>
      </c>
      <c r="AA57" s="80">
        <v>0</v>
      </c>
      <c r="AB57" s="1" t="s">
        <v>163</v>
      </c>
      <c r="AC57" s="1" t="s">
        <v>164</v>
      </c>
      <c r="AD57" s="1" t="s">
        <v>164</v>
      </c>
      <c r="AE57" s="143">
        <v>0</v>
      </c>
      <c r="AF57" s="1" t="s">
        <v>163</v>
      </c>
      <c r="AG57" s="142">
        <v>0</v>
      </c>
      <c r="AH57" s="142">
        <v>0</v>
      </c>
      <c r="AI57" s="142">
        <v>0</v>
      </c>
      <c r="AJ57" s="14" t="s">
        <v>2628</v>
      </c>
      <c r="AK57" s="142" t="s">
        <v>106</v>
      </c>
      <c r="AL57" s="80">
        <v>0.66669999999999996</v>
      </c>
      <c r="AM57" s="1" t="s">
        <v>1881</v>
      </c>
      <c r="AN57" s="1" t="s">
        <v>164</v>
      </c>
      <c r="AO57" s="1" t="s">
        <v>164</v>
      </c>
      <c r="AP57" s="143">
        <v>0.66669999999999996</v>
      </c>
      <c r="AQ57" s="1" t="s">
        <v>1881</v>
      </c>
      <c r="AR57" s="142">
        <v>6562</v>
      </c>
      <c r="AS57" s="142">
        <v>3281</v>
      </c>
      <c r="AT57" s="142">
        <v>3281</v>
      </c>
      <c r="AU57" s="4" t="s">
        <v>102</v>
      </c>
    </row>
    <row r="58" spans="1:47" x14ac:dyDescent="0.2">
      <c r="A58" s="174"/>
      <c r="B58" s="9" t="s">
        <v>64</v>
      </c>
      <c r="C58" s="1" t="s">
        <v>2627</v>
      </c>
      <c r="D58" s="142" t="s">
        <v>106</v>
      </c>
      <c r="E58" s="80">
        <v>0</v>
      </c>
      <c r="F58" s="1" t="s">
        <v>169</v>
      </c>
      <c r="G58" s="80">
        <v>0</v>
      </c>
      <c r="H58" s="1" t="s">
        <v>163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2626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2625</v>
      </c>
      <c r="Z58" s="142" t="s">
        <v>106</v>
      </c>
      <c r="AA58" s="80">
        <v>0.4</v>
      </c>
      <c r="AB58" s="1" t="s">
        <v>974</v>
      </c>
      <c r="AC58" s="80">
        <v>0</v>
      </c>
      <c r="AD58" s="1" t="s">
        <v>218</v>
      </c>
      <c r="AE58" s="143">
        <v>0.2</v>
      </c>
      <c r="AF58" s="1" t="s">
        <v>930</v>
      </c>
      <c r="AG58" s="142">
        <v>7080</v>
      </c>
      <c r="AH58" s="142">
        <v>3540</v>
      </c>
      <c r="AI58" s="142">
        <v>3540</v>
      </c>
      <c r="AJ58" s="14" t="s">
        <v>2624</v>
      </c>
      <c r="AK58" s="142" t="s">
        <v>106</v>
      </c>
      <c r="AL58" s="80">
        <v>0.4</v>
      </c>
      <c r="AM58" s="1" t="s">
        <v>974</v>
      </c>
      <c r="AN58" s="80">
        <v>0</v>
      </c>
      <c r="AO58" s="1" t="s">
        <v>218</v>
      </c>
      <c r="AP58" s="143">
        <v>0.2</v>
      </c>
      <c r="AQ58" s="1" t="s">
        <v>930</v>
      </c>
      <c r="AR58" s="142">
        <v>6923</v>
      </c>
      <c r="AS58" s="142">
        <v>3461.5</v>
      </c>
      <c r="AT58" s="142">
        <v>3461.5</v>
      </c>
      <c r="AU58" s="4" t="s">
        <v>102</v>
      </c>
    </row>
    <row r="59" spans="1:47" x14ac:dyDescent="0.2">
      <c r="A59" s="174"/>
      <c r="B59" s="9" t="s">
        <v>65</v>
      </c>
      <c r="C59" s="1" t="s">
        <v>2623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2500</v>
      </c>
      <c r="L59" s="142">
        <v>2500</v>
      </c>
      <c r="M59" s="142">
        <v>2500</v>
      </c>
      <c r="N59" s="14" t="s">
        <v>2622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2707</v>
      </c>
      <c r="W59" s="142">
        <v>2707</v>
      </c>
      <c r="X59" s="142">
        <v>2707</v>
      </c>
      <c r="Y59" s="14" t="s">
        <v>2621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27290</v>
      </c>
      <c r="AH59" s="142">
        <v>2729</v>
      </c>
      <c r="AI59" s="142">
        <v>2756.5</v>
      </c>
      <c r="AJ59" s="14" t="s">
        <v>2620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27400</v>
      </c>
      <c r="AS59" s="142">
        <v>2740</v>
      </c>
      <c r="AT59" s="142">
        <v>2772</v>
      </c>
      <c r="AU59" s="4" t="s">
        <v>102</v>
      </c>
    </row>
    <row r="60" spans="1:47" x14ac:dyDescent="0.2">
      <c r="A60" s="174"/>
      <c r="B60" s="9" t="s">
        <v>66</v>
      </c>
      <c r="C60" s="1" t="s">
        <v>2619</v>
      </c>
      <c r="D60" s="142" t="s">
        <v>106</v>
      </c>
      <c r="E60" s="80">
        <v>0</v>
      </c>
      <c r="F60" s="1" t="s">
        <v>169</v>
      </c>
      <c r="G60" s="80">
        <v>0</v>
      </c>
      <c r="H60" s="1" t="s">
        <v>163</v>
      </c>
      <c r="I60" s="143">
        <v>0</v>
      </c>
      <c r="J60" s="1" t="s">
        <v>163</v>
      </c>
      <c r="K60" s="142">
        <v>0</v>
      </c>
      <c r="L60" s="142">
        <v>0</v>
      </c>
      <c r="M60" s="142">
        <v>0</v>
      </c>
      <c r="N60" s="14" t="s">
        <v>2618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17828</v>
      </c>
      <c r="W60" s="142">
        <v>8914</v>
      </c>
      <c r="X60" s="142">
        <v>8914</v>
      </c>
      <c r="Y60" s="14" t="s">
        <v>2617</v>
      </c>
      <c r="Z60" s="142" t="s">
        <v>106</v>
      </c>
      <c r="AA60" s="80">
        <v>0.8</v>
      </c>
      <c r="AB60" s="1" t="s">
        <v>506</v>
      </c>
      <c r="AC60" s="80">
        <v>1</v>
      </c>
      <c r="AD60" s="1" t="s">
        <v>516</v>
      </c>
      <c r="AE60" s="143">
        <v>0.9</v>
      </c>
      <c r="AF60" s="1" t="s">
        <v>951</v>
      </c>
      <c r="AG60" s="142">
        <v>47428</v>
      </c>
      <c r="AH60" s="142">
        <v>5269.78</v>
      </c>
      <c r="AI60" s="142">
        <v>4298</v>
      </c>
      <c r="AJ60" s="14" t="s">
        <v>2616</v>
      </c>
      <c r="AK60" s="142" t="s">
        <v>106</v>
      </c>
      <c r="AL60" s="80">
        <v>0.8</v>
      </c>
      <c r="AM60" s="1" t="s">
        <v>1077</v>
      </c>
      <c r="AN60" s="80">
        <v>1</v>
      </c>
      <c r="AO60" s="1" t="s">
        <v>529</v>
      </c>
      <c r="AP60" s="143">
        <v>0.9</v>
      </c>
      <c r="AQ60" s="1" t="s">
        <v>2078</v>
      </c>
      <c r="AR60" s="142">
        <v>93188</v>
      </c>
      <c r="AS60" s="142">
        <v>5177.1099999999997</v>
      </c>
      <c r="AT60" s="142">
        <v>4210</v>
      </c>
    </row>
    <row r="61" spans="1:47" x14ac:dyDescent="0.2">
      <c r="A61" s="174"/>
      <c r="B61" s="9" t="s">
        <v>67</v>
      </c>
      <c r="C61" s="1" t="s">
        <v>2615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3412</v>
      </c>
      <c r="L61" s="142">
        <v>3412</v>
      </c>
      <c r="M61" s="142">
        <v>3412</v>
      </c>
      <c r="N61" s="14" t="s">
        <v>2614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6305</v>
      </c>
      <c r="W61" s="142">
        <v>3152.5</v>
      </c>
      <c r="X61" s="142">
        <v>3152.5</v>
      </c>
      <c r="Y61" s="14" t="s">
        <v>2613</v>
      </c>
      <c r="Z61" s="142" t="s">
        <v>106</v>
      </c>
      <c r="AA61" s="80">
        <v>1</v>
      </c>
      <c r="AB61" s="1" t="s">
        <v>529</v>
      </c>
      <c r="AC61" s="1" t="s">
        <v>164</v>
      </c>
      <c r="AD61" s="1" t="s">
        <v>164</v>
      </c>
      <c r="AE61" s="143">
        <v>1</v>
      </c>
      <c r="AF61" s="1" t="s">
        <v>529</v>
      </c>
      <c r="AG61" s="142">
        <v>32712</v>
      </c>
      <c r="AH61" s="142">
        <v>3271.2</v>
      </c>
      <c r="AI61" s="142">
        <v>3342.5</v>
      </c>
      <c r="AJ61" s="14" t="s">
        <v>2612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60804</v>
      </c>
      <c r="AS61" s="142">
        <v>3040.2</v>
      </c>
      <c r="AT61" s="142">
        <v>2775</v>
      </c>
    </row>
    <row r="62" spans="1:47" x14ac:dyDescent="0.2">
      <c r="A62" s="174"/>
      <c r="B62" s="9" t="s">
        <v>68</v>
      </c>
      <c r="C62" s="1" t="s">
        <v>2611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11766</v>
      </c>
      <c r="L62" s="142">
        <v>11766</v>
      </c>
      <c r="M62" s="142">
        <v>11766</v>
      </c>
      <c r="N62" s="14" t="s">
        <v>2610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23745</v>
      </c>
      <c r="W62" s="142">
        <v>11872.5</v>
      </c>
      <c r="X62" s="142">
        <v>11872.5</v>
      </c>
      <c r="Y62" s="14" t="s">
        <v>2609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32359</v>
      </c>
      <c r="AH62" s="142">
        <v>4044.88</v>
      </c>
      <c r="AI62" s="142">
        <v>2708</v>
      </c>
      <c r="AJ62" s="14" t="s">
        <v>2608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77304</v>
      </c>
      <c r="AS62" s="142">
        <v>3865.2</v>
      </c>
      <c r="AT62" s="142">
        <v>2987.5</v>
      </c>
    </row>
    <row r="63" spans="1:47" x14ac:dyDescent="0.2">
      <c r="A63" s="174"/>
      <c r="B63" s="9" t="s">
        <v>69</v>
      </c>
      <c r="C63" s="1" t="s">
        <v>2607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3400</v>
      </c>
      <c r="L63" s="142">
        <v>3400</v>
      </c>
      <c r="M63" s="142">
        <v>3400</v>
      </c>
      <c r="N63" s="14" t="s">
        <v>2606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6140</v>
      </c>
      <c r="W63" s="142">
        <v>3070</v>
      </c>
      <c r="X63" s="142">
        <v>3070</v>
      </c>
      <c r="Y63" s="14" t="s">
        <v>2605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34051</v>
      </c>
      <c r="AH63" s="142">
        <v>3405.1</v>
      </c>
      <c r="AI63" s="142">
        <v>3434</v>
      </c>
      <c r="AJ63" s="14" t="s">
        <v>2604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59154</v>
      </c>
      <c r="AS63" s="142">
        <v>2957.7</v>
      </c>
      <c r="AT63" s="142">
        <v>2727</v>
      </c>
    </row>
    <row r="64" spans="1:47" x14ac:dyDescent="0.2">
      <c r="A64" s="174"/>
      <c r="B64" s="9" t="s">
        <v>3973</v>
      </c>
      <c r="C64" s="1" t="s">
        <v>2603</v>
      </c>
      <c r="D64" s="142" t="s">
        <v>106</v>
      </c>
      <c r="E64" s="80">
        <v>1</v>
      </c>
      <c r="F64" s="1" t="s">
        <v>452</v>
      </c>
      <c r="G64" s="1" t="s">
        <v>164</v>
      </c>
      <c r="H64" s="1" t="s">
        <v>164</v>
      </c>
      <c r="I64" s="143">
        <v>1</v>
      </c>
      <c r="J64" s="1" t="s">
        <v>452</v>
      </c>
      <c r="K64" s="142">
        <v>2668</v>
      </c>
      <c r="L64" s="142">
        <v>2668</v>
      </c>
      <c r="M64" s="142">
        <v>2668</v>
      </c>
      <c r="N64" s="14" t="s">
        <v>2602</v>
      </c>
      <c r="O64" s="142" t="s">
        <v>106</v>
      </c>
      <c r="P64" s="80">
        <v>1</v>
      </c>
      <c r="Q64" s="1" t="s">
        <v>452</v>
      </c>
      <c r="R64" s="1" t="s">
        <v>164</v>
      </c>
      <c r="S64" s="1" t="s">
        <v>164</v>
      </c>
      <c r="T64" s="143">
        <v>1</v>
      </c>
      <c r="U64" s="1" t="s">
        <v>452</v>
      </c>
      <c r="V64" s="142">
        <v>2408</v>
      </c>
      <c r="W64" s="142">
        <v>2408</v>
      </c>
      <c r="X64" s="142">
        <v>2408</v>
      </c>
      <c r="Y64" s="14" t="s">
        <v>2601</v>
      </c>
      <c r="Z64" s="142" t="s">
        <v>106</v>
      </c>
      <c r="AA64" s="80">
        <v>1</v>
      </c>
      <c r="AB64" s="1" t="s">
        <v>452</v>
      </c>
      <c r="AC64" s="1" t="s">
        <v>164</v>
      </c>
      <c r="AD64" s="1" t="s">
        <v>164</v>
      </c>
      <c r="AE64" s="143">
        <v>1</v>
      </c>
      <c r="AF64" s="1" t="s">
        <v>452</v>
      </c>
      <c r="AG64" s="142">
        <v>2475</v>
      </c>
      <c r="AH64" s="142">
        <v>2475</v>
      </c>
      <c r="AI64" s="142">
        <v>2475</v>
      </c>
      <c r="AJ64" s="14" t="s">
        <v>2600</v>
      </c>
      <c r="AK64" s="142" t="s">
        <v>106</v>
      </c>
      <c r="AL64" s="80">
        <v>1</v>
      </c>
      <c r="AM64" s="1" t="s">
        <v>452</v>
      </c>
      <c r="AN64" s="1" t="s">
        <v>164</v>
      </c>
      <c r="AO64" s="1" t="s">
        <v>164</v>
      </c>
      <c r="AP64" s="143">
        <v>1</v>
      </c>
      <c r="AQ64" s="1" t="s">
        <v>452</v>
      </c>
      <c r="AR64" s="142">
        <v>2625</v>
      </c>
      <c r="AS64" s="142">
        <v>2625</v>
      </c>
      <c r="AT64" s="142">
        <v>2625</v>
      </c>
      <c r="AU64" s="4" t="s">
        <v>103</v>
      </c>
    </row>
    <row r="65" spans="1:47" x14ac:dyDescent="0.2">
      <c r="A65" s="174"/>
      <c r="B65" s="9" t="s">
        <v>3968</v>
      </c>
      <c r="C65" s="1" t="s">
        <v>2599</v>
      </c>
      <c r="D65" s="142" t="s">
        <v>106</v>
      </c>
      <c r="E65" s="80">
        <v>1</v>
      </c>
      <c r="F65" s="1" t="s">
        <v>452</v>
      </c>
      <c r="G65" s="1" t="s">
        <v>164</v>
      </c>
      <c r="H65" s="1" t="s">
        <v>164</v>
      </c>
      <c r="I65" s="143">
        <v>1</v>
      </c>
      <c r="J65" s="1" t="s">
        <v>452</v>
      </c>
      <c r="K65" s="142">
        <v>2783</v>
      </c>
      <c r="L65" s="142">
        <v>2783</v>
      </c>
      <c r="M65" s="142">
        <v>2783</v>
      </c>
      <c r="N65" s="14" t="s">
        <v>2598</v>
      </c>
      <c r="O65" s="142" t="s">
        <v>106</v>
      </c>
      <c r="P65" s="80">
        <v>1</v>
      </c>
      <c r="Q65" s="1" t="s">
        <v>452</v>
      </c>
      <c r="R65" s="1" t="s">
        <v>164</v>
      </c>
      <c r="S65" s="1" t="s">
        <v>164</v>
      </c>
      <c r="T65" s="143">
        <v>1</v>
      </c>
      <c r="U65" s="1" t="s">
        <v>452</v>
      </c>
      <c r="V65" s="142">
        <v>2746</v>
      </c>
      <c r="W65" s="142">
        <v>2746</v>
      </c>
      <c r="X65" s="142">
        <v>2746</v>
      </c>
      <c r="Y65" s="14" t="s">
        <v>2597</v>
      </c>
      <c r="Z65" s="142" t="s">
        <v>106</v>
      </c>
      <c r="AA65" s="80">
        <v>1</v>
      </c>
      <c r="AB65" s="1" t="s">
        <v>452</v>
      </c>
      <c r="AC65" s="1" t="s">
        <v>164</v>
      </c>
      <c r="AD65" s="1" t="s">
        <v>164</v>
      </c>
      <c r="AE65" s="143">
        <v>1</v>
      </c>
      <c r="AF65" s="1" t="s">
        <v>452</v>
      </c>
      <c r="AG65" s="142">
        <v>2830</v>
      </c>
      <c r="AH65" s="142">
        <v>2830</v>
      </c>
      <c r="AI65" s="142">
        <v>2830</v>
      </c>
      <c r="AJ65" s="14" t="s">
        <v>2596</v>
      </c>
      <c r="AK65" s="142" t="s">
        <v>106</v>
      </c>
      <c r="AL65" s="80">
        <v>1</v>
      </c>
      <c r="AM65" s="1" t="s">
        <v>452</v>
      </c>
      <c r="AN65" s="1" t="s">
        <v>164</v>
      </c>
      <c r="AO65" s="1" t="s">
        <v>164</v>
      </c>
      <c r="AP65" s="143">
        <v>1</v>
      </c>
      <c r="AQ65" s="1" t="s">
        <v>452</v>
      </c>
      <c r="AR65" s="142">
        <v>2772</v>
      </c>
      <c r="AS65" s="142">
        <v>2772</v>
      </c>
      <c r="AT65" s="142">
        <v>2772</v>
      </c>
      <c r="AU65" s="4" t="s">
        <v>103</v>
      </c>
    </row>
    <row r="66" spans="1:47" x14ac:dyDescent="0.2">
      <c r="A66" s="174"/>
      <c r="B66" s="9" t="s">
        <v>3969</v>
      </c>
      <c r="C66" s="1" t="s">
        <v>2595</v>
      </c>
      <c r="D66" s="142" t="s">
        <v>107</v>
      </c>
      <c r="E66" s="1" t="s">
        <v>164</v>
      </c>
      <c r="F66" s="1" t="s">
        <v>164</v>
      </c>
      <c r="G66" s="1" t="s">
        <v>164</v>
      </c>
      <c r="H66" s="1" t="s">
        <v>164</v>
      </c>
      <c r="I66" s="143">
        <v>0</v>
      </c>
      <c r="J66" s="1" t="s">
        <v>163</v>
      </c>
      <c r="K66" s="142">
        <v>0</v>
      </c>
      <c r="L66" s="142">
        <v>0</v>
      </c>
      <c r="M66" s="142">
        <v>0</v>
      </c>
      <c r="N66" s="14" t="s">
        <v>2594</v>
      </c>
      <c r="O66" s="142" t="s">
        <v>107</v>
      </c>
      <c r="P66" s="1" t="s">
        <v>164</v>
      </c>
      <c r="Q66" s="1" t="s">
        <v>164</v>
      </c>
      <c r="R66" s="1" t="s">
        <v>164</v>
      </c>
      <c r="S66" s="1" t="s">
        <v>164</v>
      </c>
      <c r="T66" s="143">
        <v>0</v>
      </c>
      <c r="U66" s="1" t="s">
        <v>163</v>
      </c>
      <c r="V66" s="142">
        <v>0</v>
      </c>
      <c r="W66" s="142">
        <v>0</v>
      </c>
      <c r="X66" s="142">
        <v>0</v>
      </c>
      <c r="Y66" s="14" t="s">
        <v>2593</v>
      </c>
      <c r="Z66" s="142" t="s">
        <v>107</v>
      </c>
      <c r="AA66" s="1" t="s">
        <v>164</v>
      </c>
      <c r="AB66" s="1" t="s">
        <v>164</v>
      </c>
      <c r="AC66" s="1" t="s">
        <v>164</v>
      </c>
      <c r="AD66" s="1" t="s">
        <v>164</v>
      </c>
      <c r="AE66" s="143">
        <v>0.5</v>
      </c>
      <c r="AF66" s="1" t="s">
        <v>511</v>
      </c>
      <c r="AG66" s="142">
        <v>13222</v>
      </c>
      <c r="AH66" s="142">
        <v>2644.4</v>
      </c>
      <c r="AI66" s="142">
        <v>2607</v>
      </c>
      <c r="AJ66" s="14" t="s">
        <v>2592</v>
      </c>
      <c r="AK66" s="142" t="s">
        <v>107</v>
      </c>
      <c r="AL66" s="1" t="s">
        <v>164</v>
      </c>
      <c r="AM66" s="1" t="s">
        <v>164</v>
      </c>
      <c r="AN66" s="1" t="s">
        <v>164</v>
      </c>
      <c r="AO66" s="1" t="s">
        <v>164</v>
      </c>
      <c r="AP66" s="143">
        <v>0.5</v>
      </c>
      <c r="AQ66" s="1" t="s">
        <v>511</v>
      </c>
      <c r="AR66" s="142">
        <v>13374</v>
      </c>
      <c r="AS66" s="142">
        <v>2674.8</v>
      </c>
      <c r="AT66" s="142">
        <v>2574</v>
      </c>
      <c r="AU66" s="4" t="s">
        <v>103</v>
      </c>
    </row>
    <row r="67" spans="1:47" x14ac:dyDescent="0.2">
      <c r="A67" s="174"/>
      <c r="B67" s="9" t="s">
        <v>3970</v>
      </c>
      <c r="C67" s="1" t="s">
        <v>2591</v>
      </c>
      <c r="D67" s="142" t="s">
        <v>106</v>
      </c>
      <c r="E67" s="80">
        <v>1</v>
      </c>
      <c r="F67" s="1" t="s">
        <v>452</v>
      </c>
      <c r="G67" s="1" t="s">
        <v>164</v>
      </c>
      <c r="H67" s="1" t="s">
        <v>164</v>
      </c>
      <c r="I67" s="143">
        <v>1</v>
      </c>
      <c r="J67" s="1" t="s">
        <v>452</v>
      </c>
      <c r="K67" s="142">
        <v>2878</v>
      </c>
      <c r="L67" s="142">
        <v>2878</v>
      </c>
      <c r="M67" s="142">
        <v>2878</v>
      </c>
      <c r="N67" s="14" t="s">
        <v>2590</v>
      </c>
      <c r="O67" s="142" t="s">
        <v>106</v>
      </c>
      <c r="P67" s="80">
        <v>1</v>
      </c>
      <c r="Q67" s="1" t="s">
        <v>452</v>
      </c>
      <c r="R67" s="1" t="s">
        <v>164</v>
      </c>
      <c r="S67" s="1" t="s">
        <v>164</v>
      </c>
      <c r="T67" s="143">
        <v>1</v>
      </c>
      <c r="U67" s="1" t="s">
        <v>452</v>
      </c>
      <c r="V67" s="142">
        <v>2835</v>
      </c>
      <c r="W67" s="142">
        <v>2835</v>
      </c>
      <c r="X67" s="142">
        <v>2835</v>
      </c>
      <c r="Y67" s="14" t="s">
        <v>2589</v>
      </c>
      <c r="Z67" s="142" t="s">
        <v>106</v>
      </c>
      <c r="AA67" s="80">
        <v>1</v>
      </c>
      <c r="AB67" s="1" t="s">
        <v>529</v>
      </c>
      <c r="AC67" s="1" t="s">
        <v>164</v>
      </c>
      <c r="AD67" s="1" t="s">
        <v>164</v>
      </c>
      <c r="AE67" s="143">
        <v>1</v>
      </c>
      <c r="AF67" s="1" t="s">
        <v>529</v>
      </c>
      <c r="AG67" s="142">
        <v>31704</v>
      </c>
      <c r="AH67" s="142">
        <v>3170.4</v>
      </c>
      <c r="AI67" s="142">
        <v>3173</v>
      </c>
      <c r="AJ67" s="14" t="s">
        <v>2588</v>
      </c>
      <c r="AK67" s="142" t="s">
        <v>106</v>
      </c>
      <c r="AL67" s="80">
        <v>1</v>
      </c>
      <c r="AM67" s="1" t="s">
        <v>529</v>
      </c>
      <c r="AN67" s="1" t="s">
        <v>164</v>
      </c>
      <c r="AO67" s="1" t="s">
        <v>164</v>
      </c>
      <c r="AP67" s="143">
        <v>1</v>
      </c>
      <c r="AQ67" s="1" t="s">
        <v>529</v>
      </c>
      <c r="AR67" s="142">
        <v>31589</v>
      </c>
      <c r="AS67" s="142">
        <v>3158.9</v>
      </c>
      <c r="AT67" s="142">
        <v>3043.5</v>
      </c>
      <c r="AU67" s="4" t="s">
        <v>103</v>
      </c>
    </row>
    <row r="68" spans="1:47" x14ac:dyDescent="0.2">
      <c r="A68" s="174"/>
      <c r="B68" s="9" t="s">
        <v>3971</v>
      </c>
      <c r="C68" s="1" t="s">
        <v>2587</v>
      </c>
      <c r="D68" s="142" t="s">
        <v>107</v>
      </c>
      <c r="E68" s="1" t="s">
        <v>164</v>
      </c>
      <c r="F68" s="1" t="s">
        <v>164</v>
      </c>
      <c r="G68" s="1" t="s">
        <v>164</v>
      </c>
      <c r="H68" s="1" t="s">
        <v>164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2586</v>
      </c>
      <c r="O68" s="142" t="s">
        <v>107</v>
      </c>
      <c r="P68" s="1" t="s">
        <v>164</v>
      </c>
      <c r="Q68" s="1" t="s">
        <v>164</v>
      </c>
      <c r="R68" s="1" t="s">
        <v>164</v>
      </c>
      <c r="S68" s="1" t="s">
        <v>164</v>
      </c>
      <c r="T68" s="143">
        <v>0</v>
      </c>
      <c r="U68" s="1" t="s">
        <v>163</v>
      </c>
      <c r="V68" s="142">
        <v>0</v>
      </c>
      <c r="W68" s="142">
        <v>0</v>
      </c>
      <c r="X68" s="142">
        <v>0</v>
      </c>
      <c r="Y68" s="14" t="s">
        <v>2585</v>
      </c>
      <c r="Z68" s="142" t="s">
        <v>107</v>
      </c>
      <c r="AA68" s="1" t="s">
        <v>164</v>
      </c>
      <c r="AB68" s="1" t="s">
        <v>164</v>
      </c>
      <c r="AC68" s="1" t="s">
        <v>164</v>
      </c>
      <c r="AD68" s="1" t="s">
        <v>164</v>
      </c>
      <c r="AE68" s="143">
        <v>0.4</v>
      </c>
      <c r="AF68" s="1" t="s">
        <v>501</v>
      </c>
      <c r="AG68" s="142">
        <v>16845</v>
      </c>
      <c r="AH68" s="142">
        <v>4211.25</v>
      </c>
      <c r="AI68" s="142">
        <v>2422</v>
      </c>
      <c r="AJ68" s="14" t="s">
        <v>2584</v>
      </c>
      <c r="AK68" s="142" t="s">
        <v>107</v>
      </c>
      <c r="AL68" s="1" t="s">
        <v>164</v>
      </c>
      <c r="AM68" s="1" t="s">
        <v>164</v>
      </c>
      <c r="AN68" s="1" t="s">
        <v>164</v>
      </c>
      <c r="AO68" s="1" t="s">
        <v>164</v>
      </c>
      <c r="AP68" s="143">
        <v>0.4</v>
      </c>
      <c r="AQ68" s="1" t="s">
        <v>501</v>
      </c>
      <c r="AR68" s="142">
        <v>16328</v>
      </c>
      <c r="AS68" s="142">
        <v>4082</v>
      </c>
      <c r="AT68" s="142">
        <v>2316.5</v>
      </c>
      <c r="AU68" s="4" t="s">
        <v>102</v>
      </c>
    </row>
    <row r="69" spans="1:47" x14ac:dyDescent="0.2">
      <c r="A69" s="174"/>
      <c r="B69" s="9" t="s">
        <v>3972</v>
      </c>
      <c r="C69" s="1" t="s">
        <v>2583</v>
      </c>
      <c r="D69" s="142" t="s">
        <v>106</v>
      </c>
      <c r="E69" s="80">
        <v>0</v>
      </c>
      <c r="F69" s="1" t="s">
        <v>163</v>
      </c>
      <c r="G69" s="1" t="s">
        <v>164</v>
      </c>
      <c r="H69" s="1" t="s">
        <v>164</v>
      </c>
      <c r="I69" s="143">
        <v>0</v>
      </c>
      <c r="J69" s="1" t="s">
        <v>163</v>
      </c>
      <c r="K69" s="142">
        <v>0</v>
      </c>
      <c r="L69" s="142">
        <v>0</v>
      </c>
      <c r="M69" s="142">
        <v>0</v>
      </c>
      <c r="N69" s="14" t="s">
        <v>2582</v>
      </c>
      <c r="O69" s="142" t="s">
        <v>106</v>
      </c>
      <c r="P69" s="80">
        <v>0</v>
      </c>
      <c r="Q69" s="1" t="s">
        <v>163</v>
      </c>
      <c r="R69" s="1" t="s">
        <v>164</v>
      </c>
      <c r="S69" s="1" t="s">
        <v>164</v>
      </c>
      <c r="T69" s="143">
        <v>0</v>
      </c>
      <c r="U69" s="1" t="s">
        <v>163</v>
      </c>
      <c r="V69" s="142">
        <v>0</v>
      </c>
      <c r="W69" s="142">
        <v>0</v>
      </c>
      <c r="X69" s="142">
        <v>0</v>
      </c>
      <c r="Y69" s="14" t="s">
        <v>2581</v>
      </c>
      <c r="Z69" s="142" t="s">
        <v>106</v>
      </c>
      <c r="AA69" s="80">
        <v>0.3</v>
      </c>
      <c r="AB69" s="1" t="s">
        <v>1004</v>
      </c>
      <c r="AC69" s="1" t="s">
        <v>164</v>
      </c>
      <c r="AD69" s="1" t="s">
        <v>164</v>
      </c>
      <c r="AE69" s="143">
        <v>0.3</v>
      </c>
      <c r="AF69" s="1" t="s">
        <v>1004</v>
      </c>
      <c r="AG69" s="142">
        <v>679389</v>
      </c>
      <c r="AH69" s="142">
        <v>226463</v>
      </c>
      <c r="AI69" s="142">
        <v>230837</v>
      </c>
      <c r="AJ69" s="14" t="s">
        <v>2580</v>
      </c>
      <c r="AK69" s="142" t="s">
        <v>106</v>
      </c>
      <c r="AL69" s="80">
        <v>0.3</v>
      </c>
      <c r="AM69" s="1" t="s">
        <v>1004</v>
      </c>
      <c r="AN69" s="1" t="s">
        <v>164</v>
      </c>
      <c r="AO69" s="1" t="s">
        <v>164</v>
      </c>
      <c r="AP69" s="143">
        <v>0.3</v>
      </c>
      <c r="AQ69" s="1" t="s">
        <v>1004</v>
      </c>
      <c r="AR69" s="142">
        <v>552041</v>
      </c>
      <c r="AS69" s="142">
        <v>184013.67</v>
      </c>
      <c r="AT69" s="142">
        <v>179942</v>
      </c>
      <c r="AU69" s="4" t="s">
        <v>102</v>
      </c>
    </row>
    <row r="70" spans="1:47" x14ac:dyDescent="0.2">
      <c r="A70" s="174"/>
      <c r="B70" s="9" t="s">
        <v>70</v>
      </c>
      <c r="C70" s="1" t="s">
        <v>2579</v>
      </c>
      <c r="D70" s="142" t="s">
        <v>106</v>
      </c>
      <c r="E70" s="80">
        <v>0</v>
      </c>
      <c r="F70" s="1" t="s">
        <v>169</v>
      </c>
      <c r="G70" s="80">
        <v>0</v>
      </c>
      <c r="H70" s="1" t="s">
        <v>163</v>
      </c>
      <c r="I70" s="143">
        <v>0</v>
      </c>
      <c r="J70" s="1" t="s">
        <v>163</v>
      </c>
      <c r="K70" s="142">
        <v>0</v>
      </c>
      <c r="L70" s="142">
        <v>0</v>
      </c>
      <c r="M70" s="142">
        <v>0</v>
      </c>
      <c r="N70" s="14" t="s">
        <v>2578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2577</v>
      </c>
      <c r="Z70" s="142" t="s">
        <v>106</v>
      </c>
      <c r="AA70" s="80">
        <v>1</v>
      </c>
      <c r="AB70" s="1" t="s">
        <v>516</v>
      </c>
      <c r="AC70" s="80">
        <v>0</v>
      </c>
      <c r="AD70" s="1" t="s">
        <v>218</v>
      </c>
      <c r="AE70" s="143">
        <v>0.5</v>
      </c>
      <c r="AF70" s="1" t="s">
        <v>511</v>
      </c>
      <c r="AG70" s="142">
        <v>34574</v>
      </c>
      <c r="AH70" s="142">
        <v>6914.8</v>
      </c>
      <c r="AI70" s="142">
        <v>6280</v>
      </c>
      <c r="AJ70" s="14" t="s">
        <v>2576</v>
      </c>
      <c r="AK70" s="142" t="s">
        <v>106</v>
      </c>
      <c r="AL70" s="80">
        <v>1</v>
      </c>
      <c r="AM70" s="1" t="s">
        <v>516</v>
      </c>
      <c r="AN70" s="80">
        <v>0</v>
      </c>
      <c r="AO70" s="1" t="s">
        <v>218</v>
      </c>
      <c r="AP70" s="143">
        <v>0.5</v>
      </c>
      <c r="AQ70" s="1" t="s">
        <v>511</v>
      </c>
      <c r="AR70" s="142">
        <v>14551</v>
      </c>
      <c r="AS70" s="142">
        <v>2910.2</v>
      </c>
      <c r="AT70" s="142">
        <v>2803</v>
      </c>
      <c r="AU70" s="4" t="s">
        <v>102</v>
      </c>
    </row>
    <row r="71" spans="1:47" x14ac:dyDescent="0.2">
      <c r="A71" s="174"/>
      <c r="B71" s="9" t="s">
        <v>71</v>
      </c>
      <c r="C71" s="1" t="s">
        <v>2575</v>
      </c>
      <c r="D71" s="142" t="s">
        <v>106</v>
      </c>
      <c r="E71" s="80">
        <v>1</v>
      </c>
      <c r="F71" s="1" t="s">
        <v>452</v>
      </c>
      <c r="G71" s="1" t="s">
        <v>164</v>
      </c>
      <c r="H71" s="1" t="s">
        <v>164</v>
      </c>
      <c r="I71" s="143">
        <v>1</v>
      </c>
      <c r="J71" s="1" t="s">
        <v>452</v>
      </c>
      <c r="K71" s="142">
        <v>3283</v>
      </c>
      <c r="L71" s="142">
        <v>3283</v>
      </c>
      <c r="M71" s="142">
        <v>3283</v>
      </c>
      <c r="N71" s="14" t="s">
        <v>2574</v>
      </c>
      <c r="O71" s="142" t="s">
        <v>106</v>
      </c>
      <c r="P71" s="80">
        <v>1</v>
      </c>
      <c r="Q71" s="1" t="s">
        <v>452</v>
      </c>
      <c r="R71" s="1" t="s">
        <v>164</v>
      </c>
      <c r="S71" s="1" t="s">
        <v>164</v>
      </c>
      <c r="T71" s="143">
        <v>1</v>
      </c>
      <c r="U71" s="1" t="s">
        <v>452</v>
      </c>
      <c r="V71" s="142">
        <v>3411</v>
      </c>
      <c r="W71" s="142">
        <v>3411</v>
      </c>
      <c r="X71" s="142">
        <v>3411</v>
      </c>
      <c r="Y71" s="14" t="s">
        <v>2573</v>
      </c>
      <c r="Z71" s="142" t="s">
        <v>106</v>
      </c>
      <c r="AA71" s="80">
        <v>1</v>
      </c>
      <c r="AB71" s="1" t="s">
        <v>529</v>
      </c>
      <c r="AC71" s="1" t="s">
        <v>164</v>
      </c>
      <c r="AD71" s="1" t="s">
        <v>164</v>
      </c>
      <c r="AE71" s="143">
        <v>1</v>
      </c>
      <c r="AF71" s="1" t="s">
        <v>529</v>
      </c>
      <c r="AG71" s="142">
        <v>29946</v>
      </c>
      <c r="AH71" s="142">
        <v>2994.6</v>
      </c>
      <c r="AI71" s="142">
        <v>2925</v>
      </c>
      <c r="AJ71" s="14" t="s">
        <v>2572</v>
      </c>
      <c r="AK71" s="142" t="s">
        <v>106</v>
      </c>
      <c r="AL71" s="80">
        <v>1</v>
      </c>
      <c r="AM71" s="1" t="s">
        <v>529</v>
      </c>
      <c r="AN71" s="1" t="s">
        <v>164</v>
      </c>
      <c r="AO71" s="1" t="s">
        <v>164</v>
      </c>
      <c r="AP71" s="143">
        <v>1</v>
      </c>
      <c r="AQ71" s="1" t="s">
        <v>529</v>
      </c>
      <c r="AR71" s="142">
        <v>32106</v>
      </c>
      <c r="AS71" s="142">
        <v>3210.6</v>
      </c>
      <c r="AT71" s="142">
        <v>3173.5</v>
      </c>
      <c r="AU71" s="4" t="s">
        <v>102</v>
      </c>
    </row>
    <row r="72" spans="1:47" x14ac:dyDescent="0.2">
      <c r="A72" s="174"/>
      <c r="B72" s="9" t="s">
        <v>72</v>
      </c>
      <c r="C72" s="1" t="s">
        <v>2571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2570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2569</v>
      </c>
      <c r="Z72" s="142" t="s">
        <v>106</v>
      </c>
      <c r="AA72" s="80">
        <v>0.2</v>
      </c>
      <c r="AB72" s="1" t="s">
        <v>1049</v>
      </c>
      <c r="AC72" s="80">
        <v>0</v>
      </c>
      <c r="AD72" s="1" t="s">
        <v>218</v>
      </c>
      <c r="AE72" s="143">
        <v>0.1</v>
      </c>
      <c r="AF72" s="1" t="s">
        <v>1235</v>
      </c>
      <c r="AG72" s="142">
        <v>9433</v>
      </c>
      <c r="AH72" s="142">
        <v>9433</v>
      </c>
      <c r="AI72" s="142">
        <v>9433</v>
      </c>
      <c r="AJ72" s="14" t="s">
        <v>2568</v>
      </c>
      <c r="AK72" s="142" t="s">
        <v>106</v>
      </c>
      <c r="AL72" s="80">
        <v>0.2</v>
      </c>
      <c r="AM72" s="1" t="s">
        <v>1049</v>
      </c>
      <c r="AN72" s="80">
        <v>0</v>
      </c>
      <c r="AO72" s="1" t="s">
        <v>218</v>
      </c>
      <c r="AP72" s="143">
        <v>0.1</v>
      </c>
      <c r="AQ72" s="1" t="s">
        <v>1235</v>
      </c>
      <c r="AR72" s="142">
        <v>6733</v>
      </c>
      <c r="AS72" s="142">
        <v>6733</v>
      </c>
      <c r="AT72" s="142">
        <v>6733</v>
      </c>
      <c r="AU72" s="4" t="s">
        <v>102</v>
      </c>
    </row>
    <row r="73" spans="1:47" x14ac:dyDescent="0.2">
      <c r="A73" s="174"/>
      <c r="B73" s="9" t="s">
        <v>73</v>
      </c>
      <c r="C73" s="1" t="s">
        <v>2567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2815</v>
      </c>
      <c r="L73" s="142">
        <v>2815</v>
      </c>
      <c r="M73" s="142">
        <v>2815</v>
      </c>
      <c r="N73" s="14" t="s">
        <v>2566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2458</v>
      </c>
      <c r="W73" s="142">
        <v>2458</v>
      </c>
      <c r="X73" s="142">
        <v>2458</v>
      </c>
      <c r="Y73" s="14" t="s">
        <v>2565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28373</v>
      </c>
      <c r="AH73" s="142">
        <v>2837.3</v>
      </c>
      <c r="AI73" s="142">
        <v>2836.5</v>
      </c>
      <c r="AJ73" s="14" t="s">
        <v>2564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26081</v>
      </c>
      <c r="AS73" s="142">
        <v>2608.1</v>
      </c>
      <c r="AT73" s="142">
        <v>2600</v>
      </c>
      <c r="AU73" s="4" t="s">
        <v>102</v>
      </c>
    </row>
    <row r="74" spans="1:47" x14ac:dyDescent="0.2">
      <c r="A74" s="174"/>
      <c r="B74" s="9" t="s">
        <v>74</v>
      </c>
      <c r="C74" s="1" t="s">
        <v>2563</v>
      </c>
      <c r="D74" s="142" t="s">
        <v>106</v>
      </c>
      <c r="E74" s="80">
        <v>0</v>
      </c>
      <c r="F74" s="1" t="s">
        <v>169</v>
      </c>
      <c r="G74" s="80">
        <v>0</v>
      </c>
      <c r="H74" s="1" t="s">
        <v>163</v>
      </c>
      <c r="I74" s="143">
        <v>0</v>
      </c>
      <c r="J74" s="1" t="s">
        <v>163</v>
      </c>
      <c r="K74" s="142">
        <v>0</v>
      </c>
      <c r="L74" s="142">
        <v>0</v>
      </c>
      <c r="M74" s="142">
        <v>0</v>
      </c>
      <c r="N74" s="14" t="s">
        <v>2562</v>
      </c>
      <c r="O74" s="142" t="s">
        <v>106</v>
      </c>
      <c r="P74" s="80">
        <v>0</v>
      </c>
      <c r="Q74" s="1" t="s">
        <v>169</v>
      </c>
      <c r="R74" s="80">
        <v>0</v>
      </c>
      <c r="S74" s="1" t="s">
        <v>163</v>
      </c>
      <c r="T74" s="143">
        <v>0</v>
      </c>
      <c r="U74" s="1" t="s">
        <v>163</v>
      </c>
      <c r="V74" s="142">
        <v>0</v>
      </c>
      <c r="W74" s="142">
        <v>0</v>
      </c>
      <c r="X74" s="142">
        <v>0</v>
      </c>
      <c r="Y74" s="14" t="s">
        <v>2561</v>
      </c>
      <c r="Z74" s="142" t="s">
        <v>106</v>
      </c>
      <c r="AA74" s="80">
        <v>0.4</v>
      </c>
      <c r="AB74" s="1" t="s">
        <v>974</v>
      </c>
      <c r="AC74" s="80">
        <v>0</v>
      </c>
      <c r="AD74" s="1" t="s">
        <v>218</v>
      </c>
      <c r="AE74" s="143">
        <v>0.2</v>
      </c>
      <c r="AF74" s="1" t="s">
        <v>930</v>
      </c>
      <c r="AG74" s="142">
        <v>8090</v>
      </c>
      <c r="AH74" s="142">
        <v>4045</v>
      </c>
      <c r="AI74" s="142">
        <v>4045</v>
      </c>
      <c r="AJ74" s="14" t="s">
        <v>2560</v>
      </c>
      <c r="AK74" s="142" t="s">
        <v>106</v>
      </c>
      <c r="AL74" s="80">
        <v>0.4</v>
      </c>
      <c r="AM74" s="1" t="s">
        <v>974</v>
      </c>
      <c r="AN74" s="80">
        <v>0</v>
      </c>
      <c r="AO74" s="1" t="s">
        <v>218</v>
      </c>
      <c r="AP74" s="143">
        <v>0.2</v>
      </c>
      <c r="AQ74" s="1" t="s">
        <v>930</v>
      </c>
      <c r="AR74" s="142">
        <v>8409</v>
      </c>
      <c r="AS74" s="142">
        <v>4204.5</v>
      </c>
      <c r="AT74" s="142">
        <v>4204.5</v>
      </c>
      <c r="AU74" s="4" t="s">
        <v>102</v>
      </c>
    </row>
    <row r="75" spans="1:47" x14ac:dyDescent="0.2">
      <c r="A75" s="174"/>
      <c r="B75" s="9" t="s">
        <v>75</v>
      </c>
      <c r="C75" s="1" t="s">
        <v>2559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2558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2557</v>
      </c>
      <c r="Z75" s="142" t="s">
        <v>106</v>
      </c>
      <c r="AA75" s="80">
        <v>0.3</v>
      </c>
      <c r="AB75" s="1" t="s">
        <v>1004</v>
      </c>
      <c r="AC75" s="1" t="s">
        <v>164</v>
      </c>
      <c r="AD75" s="1" t="s">
        <v>164</v>
      </c>
      <c r="AE75" s="143">
        <v>0.3</v>
      </c>
      <c r="AF75" s="1" t="s">
        <v>1004</v>
      </c>
      <c r="AG75" s="142">
        <v>12886</v>
      </c>
      <c r="AH75" s="142">
        <v>4295.33</v>
      </c>
      <c r="AI75" s="142">
        <v>3339</v>
      </c>
      <c r="AJ75" s="14" t="s">
        <v>2556</v>
      </c>
      <c r="AK75" s="142" t="s">
        <v>106</v>
      </c>
      <c r="AL75" s="80">
        <v>0.3</v>
      </c>
      <c r="AM75" s="1" t="s">
        <v>1004</v>
      </c>
      <c r="AN75" s="1" t="s">
        <v>164</v>
      </c>
      <c r="AO75" s="1" t="s">
        <v>164</v>
      </c>
      <c r="AP75" s="143">
        <v>0.3</v>
      </c>
      <c r="AQ75" s="1" t="s">
        <v>1004</v>
      </c>
      <c r="AR75" s="142">
        <v>12787</v>
      </c>
      <c r="AS75" s="142">
        <v>4262.33</v>
      </c>
      <c r="AT75" s="142">
        <v>3446</v>
      </c>
      <c r="AU75" s="4" t="s">
        <v>102</v>
      </c>
    </row>
    <row r="76" spans="1:47" x14ac:dyDescent="0.2">
      <c r="A76" s="174"/>
      <c r="B76" s="9" t="s">
        <v>160</v>
      </c>
      <c r="C76" s="1" t="s">
        <v>2555</v>
      </c>
      <c r="D76" s="142" t="s">
        <v>106</v>
      </c>
      <c r="E76" s="80">
        <v>0</v>
      </c>
      <c r="F76" s="1" t="s">
        <v>163</v>
      </c>
      <c r="G76" s="1" t="s">
        <v>164</v>
      </c>
      <c r="H76" s="1" t="s">
        <v>164</v>
      </c>
      <c r="I76" s="143">
        <v>0</v>
      </c>
      <c r="J76" s="1" t="s">
        <v>163</v>
      </c>
      <c r="K76" s="142">
        <v>0</v>
      </c>
      <c r="L76" s="142">
        <v>0</v>
      </c>
      <c r="M76" s="142">
        <v>0</v>
      </c>
      <c r="N76" s="14" t="s">
        <v>2554</v>
      </c>
      <c r="O76" s="142" t="s">
        <v>106</v>
      </c>
      <c r="P76" s="80">
        <v>0</v>
      </c>
      <c r="Q76" s="1" t="s">
        <v>163</v>
      </c>
      <c r="R76" s="1" t="s">
        <v>164</v>
      </c>
      <c r="S76" s="1" t="s">
        <v>164</v>
      </c>
      <c r="T76" s="143">
        <v>0</v>
      </c>
      <c r="U76" s="1" t="s">
        <v>163</v>
      </c>
      <c r="V76" s="142">
        <v>0</v>
      </c>
      <c r="W76" s="142">
        <v>0</v>
      </c>
      <c r="X76" s="142">
        <v>0</v>
      </c>
      <c r="Y76" s="14" t="s">
        <v>2553</v>
      </c>
      <c r="Z76" s="142" t="s">
        <v>106</v>
      </c>
      <c r="AA76" s="80">
        <v>0</v>
      </c>
      <c r="AB76" s="1" t="s">
        <v>213</v>
      </c>
      <c r="AC76" s="1" t="s">
        <v>164</v>
      </c>
      <c r="AD76" s="1" t="s">
        <v>164</v>
      </c>
      <c r="AE76" s="143">
        <v>0</v>
      </c>
      <c r="AF76" s="1" t="s">
        <v>213</v>
      </c>
      <c r="AG76" s="142">
        <v>0</v>
      </c>
      <c r="AH76" s="142">
        <v>0</v>
      </c>
      <c r="AI76" s="142">
        <v>0</v>
      </c>
      <c r="AJ76" s="14" t="s">
        <v>2552</v>
      </c>
      <c r="AK76" s="142" t="s">
        <v>106</v>
      </c>
      <c r="AL76" s="80">
        <v>0</v>
      </c>
      <c r="AM76" s="1" t="s">
        <v>213</v>
      </c>
      <c r="AN76" s="1" t="s">
        <v>164</v>
      </c>
      <c r="AO76" s="1" t="s">
        <v>164</v>
      </c>
      <c r="AP76" s="143">
        <v>0</v>
      </c>
      <c r="AQ76" s="1" t="s">
        <v>213</v>
      </c>
      <c r="AR76" s="142">
        <v>0</v>
      </c>
      <c r="AS76" s="142">
        <v>0</v>
      </c>
      <c r="AT76" s="142">
        <v>0</v>
      </c>
      <c r="AU76" s="4" t="s">
        <v>103</v>
      </c>
    </row>
    <row r="77" spans="1:47" x14ac:dyDescent="0.2">
      <c r="A77" s="174"/>
      <c r="B77" s="9" t="s">
        <v>76</v>
      </c>
      <c r="C77" s="1" t="s">
        <v>2551</v>
      </c>
      <c r="D77" s="142" t="s">
        <v>107</v>
      </c>
      <c r="E77" s="1" t="s">
        <v>164</v>
      </c>
      <c r="F77" s="1" t="s">
        <v>164</v>
      </c>
      <c r="G77" s="1" t="s">
        <v>164</v>
      </c>
      <c r="H77" s="1" t="s">
        <v>164</v>
      </c>
      <c r="I77" s="143">
        <v>0</v>
      </c>
      <c r="J77" s="1" t="s">
        <v>163</v>
      </c>
      <c r="K77" s="142">
        <v>0</v>
      </c>
      <c r="L77" s="142">
        <v>0</v>
      </c>
      <c r="M77" s="142">
        <v>0</v>
      </c>
      <c r="N77" s="14" t="s">
        <v>2550</v>
      </c>
      <c r="O77" s="142" t="s">
        <v>107</v>
      </c>
      <c r="P77" s="1" t="s">
        <v>164</v>
      </c>
      <c r="Q77" s="1" t="s">
        <v>164</v>
      </c>
      <c r="R77" s="1" t="s">
        <v>164</v>
      </c>
      <c r="S77" s="1" t="s">
        <v>164</v>
      </c>
      <c r="T77" s="143">
        <v>0</v>
      </c>
      <c r="U77" s="1" t="s">
        <v>163</v>
      </c>
      <c r="V77" s="142">
        <v>0</v>
      </c>
      <c r="W77" s="142">
        <v>0</v>
      </c>
      <c r="X77" s="142">
        <v>0</v>
      </c>
      <c r="Y77" s="14" t="s">
        <v>2549</v>
      </c>
      <c r="Z77" s="142" t="s">
        <v>106</v>
      </c>
      <c r="AA77" s="80">
        <v>0.3</v>
      </c>
      <c r="AB77" s="1" t="s">
        <v>1004</v>
      </c>
      <c r="AC77" s="1" t="s">
        <v>164</v>
      </c>
      <c r="AD77" s="1" t="s">
        <v>164</v>
      </c>
      <c r="AE77" s="143">
        <v>0.3</v>
      </c>
      <c r="AF77" s="1" t="s">
        <v>1004</v>
      </c>
      <c r="AG77" s="142">
        <v>10000</v>
      </c>
      <c r="AH77" s="142">
        <v>3333.33</v>
      </c>
      <c r="AI77" s="142">
        <v>3776</v>
      </c>
      <c r="AJ77" s="14" t="s">
        <v>2548</v>
      </c>
      <c r="AK77" s="142" t="s">
        <v>106</v>
      </c>
      <c r="AL77" s="80">
        <v>0.3</v>
      </c>
      <c r="AM77" s="1" t="s">
        <v>1004</v>
      </c>
      <c r="AN77" s="1" t="s">
        <v>164</v>
      </c>
      <c r="AO77" s="1" t="s">
        <v>164</v>
      </c>
      <c r="AP77" s="143">
        <v>0.3</v>
      </c>
      <c r="AQ77" s="1" t="s">
        <v>1004</v>
      </c>
      <c r="AR77" s="142">
        <v>8773</v>
      </c>
      <c r="AS77" s="142">
        <v>2924.33</v>
      </c>
      <c r="AT77" s="142">
        <v>3199</v>
      </c>
      <c r="AU77" s="4" t="s">
        <v>103</v>
      </c>
    </row>
    <row r="78" spans="1:47" x14ac:dyDescent="0.2">
      <c r="A78" s="174"/>
      <c r="B78" s="9" t="s">
        <v>161</v>
      </c>
      <c r="C78" s="1" t="s">
        <v>2547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2546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2545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2544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4"/>
      <c r="B79" s="9" t="s">
        <v>77</v>
      </c>
      <c r="C79" s="1" t="s">
        <v>2543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2542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2541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2540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4"/>
      <c r="B80" s="9" t="s">
        <v>162</v>
      </c>
      <c r="C80" s="1" t="s">
        <v>2539</v>
      </c>
      <c r="D80" s="142" t="s">
        <v>106</v>
      </c>
      <c r="E80" s="80">
        <v>0</v>
      </c>
      <c r="F80" s="1" t="s">
        <v>163</v>
      </c>
      <c r="G80" s="1" t="s">
        <v>164</v>
      </c>
      <c r="H80" s="1" t="s">
        <v>164</v>
      </c>
      <c r="I80" s="143">
        <v>0</v>
      </c>
      <c r="J80" s="1" t="s">
        <v>163</v>
      </c>
      <c r="K80" s="142">
        <v>0</v>
      </c>
      <c r="L80" s="142">
        <v>0</v>
      </c>
      <c r="M80" s="142">
        <v>0</v>
      </c>
      <c r="N80" s="14" t="s">
        <v>2538</v>
      </c>
      <c r="O80" s="142" t="s">
        <v>106</v>
      </c>
      <c r="P80" s="80">
        <v>0</v>
      </c>
      <c r="Q80" s="1" t="s">
        <v>163</v>
      </c>
      <c r="R80" s="1" t="s">
        <v>164</v>
      </c>
      <c r="S80" s="1" t="s">
        <v>164</v>
      </c>
      <c r="T80" s="143">
        <v>0</v>
      </c>
      <c r="U80" s="1" t="s">
        <v>163</v>
      </c>
      <c r="V80" s="142">
        <v>0</v>
      </c>
      <c r="W80" s="142">
        <v>0</v>
      </c>
      <c r="X80" s="142">
        <v>0</v>
      </c>
      <c r="Y80" s="14" t="s">
        <v>2537</v>
      </c>
      <c r="Z80" s="142" t="s">
        <v>106</v>
      </c>
      <c r="AA80" s="80">
        <v>0</v>
      </c>
      <c r="AB80" s="1" t="s">
        <v>213</v>
      </c>
      <c r="AC80" s="1" t="s">
        <v>164</v>
      </c>
      <c r="AD80" s="1" t="s">
        <v>164</v>
      </c>
      <c r="AE80" s="143">
        <v>0</v>
      </c>
      <c r="AF80" s="1" t="s">
        <v>213</v>
      </c>
      <c r="AG80" s="142">
        <v>0</v>
      </c>
      <c r="AH80" s="142">
        <v>0</v>
      </c>
      <c r="AI80" s="142">
        <v>0</v>
      </c>
      <c r="AJ80" s="14" t="s">
        <v>2536</v>
      </c>
      <c r="AK80" s="142" t="s">
        <v>106</v>
      </c>
      <c r="AL80" s="80">
        <v>0</v>
      </c>
      <c r="AM80" s="1" t="s">
        <v>213</v>
      </c>
      <c r="AN80" s="1" t="s">
        <v>164</v>
      </c>
      <c r="AO80" s="1" t="s">
        <v>164</v>
      </c>
      <c r="AP80" s="143">
        <v>0</v>
      </c>
      <c r="AQ80" s="1" t="s">
        <v>213</v>
      </c>
      <c r="AR80" s="142">
        <v>0</v>
      </c>
      <c r="AS80" s="142">
        <v>0</v>
      </c>
      <c r="AT80" s="142">
        <v>0</v>
      </c>
      <c r="AU80" s="4" t="s">
        <v>103</v>
      </c>
    </row>
    <row r="81" spans="1:47" x14ac:dyDescent="0.2">
      <c r="A81" s="174"/>
      <c r="B81" s="9" t="s">
        <v>78</v>
      </c>
      <c r="C81" s="1" t="s">
        <v>2535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2656</v>
      </c>
      <c r="L81" s="142">
        <v>2656</v>
      </c>
      <c r="M81" s="142">
        <v>2656</v>
      </c>
      <c r="N81" s="14" t="s">
        <v>2534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2624</v>
      </c>
      <c r="W81" s="142">
        <v>2624</v>
      </c>
      <c r="X81" s="142">
        <v>2624</v>
      </c>
      <c r="Y81" s="14" t="s">
        <v>2533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26549</v>
      </c>
      <c r="AH81" s="142">
        <v>2654.9</v>
      </c>
      <c r="AI81" s="142">
        <v>2669</v>
      </c>
      <c r="AJ81" s="14" t="s">
        <v>2532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26541</v>
      </c>
      <c r="AS81" s="142">
        <v>2654.1</v>
      </c>
      <c r="AT81" s="142">
        <v>2718</v>
      </c>
      <c r="AU81" s="4" t="s">
        <v>103</v>
      </c>
    </row>
    <row r="82" spans="1:47" x14ac:dyDescent="0.2">
      <c r="A82" s="174"/>
      <c r="B82" s="9" t="s">
        <v>79</v>
      </c>
      <c r="C82" s="1" t="s">
        <v>2531</v>
      </c>
      <c r="D82" s="142" t="s">
        <v>106</v>
      </c>
      <c r="E82" s="80">
        <v>0</v>
      </c>
      <c r="F82" s="1" t="s">
        <v>169</v>
      </c>
      <c r="G82" s="80">
        <v>0</v>
      </c>
      <c r="H82" s="1" t="s">
        <v>163</v>
      </c>
      <c r="I82" s="143">
        <v>0</v>
      </c>
      <c r="J82" s="1" t="s">
        <v>163</v>
      </c>
      <c r="K82" s="142">
        <v>0</v>
      </c>
      <c r="L82" s="142">
        <v>0</v>
      </c>
      <c r="M82" s="142">
        <v>0</v>
      </c>
      <c r="N82" s="14" t="s">
        <v>2530</v>
      </c>
      <c r="O82" s="142" t="s">
        <v>106</v>
      </c>
      <c r="P82" s="80">
        <v>0</v>
      </c>
      <c r="Q82" s="1" t="s">
        <v>169</v>
      </c>
      <c r="R82" s="80">
        <v>0</v>
      </c>
      <c r="S82" s="1" t="s">
        <v>163</v>
      </c>
      <c r="T82" s="143">
        <v>0</v>
      </c>
      <c r="U82" s="1" t="s">
        <v>163</v>
      </c>
      <c r="V82" s="142">
        <v>0</v>
      </c>
      <c r="W82" s="142">
        <v>0</v>
      </c>
      <c r="X82" s="142">
        <v>0</v>
      </c>
      <c r="Y82" s="14" t="s">
        <v>2529</v>
      </c>
      <c r="Z82" s="142" t="s">
        <v>106</v>
      </c>
      <c r="AA82" s="80">
        <v>0.4</v>
      </c>
      <c r="AB82" s="1" t="s">
        <v>974</v>
      </c>
      <c r="AC82" s="80">
        <v>0</v>
      </c>
      <c r="AD82" s="1" t="s">
        <v>218</v>
      </c>
      <c r="AE82" s="143">
        <v>0.2</v>
      </c>
      <c r="AF82" s="1" t="s">
        <v>930</v>
      </c>
      <c r="AG82" s="142">
        <v>4645</v>
      </c>
      <c r="AH82" s="142">
        <v>2322.5</v>
      </c>
      <c r="AI82" s="142">
        <v>2322.5</v>
      </c>
      <c r="AJ82" s="14" t="s">
        <v>2528</v>
      </c>
      <c r="AK82" s="142" t="s">
        <v>106</v>
      </c>
      <c r="AL82" s="80">
        <v>0.4</v>
      </c>
      <c r="AM82" s="1" t="s">
        <v>974</v>
      </c>
      <c r="AN82" s="80">
        <v>0</v>
      </c>
      <c r="AO82" s="1" t="s">
        <v>218</v>
      </c>
      <c r="AP82" s="143">
        <v>0.2</v>
      </c>
      <c r="AQ82" s="1" t="s">
        <v>930</v>
      </c>
      <c r="AR82" s="142">
        <v>4659</v>
      </c>
      <c r="AS82" s="142">
        <v>2329.5</v>
      </c>
      <c r="AT82" s="142">
        <v>2329.5</v>
      </c>
      <c r="AU82" s="4" t="s">
        <v>102</v>
      </c>
    </row>
    <row r="83" spans="1:47" x14ac:dyDescent="0.2">
      <c r="A83" s="174"/>
      <c r="B83" s="9" t="s">
        <v>80</v>
      </c>
      <c r="C83" s="1" t="s">
        <v>2527</v>
      </c>
      <c r="D83" s="142" t="s">
        <v>106</v>
      </c>
      <c r="E83" s="80">
        <v>0</v>
      </c>
      <c r="F83" s="1" t="s">
        <v>163</v>
      </c>
      <c r="G83" s="1" t="s">
        <v>164</v>
      </c>
      <c r="H83" s="1" t="s">
        <v>164</v>
      </c>
      <c r="I83" s="143">
        <v>0</v>
      </c>
      <c r="J83" s="1" t="s">
        <v>163</v>
      </c>
      <c r="K83" s="142">
        <v>0</v>
      </c>
      <c r="L83" s="142">
        <v>0</v>
      </c>
      <c r="M83" s="142">
        <v>0</v>
      </c>
      <c r="N83" s="14" t="s">
        <v>2526</v>
      </c>
      <c r="O83" s="142" t="s">
        <v>106</v>
      </c>
      <c r="P83" s="80">
        <v>0</v>
      </c>
      <c r="Q83" s="1" t="s">
        <v>163</v>
      </c>
      <c r="R83" s="1" t="s">
        <v>164</v>
      </c>
      <c r="S83" s="1" t="s">
        <v>164</v>
      </c>
      <c r="T83" s="143">
        <v>0</v>
      </c>
      <c r="U83" s="1" t="s">
        <v>163</v>
      </c>
      <c r="V83" s="142">
        <v>0</v>
      </c>
      <c r="W83" s="142">
        <v>0</v>
      </c>
      <c r="X83" s="142">
        <v>0</v>
      </c>
      <c r="Y83" s="14" t="s">
        <v>2525</v>
      </c>
      <c r="Z83" s="142" t="s">
        <v>106</v>
      </c>
      <c r="AA83" s="80">
        <v>0.3</v>
      </c>
      <c r="AB83" s="1" t="s">
        <v>1004</v>
      </c>
      <c r="AC83" s="1" t="s">
        <v>164</v>
      </c>
      <c r="AD83" s="1" t="s">
        <v>164</v>
      </c>
      <c r="AE83" s="143">
        <v>0.3</v>
      </c>
      <c r="AF83" s="1" t="s">
        <v>1004</v>
      </c>
      <c r="AG83" s="142">
        <v>12948</v>
      </c>
      <c r="AH83" s="142">
        <v>4316</v>
      </c>
      <c r="AI83" s="142">
        <v>4291</v>
      </c>
      <c r="AJ83" s="14" t="s">
        <v>2524</v>
      </c>
      <c r="AK83" s="142" t="s">
        <v>106</v>
      </c>
      <c r="AL83" s="80">
        <v>0.3</v>
      </c>
      <c r="AM83" s="1" t="s">
        <v>1004</v>
      </c>
      <c r="AN83" s="1" t="s">
        <v>164</v>
      </c>
      <c r="AO83" s="1" t="s">
        <v>164</v>
      </c>
      <c r="AP83" s="143">
        <v>0.3</v>
      </c>
      <c r="AQ83" s="1" t="s">
        <v>1004</v>
      </c>
      <c r="AR83" s="142">
        <v>12957</v>
      </c>
      <c r="AS83" s="142">
        <v>4319</v>
      </c>
      <c r="AT83" s="142">
        <v>4324</v>
      </c>
      <c r="AU83" s="4" t="s">
        <v>102</v>
      </c>
    </row>
    <row r="84" spans="1:47" x14ac:dyDescent="0.2">
      <c r="A84" s="174"/>
      <c r="B84" s="9" t="s">
        <v>81</v>
      </c>
      <c r="C84" s="1" t="s">
        <v>2523</v>
      </c>
      <c r="D84" s="142" t="s">
        <v>106</v>
      </c>
      <c r="E84" s="80">
        <v>0</v>
      </c>
      <c r="F84" s="1" t="s">
        <v>169</v>
      </c>
      <c r="G84" s="80">
        <v>0</v>
      </c>
      <c r="H84" s="1" t="s">
        <v>163</v>
      </c>
      <c r="I84" s="143">
        <v>0</v>
      </c>
      <c r="J84" s="1" t="s">
        <v>163</v>
      </c>
      <c r="K84" s="142">
        <v>0</v>
      </c>
      <c r="L84" s="142">
        <v>0</v>
      </c>
      <c r="M84" s="142">
        <v>0</v>
      </c>
      <c r="N84" s="14" t="s">
        <v>2522</v>
      </c>
      <c r="O84" s="142" t="s">
        <v>106</v>
      </c>
      <c r="P84" s="80">
        <v>0</v>
      </c>
      <c r="Q84" s="1" t="s">
        <v>169</v>
      </c>
      <c r="R84" s="80">
        <v>0</v>
      </c>
      <c r="S84" s="1" t="s">
        <v>163</v>
      </c>
      <c r="T84" s="143">
        <v>0</v>
      </c>
      <c r="U84" s="1" t="s">
        <v>163</v>
      </c>
      <c r="V84" s="142">
        <v>0</v>
      </c>
      <c r="W84" s="142">
        <v>0</v>
      </c>
      <c r="X84" s="142">
        <v>0</v>
      </c>
      <c r="Y84" s="14" t="s">
        <v>2521</v>
      </c>
      <c r="Z84" s="142" t="s">
        <v>106</v>
      </c>
      <c r="AA84" s="80">
        <v>0.2</v>
      </c>
      <c r="AB84" s="1" t="s">
        <v>1049</v>
      </c>
      <c r="AC84" s="80">
        <v>0</v>
      </c>
      <c r="AD84" s="1" t="s">
        <v>218</v>
      </c>
      <c r="AE84" s="143">
        <v>0.1</v>
      </c>
      <c r="AF84" s="1" t="s">
        <v>1235</v>
      </c>
      <c r="AG84" s="142">
        <v>2410</v>
      </c>
      <c r="AH84" s="142">
        <v>2410</v>
      </c>
      <c r="AI84" s="142">
        <v>2410</v>
      </c>
      <c r="AJ84" s="14" t="s">
        <v>2520</v>
      </c>
      <c r="AK84" s="142" t="s">
        <v>106</v>
      </c>
      <c r="AL84" s="80">
        <v>0.2</v>
      </c>
      <c r="AM84" s="1" t="s">
        <v>1049</v>
      </c>
      <c r="AN84" s="80">
        <v>0</v>
      </c>
      <c r="AO84" s="1" t="s">
        <v>218</v>
      </c>
      <c r="AP84" s="143">
        <v>0.1</v>
      </c>
      <c r="AQ84" s="1" t="s">
        <v>1235</v>
      </c>
      <c r="AR84" s="142">
        <v>2405</v>
      </c>
      <c r="AS84" s="142">
        <v>2405</v>
      </c>
      <c r="AT84" s="142">
        <v>2405</v>
      </c>
      <c r="AU84" s="4" t="s">
        <v>102</v>
      </c>
    </row>
    <row r="85" spans="1:47" x14ac:dyDescent="0.2">
      <c r="A85" s="174"/>
      <c r="B85" s="9" t="s">
        <v>82</v>
      </c>
      <c r="C85" s="1" t="s">
        <v>2519</v>
      </c>
      <c r="D85" s="142" t="s">
        <v>106</v>
      </c>
      <c r="E85" s="80">
        <v>0</v>
      </c>
      <c r="F85" s="1" t="s">
        <v>163</v>
      </c>
      <c r="G85" s="1" t="s">
        <v>164</v>
      </c>
      <c r="H85" s="1" t="s">
        <v>164</v>
      </c>
      <c r="I85" s="143">
        <v>0</v>
      </c>
      <c r="J85" s="1" t="s">
        <v>163</v>
      </c>
      <c r="K85" s="142">
        <v>0</v>
      </c>
      <c r="L85" s="142">
        <v>0</v>
      </c>
      <c r="M85" s="142">
        <v>0</v>
      </c>
      <c r="N85" s="14" t="s">
        <v>2518</v>
      </c>
      <c r="O85" s="142" t="s">
        <v>106</v>
      </c>
      <c r="P85" s="80">
        <v>0</v>
      </c>
      <c r="Q85" s="1" t="s">
        <v>163</v>
      </c>
      <c r="R85" s="1" t="s">
        <v>164</v>
      </c>
      <c r="S85" s="1" t="s">
        <v>164</v>
      </c>
      <c r="T85" s="143">
        <v>0</v>
      </c>
      <c r="U85" s="1" t="s">
        <v>163</v>
      </c>
      <c r="V85" s="142">
        <v>0</v>
      </c>
      <c r="W85" s="142">
        <v>0</v>
      </c>
      <c r="X85" s="142">
        <v>0</v>
      </c>
      <c r="Y85" s="14" t="s">
        <v>2517</v>
      </c>
      <c r="Z85" s="142" t="s">
        <v>106</v>
      </c>
      <c r="AA85" s="80">
        <v>0.1</v>
      </c>
      <c r="AB85" s="1" t="s">
        <v>1235</v>
      </c>
      <c r="AC85" s="1" t="s">
        <v>164</v>
      </c>
      <c r="AD85" s="1" t="s">
        <v>164</v>
      </c>
      <c r="AE85" s="143">
        <v>0.1</v>
      </c>
      <c r="AF85" s="1" t="s">
        <v>1235</v>
      </c>
      <c r="AG85" s="142">
        <v>12290</v>
      </c>
      <c r="AH85" s="142">
        <v>12290</v>
      </c>
      <c r="AI85" s="142">
        <v>12290</v>
      </c>
      <c r="AJ85" s="14" t="s">
        <v>2516</v>
      </c>
      <c r="AK85" s="142" t="s">
        <v>106</v>
      </c>
      <c r="AL85" s="80">
        <v>0.1</v>
      </c>
      <c r="AM85" s="1" t="s">
        <v>1235</v>
      </c>
      <c r="AN85" s="1" t="s">
        <v>164</v>
      </c>
      <c r="AO85" s="1" t="s">
        <v>164</v>
      </c>
      <c r="AP85" s="143">
        <v>0.1</v>
      </c>
      <c r="AQ85" s="1" t="s">
        <v>1235</v>
      </c>
      <c r="AR85" s="142">
        <v>13247</v>
      </c>
      <c r="AS85" s="142">
        <v>13247</v>
      </c>
      <c r="AT85" s="142">
        <v>13247</v>
      </c>
      <c r="AU85" s="4" t="s">
        <v>102</v>
      </c>
    </row>
    <row r="86" spans="1:47" x14ac:dyDescent="0.2">
      <c r="A86" s="174"/>
      <c r="B86" s="9" t="s">
        <v>83</v>
      </c>
      <c r="C86" s="1" t="s">
        <v>2515</v>
      </c>
      <c r="D86" s="142" t="s">
        <v>106</v>
      </c>
      <c r="E86" s="80">
        <v>0</v>
      </c>
      <c r="F86" s="1" t="s">
        <v>169</v>
      </c>
      <c r="G86" s="80">
        <v>1</v>
      </c>
      <c r="H86" s="1" t="s">
        <v>452</v>
      </c>
      <c r="I86" s="143">
        <v>1</v>
      </c>
      <c r="J86" s="1" t="s">
        <v>452</v>
      </c>
      <c r="K86" s="142">
        <v>3501</v>
      </c>
      <c r="L86" s="142">
        <v>3501</v>
      </c>
      <c r="M86" s="142">
        <v>3501</v>
      </c>
      <c r="N86" s="14" t="s">
        <v>2514</v>
      </c>
      <c r="O86" s="142" t="s">
        <v>106</v>
      </c>
      <c r="P86" s="80">
        <v>0</v>
      </c>
      <c r="Q86" s="1" t="s">
        <v>169</v>
      </c>
      <c r="R86" s="80">
        <v>1</v>
      </c>
      <c r="S86" s="1" t="s">
        <v>452</v>
      </c>
      <c r="T86" s="143">
        <v>1</v>
      </c>
      <c r="U86" s="1" t="s">
        <v>452</v>
      </c>
      <c r="V86" s="142">
        <v>3530</v>
      </c>
      <c r="W86" s="142">
        <v>3530</v>
      </c>
      <c r="X86" s="142">
        <v>3530</v>
      </c>
      <c r="Y86" s="14" t="s">
        <v>2513</v>
      </c>
      <c r="Z86" s="142" t="s">
        <v>106</v>
      </c>
      <c r="AA86" s="80">
        <v>0.6</v>
      </c>
      <c r="AB86" s="1" t="s">
        <v>964</v>
      </c>
      <c r="AC86" s="80">
        <v>0</v>
      </c>
      <c r="AD86" s="1" t="s">
        <v>218</v>
      </c>
      <c r="AE86" s="143">
        <v>0.3</v>
      </c>
      <c r="AF86" s="1" t="s">
        <v>1004</v>
      </c>
      <c r="AG86" s="142">
        <v>7075</v>
      </c>
      <c r="AH86" s="142">
        <v>2358.33</v>
      </c>
      <c r="AI86" s="142">
        <v>2359</v>
      </c>
      <c r="AJ86" s="14" t="s">
        <v>2512</v>
      </c>
      <c r="AK86" s="142" t="s">
        <v>106</v>
      </c>
      <c r="AL86" s="80">
        <v>0.6</v>
      </c>
      <c r="AM86" s="1" t="s">
        <v>964</v>
      </c>
      <c r="AN86" s="80">
        <v>0</v>
      </c>
      <c r="AO86" s="1" t="s">
        <v>218</v>
      </c>
      <c r="AP86" s="143">
        <v>0.3</v>
      </c>
      <c r="AQ86" s="1" t="s">
        <v>1004</v>
      </c>
      <c r="AR86" s="142">
        <v>7130</v>
      </c>
      <c r="AS86" s="142">
        <v>2376.67</v>
      </c>
      <c r="AT86" s="142">
        <v>2383</v>
      </c>
      <c r="AU86" s="4" t="s">
        <v>102</v>
      </c>
    </row>
    <row r="87" spans="1:47" x14ac:dyDescent="0.2">
      <c r="A87" s="174"/>
      <c r="B87" s="9" t="s">
        <v>84</v>
      </c>
      <c r="C87" s="1" t="s">
        <v>2511</v>
      </c>
      <c r="D87" s="142" t="s">
        <v>106</v>
      </c>
      <c r="E87" s="80">
        <v>0</v>
      </c>
      <c r="F87" s="1" t="s">
        <v>163</v>
      </c>
      <c r="G87" s="1" t="s">
        <v>164</v>
      </c>
      <c r="H87" s="1" t="s">
        <v>164</v>
      </c>
      <c r="I87" s="143">
        <v>0</v>
      </c>
      <c r="J87" s="1" t="s">
        <v>163</v>
      </c>
      <c r="K87" s="142">
        <v>0</v>
      </c>
      <c r="L87" s="142">
        <v>0</v>
      </c>
      <c r="M87" s="142">
        <v>0</v>
      </c>
      <c r="N87" s="14" t="s">
        <v>2510</v>
      </c>
      <c r="O87" s="142" t="s">
        <v>106</v>
      </c>
      <c r="P87" s="80">
        <v>0</v>
      </c>
      <c r="Q87" s="1" t="s">
        <v>163</v>
      </c>
      <c r="R87" s="1" t="s">
        <v>164</v>
      </c>
      <c r="S87" s="1" t="s">
        <v>164</v>
      </c>
      <c r="T87" s="143">
        <v>0</v>
      </c>
      <c r="U87" s="1" t="s">
        <v>163</v>
      </c>
      <c r="V87" s="142">
        <v>0</v>
      </c>
      <c r="W87" s="142">
        <v>0</v>
      </c>
      <c r="X87" s="142">
        <v>0</v>
      </c>
      <c r="Y87" s="14" t="s">
        <v>2509</v>
      </c>
      <c r="Z87" s="142" t="s">
        <v>106</v>
      </c>
      <c r="AA87" s="80">
        <v>0.4</v>
      </c>
      <c r="AB87" s="1" t="s">
        <v>501</v>
      </c>
      <c r="AC87" s="1" t="s">
        <v>164</v>
      </c>
      <c r="AD87" s="1" t="s">
        <v>164</v>
      </c>
      <c r="AE87" s="143">
        <v>0.4</v>
      </c>
      <c r="AF87" s="1" t="s">
        <v>501</v>
      </c>
      <c r="AG87" s="142">
        <v>13317</v>
      </c>
      <c r="AH87" s="142">
        <v>3329.25</v>
      </c>
      <c r="AI87" s="142">
        <v>3010</v>
      </c>
      <c r="AJ87" s="14" t="s">
        <v>2508</v>
      </c>
      <c r="AK87" s="142" t="s">
        <v>106</v>
      </c>
      <c r="AL87" s="80">
        <v>0.4</v>
      </c>
      <c r="AM87" s="1" t="s">
        <v>501</v>
      </c>
      <c r="AN87" s="1" t="s">
        <v>164</v>
      </c>
      <c r="AO87" s="1" t="s">
        <v>164</v>
      </c>
      <c r="AP87" s="143">
        <v>0.4</v>
      </c>
      <c r="AQ87" s="1" t="s">
        <v>501</v>
      </c>
      <c r="AR87" s="142">
        <v>13575</v>
      </c>
      <c r="AS87" s="142">
        <v>3393.75</v>
      </c>
      <c r="AT87" s="142">
        <v>3045.5</v>
      </c>
      <c r="AU87" s="4" t="s">
        <v>102</v>
      </c>
    </row>
    <row r="88" spans="1:47" x14ac:dyDescent="0.2">
      <c r="A88" s="174"/>
      <c r="B88" s="9" t="s">
        <v>85</v>
      </c>
      <c r="C88" s="1" t="s">
        <v>2507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2506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2505</v>
      </c>
      <c r="Z88" s="142" t="s">
        <v>106</v>
      </c>
      <c r="AA88" s="80">
        <v>0.6</v>
      </c>
      <c r="AB88" s="1" t="s">
        <v>964</v>
      </c>
      <c r="AC88" s="80">
        <v>0</v>
      </c>
      <c r="AD88" s="1" t="s">
        <v>218</v>
      </c>
      <c r="AE88" s="143">
        <v>0.3</v>
      </c>
      <c r="AF88" s="1" t="s">
        <v>1004</v>
      </c>
      <c r="AG88" s="142">
        <v>11885</v>
      </c>
      <c r="AH88" s="142">
        <v>3961.67</v>
      </c>
      <c r="AI88" s="142">
        <v>3984</v>
      </c>
      <c r="AJ88" s="14" t="s">
        <v>2504</v>
      </c>
      <c r="AK88" s="142" t="s">
        <v>106</v>
      </c>
      <c r="AL88" s="80">
        <v>0.4</v>
      </c>
      <c r="AM88" s="1" t="s">
        <v>974</v>
      </c>
      <c r="AN88" s="80">
        <v>0</v>
      </c>
      <c r="AO88" s="1" t="s">
        <v>218</v>
      </c>
      <c r="AP88" s="143">
        <v>0.2</v>
      </c>
      <c r="AQ88" s="1" t="s">
        <v>930</v>
      </c>
      <c r="AR88" s="142">
        <v>6158</v>
      </c>
      <c r="AS88" s="142">
        <v>3079</v>
      </c>
      <c r="AT88" s="142">
        <v>3079</v>
      </c>
      <c r="AU88" s="4" t="s">
        <v>102</v>
      </c>
    </row>
    <row r="89" spans="1:47" x14ac:dyDescent="0.2">
      <c r="A89" s="174"/>
      <c r="B89" s="9" t="s">
        <v>86</v>
      </c>
      <c r="C89" s="1" t="s">
        <v>2503</v>
      </c>
      <c r="D89" s="142" t="s">
        <v>106</v>
      </c>
      <c r="E89" s="80">
        <v>0</v>
      </c>
      <c r="F89" s="1" t="s">
        <v>163</v>
      </c>
      <c r="G89" s="1" t="s">
        <v>164</v>
      </c>
      <c r="H89" s="1" t="s">
        <v>164</v>
      </c>
      <c r="I89" s="143">
        <v>0</v>
      </c>
      <c r="J89" s="1" t="s">
        <v>163</v>
      </c>
      <c r="K89" s="142">
        <v>0</v>
      </c>
      <c r="L89" s="142">
        <v>0</v>
      </c>
      <c r="M89" s="142">
        <v>0</v>
      </c>
      <c r="N89" s="14" t="s">
        <v>2502</v>
      </c>
      <c r="O89" s="142" t="s">
        <v>106</v>
      </c>
      <c r="P89" s="80">
        <v>0</v>
      </c>
      <c r="Q89" s="1" t="s">
        <v>163</v>
      </c>
      <c r="R89" s="1" t="s">
        <v>164</v>
      </c>
      <c r="S89" s="1" t="s">
        <v>164</v>
      </c>
      <c r="T89" s="143">
        <v>0</v>
      </c>
      <c r="U89" s="1" t="s">
        <v>163</v>
      </c>
      <c r="V89" s="142">
        <v>0</v>
      </c>
      <c r="W89" s="142">
        <v>0</v>
      </c>
      <c r="X89" s="142">
        <v>0</v>
      </c>
      <c r="Y89" s="14" t="s">
        <v>2501</v>
      </c>
      <c r="Z89" s="142" t="s">
        <v>106</v>
      </c>
      <c r="AA89" s="80">
        <v>0.4</v>
      </c>
      <c r="AB89" s="1" t="s">
        <v>501</v>
      </c>
      <c r="AC89" s="1" t="s">
        <v>164</v>
      </c>
      <c r="AD89" s="1" t="s">
        <v>164</v>
      </c>
      <c r="AE89" s="143">
        <v>0.4</v>
      </c>
      <c r="AF89" s="1" t="s">
        <v>501</v>
      </c>
      <c r="AG89" s="142">
        <v>14173</v>
      </c>
      <c r="AH89" s="142">
        <v>3543.25</v>
      </c>
      <c r="AI89" s="142">
        <v>3808</v>
      </c>
      <c r="AJ89" s="14" t="s">
        <v>2500</v>
      </c>
      <c r="AK89" s="142" t="s">
        <v>106</v>
      </c>
      <c r="AL89" s="80">
        <v>0.4</v>
      </c>
      <c r="AM89" s="1" t="s">
        <v>501</v>
      </c>
      <c r="AN89" s="1" t="s">
        <v>164</v>
      </c>
      <c r="AO89" s="1" t="s">
        <v>164</v>
      </c>
      <c r="AP89" s="143">
        <v>0.4</v>
      </c>
      <c r="AQ89" s="1" t="s">
        <v>501</v>
      </c>
      <c r="AR89" s="142">
        <v>13939</v>
      </c>
      <c r="AS89" s="142">
        <v>3484.75</v>
      </c>
      <c r="AT89" s="142">
        <v>3736.5</v>
      </c>
      <c r="AU89" s="4" t="s">
        <v>102</v>
      </c>
    </row>
    <row r="90" spans="1:47" x14ac:dyDescent="0.2">
      <c r="A90" s="174"/>
      <c r="B90" s="9" t="s">
        <v>87</v>
      </c>
      <c r="C90" s="1" t="s">
        <v>2499</v>
      </c>
      <c r="D90" s="142" t="s">
        <v>106</v>
      </c>
      <c r="E90" s="80">
        <v>0</v>
      </c>
      <c r="F90" s="1" t="s">
        <v>169</v>
      </c>
      <c r="G90" s="80">
        <v>1</v>
      </c>
      <c r="H90" s="1" t="s">
        <v>452</v>
      </c>
      <c r="I90" s="143">
        <v>1</v>
      </c>
      <c r="J90" s="1" t="s">
        <v>452</v>
      </c>
      <c r="K90" s="142">
        <v>3208</v>
      </c>
      <c r="L90" s="142">
        <v>3208</v>
      </c>
      <c r="M90" s="142">
        <v>3208</v>
      </c>
      <c r="N90" s="14" t="s">
        <v>2498</v>
      </c>
      <c r="O90" s="142" t="s">
        <v>106</v>
      </c>
      <c r="P90" s="80">
        <v>0</v>
      </c>
      <c r="Q90" s="1" t="s">
        <v>169</v>
      </c>
      <c r="R90" s="80">
        <v>1</v>
      </c>
      <c r="S90" s="1" t="s">
        <v>452</v>
      </c>
      <c r="T90" s="143">
        <v>1</v>
      </c>
      <c r="U90" s="1" t="s">
        <v>452</v>
      </c>
      <c r="V90" s="142">
        <v>3966</v>
      </c>
      <c r="W90" s="142">
        <v>3966</v>
      </c>
      <c r="X90" s="142">
        <v>3966</v>
      </c>
      <c r="Y90" s="14" t="s">
        <v>2497</v>
      </c>
      <c r="Z90" s="142" t="s">
        <v>106</v>
      </c>
      <c r="AA90" s="80">
        <v>0.2</v>
      </c>
      <c r="AB90" s="1" t="s">
        <v>1049</v>
      </c>
      <c r="AC90" s="80">
        <v>0.4</v>
      </c>
      <c r="AD90" s="1" t="s">
        <v>974</v>
      </c>
      <c r="AE90" s="143">
        <v>0.3</v>
      </c>
      <c r="AF90" s="1" t="s">
        <v>1004</v>
      </c>
      <c r="AG90" s="142">
        <v>21774</v>
      </c>
      <c r="AH90" s="142">
        <v>7258</v>
      </c>
      <c r="AI90" s="142">
        <v>8320</v>
      </c>
      <c r="AJ90" s="14" t="s">
        <v>2496</v>
      </c>
      <c r="AK90" s="142" t="s">
        <v>106</v>
      </c>
      <c r="AL90" s="80">
        <v>0.2</v>
      </c>
      <c r="AM90" s="1" t="s">
        <v>1049</v>
      </c>
      <c r="AN90" s="80">
        <v>0.4</v>
      </c>
      <c r="AO90" s="1" t="s">
        <v>974</v>
      </c>
      <c r="AP90" s="143">
        <v>0.3</v>
      </c>
      <c r="AQ90" s="1" t="s">
        <v>1004</v>
      </c>
      <c r="AR90" s="142">
        <v>22029</v>
      </c>
      <c r="AS90" s="142">
        <v>7343</v>
      </c>
      <c r="AT90" s="142">
        <v>8344</v>
      </c>
      <c r="AU90" s="4" t="s">
        <v>98</v>
      </c>
    </row>
    <row r="91" spans="1:47" x14ac:dyDescent="0.2">
      <c r="A91" s="174"/>
      <c r="B91" s="9" t="s">
        <v>88</v>
      </c>
      <c r="C91" s="1" t="s">
        <v>4004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2495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2494</v>
      </c>
      <c r="Z91" s="142" t="s">
        <v>106</v>
      </c>
      <c r="AA91" s="80">
        <v>0.5</v>
      </c>
      <c r="AB91" s="1" t="s">
        <v>511</v>
      </c>
      <c r="AC91" s="1" t="s">
        <v>164</v>
      </c>
      <c r="AD91" s="1" t="s">
        <v>164</v>
      </c>
      <c r="AE91" s="143">
        <v>0.5</v>
      </c>
      <c r="AF91" s="1" t="s">
        <v>511</v>
      </c>
      <c r="AG91" s="142">
        <v>50856</v>
      </c>
      <c r="AH91" s="142">
        <v>10171.200000000001</v>
      </c>
      <c r="AI91" s="142">
        <v>12495</v>
      </c>
      <c r="AJ91" s="14" t="s">
        <v>2493</v>
      </c>
      <c r="AK91" s="142" t="s">
        <v>106</v>
      </c>
      <c r="AL91" s="80">
        <v>0.6</v>
      </c>
      <c r="AM91" s="1" t="s">
        <v>963</v>
      </c>
      <c r="AN91" s="1" t="s">
        <v>164</v>
      </c>
      <c r="AO91" s="1" t="s">
        <v>164</v>
      </c>
      <c r="AP91" s="143">
        <v>0.6</v>
      </c>
      <c r="AQ91" s="1" t="s">
        <v>963</v>
      </c>
      <c r="AR91" s="142">
        <v>54117</v>
      </c>
      <c r="AS91" s="142">
        <v>9019.5</v>
      </c>
      <c r="AT91" s="142">
        <v>8404</v>
      </c>
      <c r="AU91" s="4" t="s">
        <v>98</v>
      </c>
    </row>
    <row r="92" spans="1:47" x14ac:dyDescent="0.2">
      <c r="A92" s="174"/>
      <c r="B92" s="9" t="s">
        <v>89</v>
      </c>
      <c r="C92" s="1" t="s">
        <v>2492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2438</v>
      </c>
      <c r="L92" s="142">
        <v>2438</v>
      </c>
      <c r="M92" s="142">
        <v>2438</v>
      </c>
      <c r="N92" s="14" t="s">
        <v>2491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2152</v>
      </c>
      <c r="W92" s="142">
        <v>2152</v>
      </c>
      <c r="X92" s="142">
        <v>2152</v>
      </c>
      <c r="Y92" s="14" t="s">
        <v>2490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24237</v>
      </c>
      <c r="AH92" s="142">
        <v>2423.6999999999998</v>
      </c>
      <c r="AI92" s="142">
        <v>2425.5</v>
      </c>
      <c r="AJ92" s="14" t="s">
        <v>2489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22327</v>
      </c>
      <c r="AS92" s="142">
        <v>2232.6999999999998</v>
      </c>
      <c r="AT92" s="142">
        <v>2236</v>
      </c>
    </row>
    <row r="93" spans="1:47" x14ac:dyDescent="0.2">
      <c r="A93" s="174"/>
      <c r="B93" s="9" t="s">
        <v>90</v>
      </c>
      <c r="C93" s="1" t="s">
        <v>2488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2513</v>
      </c>
      <c r="L93" s="142">
        <v>2513</v>
      </c>
      <c r="M93" s="142">
        <v>2513</v>
      </c>
      <c r="N93" s="14" t="s">
        <v>2487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2651</v>
      </c>
      <c r="W93" s="142">
        <v>2651</v>
      </c>
      <c r="X93" s="142">
        <v>2651</v>
      </c>
      <c r="Y93" s="14" t="s">
        <v>2486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26601</v>
      </c>
      <c r="AH93" s="142">
        <v>2660.1</v>
      </c>
      <c r="AI93" s="142">
        <v>2742</v>
      </c>
      <c r="AJ93" s="14" t="s">
        <v>2485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25891</v>
      </c>
      <c r="AS93" s="142">
        <v>2589.1</v>
      </c>
      <c r="AT93" s="142">
        <v>2538</v>
      </c>
    </row>
    <row r="94" spans="1:47" x14ac:dyDescent="0.2">
      <c r="A94" s="174"/>
      <c r="B94" s="9" t="s">
        <v>91</v>
      </c>
      <c r="C94" s="1" t="s">
        <v>2484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2483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2709</v>
      </c>
      <c r="W94" s="142">
        <v>2709</v>
      </c>
      <c r="X94" s="142">
        <v>2709</v>
      </c>
      <c r="Y94" s="14" t="s">
        <v>2482</v>
      </c>
      <c r="Z94" s="142" t="s">
        <v>107</v>
      </c>
      <c r="AA94" s="1" t="s">
        <v>164</v>
      </c>
      <c r="AB94" s="1" t="s">
        <v>164</v>
      </c>
      <c r="AC94" s="1" t="s">
        <v>164</v>
      </c>
      <c r="AD94" s="1" t="s">
        <v>164</v>
      </c>
      <c r="AE94" s="143">
        <v>0.3</v>
      </c>
      <c r="AF94" s="1" t="s">
        <v>1004</v>
      </c>
      <c r="AG94" s="142">
        <v>20502</v>
      </c>
      <c r="AH94" s="142">
        <v>6834</v>
      </c>
      <c r="AI94" s="142">
        <v>6848</v>
      </c>
      <c r="AJ94" s="14" t="s">
        <v>2481</v>
      </c>
      <c r="AK94" s="142" t="s">
        <v>107</v>
      </c>
      <c r="AL94" s="1" t="s">
        <v>164</v>
      </c>
      <c r="AM94" s="1" t="s">
        <v>164</v>
      </c>
      <c r="AN94" s="1" t="s">
        <v>164</v>
      </c>
      <c r="AO94" s="1" t="s">
        <v>164</v>
      </c>
      <c r="AP94" s="143">
        <v>0.5333</v>
      </c>
      <c r="AQ94" s="1" t="s">
        <v>2103</v>
      </c>
      <c r="AR94" s="142">
        <v>65389</v>
      </c>
      <c r="AS94" s="142">
        <v>4086.81</v>
      </c>
      <c r="AT94" s="142">
        <v>2699.5</v>
      </c>
      <c r="AU94" s="4" t="s">
        <v>93</v>
      </c>
    </row>
    <row r="95" spans="1:47" s="5" customFormat="1" ht="21" thickBot="1" x14ac:dyDescent="0.25">
      <c r="A95" s="175"/>
      <c r="B95" s="11" t="s">
        <v>92</v>
      </c>
      <c r="C95" s="139" t="s">
        <v>2480</v>
      </c>
      <c r="D95" s="145" t="s">
        <v>106</v>
      </c>
      <c r="E95" s="146">
        <v>1</v>
      </c>
      <c r="F95" s="139" t="s">
        <v>452</v>
      </c>
      <c r="G95" s="139" t="s">
        <v>164</v>
      </c>
      <c r="H95" s="139" t="s">
        <v>164</v>
      </c>
      <c r="I95" s="147">
        <v>1</v>
      </c>
      <c r="J95" s="139" t="s">
        <v>452</v>
      </c>
      <c r="K95" s="145">
        <v>80183</v>
      </c>
      <c r="L95" s="145">
        <v>80183</v>
      </c>
      <c r="M95" s="145">
        <v>80183</v>
      </c>
      <c r="N95" s="36" t="s">
        <v>2479</v>
      </c>
      <c r="O95" s="145" t="s">
        <v>106</v>
      </c>
      <c r="P95" s="146">
        <v>1</v>
      </c>
      <c r="Q95" s="139" t="s">
        <v>1078</v>
      </c>
      <c r="R95" s="139" t="s">
        <v>164</v>
      </c>
      <c r="S95" s="139" t="s">
        <v>164</v>
      </c>
      <c r="T95" s="147">
        <v>1</v>
      </c>
      <c r="U95" s="139" t="s">
        <v>1078</v>
      </c>
      <c r="V95" s="145">
        <v>149735</v>
      </c>
      <c r="W95" s="145">
        <v>49911.67</v>
      </c>
      <c r="X95" s="145">
        <v>73141</v>
      </c>
      <c r="Y95" s="36" t="s">
        <v>2478</v>
      </c>
      <c r="Z95" s="145" t="s">
        <v>106</v>
      </c>
      <c r="AA95" s="146">
        <v>1</v>
      </c>
      <c r="AB95" s="139" t="s">
        <v>529</v>
      </c>
      <c r="AC95" s="139" t="s">
        <v>164</v>
      </c>
      <c r="AD95" s="139" t="s">
        <v>164</v>
      </c>
      <c r="AE95" s="147">
        <v>1</v>
      </c>
      <c r="AF95" s="139" t="s">
        <v>529</v>
      </c>
      <c r="AG95" s="145">
        <v>226792</v>
      </c>
      <c r="AH95" s="145">
        <v>22679.200000000001</v>
      </c>
      <c r="AI95" s="145">
        <v>8039</v>
      </c>
      <c r="AJ95" s="36" t="s">
        <v>2477</v>
      </c>
      <c r="AK95" s="145" t="s">
        <v>106</v>
      </c>
      <c r="AL95" s="146">
        <v>1</v>
      </c>
      <c r="AM95" s="139" t="s">
        <v>1724</v>
      </c>
      <c r="AN95" s="139" t="s">
        <v>164</v>
      </c>
      <c r="AO95" s="139" t="s">
        <v>164</v>
      </c>
      <c r="AP95" s="147">
        <v>1</v>
      </c>
      <c r="AQ95" s="139" t="s">
        <v>1724</v>
      </c>
      <c r="AR95" s="145">
        <v>386846</v>
      </c>
      <c r="AS95" s="145">
        <v>12894.87</v>
      </c>
      <c r="AT95" s="145">
        <v>7418</v>
      </c>
      <c r="AU95" s="46" t="s">
        <v>93</v>
      </c>
    </row>
    <row r="96" spans="1:47" ht="19.5" customHeight="1" x14ac:dyDescent="0.2">
      <c r="A96" s="168" t="s">
        <v>101</v>
      </c>
      <c r="B96" s="9" t="s">
        <v>10</v>
      </c>
      <c r="C96" s="1" t="s">
        <v>645</v>
      </c>
      <c r="D96" s="142" t="s">
        <v>106</v>
      </c>
      <c r="E96" s="80">
        <v>0</v>
      </c>
      <c r="F96" s="1" t="s">
        <v>169</v>
      </c>
      <c r="G96" s="80">
        <v>1</v>
      </c>
      <c r="H96" s="1" t="s">
        <v>452</v>
      </c>
      <c r="I96" s="143">
        <v>1</v>
      </c>
      <c r="J96" s="1" t="s">
        <v>452</v>
      </c>
      <c r="K96" s="142">
        <v>14163</v>
      </c>
      <c r="L96" s="142">
        <v>14163</v>
      </c>
      <c r="M96" s="142">
        <v>14163</v>
      </c>
      <c r="N96" s="14" t="s">
        <v>644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643</v>
      </c>
      <c r="Z96" s="142" t="s">
        <v>106</v>
      </c>
      <c r="AA96" s="80">
        <v>1</v>
      </c>
      <c r="AB96" s="1" t="s">
        <v>516</v>
      </c>
      <c r="AC96" s="80">
        <v>1</v>
      </c>
      <c r="AD96" s="1" t="s">
        <v>516</v>
      </c>
      <c r="AE96" s="143">
        <v>1</v>
      </c>
      <c r="AF96" s="1" t="s">
        <v>529</v>
      </c>
      <c r="AG96" s="142">
        <v>95638</v>
      </c>
      <c r="AH96" s="142">
        <v>9563.7999999999993</v>
      </c>
      <c r="AI96" s="142">
        <v>10571</v>
      </c>
      <c r="AJ96" s="14" t="s">
        <v>642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2">
        <v>0</v>
      </c>
      <c r="AU96" s="4" t="s">
        <v>96</v>
      </c>
    </row>
    <row r="97" spans="1:47" x14ac:dyDescent="0.2">
      <c r="A97" s="168"/>
      <c r="B97" s="9" t="s">
        <v>11</v>
      </c>
      <c r="C97" s="1" t="s">
        <v>641</v>
      </c>
      <c r="D97" s="142" t="s">
        <v>106</v>
      </c>
      <c r="E97" s="80">
        <v>1</v>
      </c>
      <c r="F97" s="1" t="s">
        <v>452</v>
      </c>
      <c r="G97" s="1" t="s">
        <v>164</v>
      </c>
      <c r="H97" s="1" t="s">
        <v>164</v>
      </c>
      <c r="I97" s="143">
        <v>1</v>
      </c>
      <c r="J97" s="1" t="s">
        <v>452</v>
      </c>
      <c r="K97" s="142">
        <v>2384</v>
      </c>
      <c r="L97" s="142">
        <v>2384</v>
      </c>
      <c r="M97" s="142">
        <v>2384</v>
      </c>
      <c r="N97" s="14" t="s">
        <v>640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639</v>
      </c>
      <c r="Z97" s="142" t="s">
        <v>106</v>
      </c>
      <c r="AA97" s="80">
        <v>1</v>
      </c>
      <c r="AB97" s="1" t="s">
        <v>529</v>
      </c>
      <c r="AC97" s="1" t="s">
        <v>164</v>
      </c>
      <c r="AD97" s="1" t="s">
        <v>164</v>
      </c>
      <c r="AE97" s="143">
        <v>1</v>
      </c>
      <c r="AF97" s="1" t="s">
        <v>529</v>
      </c>
      <c r="AG97" s="142">
        <v>24197</v>
      </c>
      <c r="AH97" s="142">
        <v>2419.6999999999998</v>
      </c>
      <c r="AI97" s="142">
        <v>2423</v>
      </c>
      <c r="AJ97" s="14" t="s">
        <v>638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8"/>
      <c r="B98" s="9" t="s">
        <v>22</v>
      </c>
      <c r="C98" s="1" t="s">
        <v>637</v>
      </c>
      <c r="D98" s="142" t="s">
        <v>106</v>
      </c>
      <c r="E98" s="80">
        <v>0</v>
      </c>
      <c r="F98" s="1" t="s">
        <v>169</v>
      </c>
      <c r="G98" s="80">
        <v>1</v>
      </c>
      <c r="H98" s="1" t="s">
        <v>452</v>
      </c>
      <c r="I98" s="143">
        <v>1</v>
      </c>
      <c r="J98" s="1" t="s">
        <v>452</v>
      </c>
      <c r="K98" s="142">
        <v>2948</v>
      </c>
      <c r="L98" s="142">
        <v>2948</v>
      </c>
      <c r="M98" s="142">
        <v>2948</v>
      </c>
      <c r="N98" s="14" t="s">
        <v>636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635</v>
      </c>
      <c r="Z98" s="142" t="s">
        <v>106</v>
      </c>
      <c r="AA98" s="80">
        <v>1</v>
      </c>
      <c r="AB98" s="1" t="s">
        <v>516</v>
      </c>
      <c r="AC98" s="80">
        <v>1</v>
      </c>
      <c r="AD98" s="1" t="s">
        <v>516</v>
      </c>
      <c r="AE98" s="143">
        <v>1</v>
      </c>
      <c r="AF98" s="1" t="s">
        <v>529</v>
      </c>
      <c r="AG98" s="142">
        <v>54555</v>
      </c>
      <c r="AH98" s="142">
        <v>5455.5</v>
      </c>
      <c r="AI98" s="142">
        <v>3056</v>
      </c>
      <c r="AJ98" s="14" t="s">
        <v>634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2">
        <v>0</v>
      </c>
      <c r="AU98" s="4" t="s">
        <v>96</v>
      </c>
    </row>
    <row r="99" spans="1:47" x14ac:dyDescent="0.2">
      <c r="A99" s="168"/>
      <c r="B99" s="9" t="s">
        <v>23</v>
      </c>
      <c r="C99" s="1" t="s">
        <v>633</v>
      </c>
      <c r="D99" s="142" t="s">
        <v>106</v>
      </c>
      <c r="E99" s="80">
        <v>1</v>
      </c>
      <c r="F99" s="1" t="s">
        <v>452</v>
      </c>
      <c r="G99" s="1" t="s">
        <v>164</v>
      </c>
      <c r="H99" s="1" t="s">
        <v>164</v>
      </c>
      <c r="I99" s="143">
        <v>1</v>
      </c>
      <c r="J99" s="1" t="s">
        <v>452</v>
      </c>
      <c r="K99" s="142">
        <v>2165</v>
      </c>
      <c r="L99" s="142">
        <v>2165</v>
      </c>
      <c r="M99" s="142">
        <v>2165</v>
      </c>
      <c r="N99" s="14" t="s">
        <v>632</v>
      </c>
      <c r="O99" s="142" t="s">
        <v>106</v>
      </c>
      <c r="P99" s="80">
        <v>0</v>
      </c>
      <c r="Q99" s="1" t="s">
        <v>163</v>
      </c>
      <c r="R99" s="1" t="s">
        <v>164</v>
      </c>
      <c r="S99" s="1" t="s">
        <v>164</v>
      </c>
      <c r="T99" s="143">
        <v>0</v>
      </c>
      <c r="U99" s="1" t="s">
        <v>163</v>
      </c>
      <c r="V99" s="142">
        <v>0</v>
      </c>
      <c r="W99" s="142">
        <v>0</v>
      </c>
      <c r="X99" s="142">
        <v>0</v>
      </c>
      <c r="Y99" s="14" t="s">
        <v>631</v>
      </c>
      <c r="Z99" s="142" t="s">
        <v>106</v>
      </c>
      <c r="AA99" s="80">
        <v>1</v>
      </c>
      <c r="AB99" s="1" t="s">
        <v>529</v>
      </c>
      <c r="AC99" s="1" t="s">
        <v>164</v>
      </c>
      <c r="AD99" s="1" t="s">
        <v>164</v>
      </c>
      <c r="AE99" s="143">
        <v>1</v>
      </c>
      <c r="AF99" s="1" t="s">
        <v>529</v>
      </c>
      <c r="AG99" s="142">
        <v>22604</v>
      </c>
      <c r="AH99" s="142">
        <v>2260.4</v>
      </c>
      <c r="AI99" s="142">
        <v>2247.5</v>
      </c>
      <c r="AJ99" s="14" t="s">
        <v>630</v>
      </c>
      <c r="AK99" s="142" t="s">
        <v>106</v>
      </c>
      <c r="AL99" s="80">
        <v>0</v>
      </c>
      <c r="AM99" s="1" t="s">
        <v>213</v>
      </c>
      <c r="AN99" s="1" t="s">
        <v>164</v>
      </c>
      <c r="AO99" s="1" t="s">
        <v>164</v>
      </c>
      <c r="AP99" s="143">
        <v>0</v>
      </c>
      <c r="AQ99" s="1" t="s">
        <v>213</v>
      </c>
      <c r="AR99" s="142">
        <v>0</v>
      </c>
      <c r="AS99" s="142">
        <v>0</v>
      </c>
      <c r="AT99" s="142">
        <v>0</v>
      </c>
      <c r="AU99" s="4" t="s">
        <v>96</v>
      </c>
    </row>
    <row r="100" spans="1:47" x14ac:dyDescent="0.2">
      <c r="A100" s="168"/>
      <c r="B100" s="9" t="s">
        <v>24</v>
      </c>
      <c r="C100" s="1" t="s">
        <v>629</v>
      </c>
      <c r="D100" s="142" t="s">
        <v>106</v>
      </c>
      <c r="E100" s="80">
        <v>0</v>
      </c>
      <c r="F100" s="1" t="s">
        <v>169</v>
      </c>
      <c r="G100" s="80">
        <v>1</v>
      </c>
      <c r="H100" s="1" t="s">
        <v>452</v>
      </c>
      <c r="I100" s="143">
        <v>1</v>
      </c>
      <c r="J100" s="1" t="s">
        <v>452</v>
      </c>
      <c r="K100" s="142">
        <v>3095</v>
      </c>
      <c r="L100" s="142">
        <v>3095</v>
      </c>
      <c r="M100" s="142">
        <v>3095</v>
      </c>
      <c r="N100" s="14" t="s">
        <v>628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627</v>
      </c>
      <c r="Z100" s="142" t="s">
        <v>106</v>
      </c>
      <c r="AA100" s="80">
        <v>0</v>
      </c>
      <c r="AB100" s="1" t="s">
        <v>169</v>
      </c>
      <c r="AC100" s="80">
        <v>1</v>
      </c>
      <c r="AD100" s="1" t="s">
        <v>529</v>
      </c>
      <c r="AE100" s="143">
        <v>1</v>
      </c>
      <c r="AF100" s="1" t="s">
        <v>529</v>
      </c>
      <c r="AG100" s="142">
        <v>37948</v>
      </c>
      <c r="AH100" s="142">
        <v>3794.8</v>
      </c>
      <c r="AI100" s="142">
        <v>3808</v>
      </c>
      <c r="AJ100" s="14" t="s">
        <v>626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8"/>
      <c r="B101" s="9" t="s">
        <v>25</v>
      </c>
      <c r="C101" s="1" t="s">
        <v>625</v>
      </c>
      <c r="D101" s="142" t="s">
        <v>106</v>
      </c>
      <c r="E101" s="80">
        <v>1</v>
      </c>
      <c r="F101" s="1" t="s">
        <v>452</v>
      </c>
      <c r="G101" s="1" t="s">
        <v>164</v>
      </c>
      <c r="H101" s="1" t="s">
        <v>164</v>
      </c>
      <c r="I101" s="143">
        <v>1</v>
      </c>
      <c r="J101" s="1" t="s">
        <v>452</v>
      </c>
      <c r="K101" s="142">
        <v>2297</v>
      </c>
      <c r="L101" s="142">
        <v>2297</v>
      </c>
      <c r="M101" s="142">
        <v>2297</v>
      </c>
      <c r="N101" s="14" t="s">
        <v>624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623</v>
      </c>
      <c r="Z101" s="142" t="s">
        <v>106</v>
      </c>
      <c r="AA101" s="80">
        <v>1</v>
      </c>
      <c r="AB101" s="1" t="s">
        <v>529</v>
      </c>
      <c r="AC101" s="1" t="s">
        <v>164</v>
      </c>
      <c r="AD101" s="1" t="s">
        <v>164</v>
      </c>
      <c r="AE101" s="143">
        <v>1</v>
      </c>
      <c r="AF101" s="1" t="s">
        <v>529</v>
      </c>
      <c r="AG101" s="142">
        <v>23540</v>
      </c>
      <c r="AH101" s="142">
        <v>2354</v>
      </c>
      <c r="AI101" s="142">
        <v>2356.5</v>
      </c>
      <c r="AJ101" s="14" t="s">
        <v>622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2">
        <v>0</v>
      </c>
      <c r="AU101" s="4" t="s">
        <v>96</v>
      </c>
    </row>
    <row r="102" spans="1:47" x14ac:dyDescent="0.2">
      <c r="A102" s="168"/>
      <c r="B102" s="9" t="s">
        <v>130</v>
      </c>
      <c r="C102" s="1" t="s">
        <v>621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620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619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618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8"/>
      <c r="B103" s="9" t="s">
        <v>131</v>
      </c>
      <c r="C103" s="1" t="s">
        <v>617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616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615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614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8"/>
      <c r="B104" s="9" t="s">
        <v>33</v>
      </c>
      <c r="C104" s="1" t="s">
        <v>4003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613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4002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612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2">
        <v>0</v>
      </c>
      <c r="AU104" s="4" t="s">
        <v>96</v>
      </c>
    </row>
    <row r="105" spans="1:47" x14ac:dyDescent="0.2">
      <c r="A105" s="168"/>
      <c r="B105" s="9" t="s">
        <v>34</v>
      </c>
      <c r="C105" s="1" t="s">
        <v>4001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611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4000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610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2">
        <v>0</v>
      </c>
      <c r="AU105" s="4" t="s">
        <v>96</v>
      </c>
    </row>
    <row r="106" spans="1:47" x14ac:dyDescent="0.2">
      <c r="A106" s="168"/>
      <c r="B106" s="9" t="s">
        <v>132</v>
      </c>
      <c r="C106" s="1" t="s">
        <v>609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608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607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606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8"/>
      <c r="B107" s="9" t="s">
        <v>133</v>
      </c>
      <c r="C107" s="1" t="s">
        <v>605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604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603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602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2">
        <v>0</v>
      </c>
      <c r="AU107" s="4" t="s">
        <v>96</v>
      </c>
    </row>
    <row r="108" spans="1:47" x14ac:dyDescent="0.2">
      <c r="A108" s="168"/>
      <c r="B108" s="9" t="s">
        <v>134</v>
      </c>
      <c r="C108" s="1" t="s">
        <v>601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600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599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598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8"/>
      <c r="B109" s="9" t="s">
        <v>135</v>
      </c>
      <c r="C109" s="1" t="s">
        <v>597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596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595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594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8"/>
      <c r="B110" s="9" t="s">
        <v>60</v>
      </c>
      <c r="C110" s="1" t="s">
        <v>593</v>
      </c>
      <c r="D110" s="142" t="s">
        <v>106</v>
      </c>
      <c r="E110" s="80">
        <v>0</v>
      </c>
      <c r="F110" s="1" t="s">
        <v>169</v>
      </c>
      <c r="G110" s="80">
        <v>1</v>
      </c>
      <c r="H110" s="1" t="s">
        <v>452</v>
      </c>
      <c r="I110" s="143">
        <v>1</v>
      </c>
      <c r="J110" s="1" t="s">
        <v>452</v>
      </c>
      <c r="K110" s="142">
        <v>2455</v>
      </c>
      <c r="L110" s="142">
        <v>2455</v>
      </c>
      <c r="M110" s="142">
        <v>2455</v>
      </c>
      <c r="N110" s="14" t="s">
        <v>592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591</v>
      </c>
      <c r="Z110" s="142" t="s">
        <v>106</v>
      </c>
      <c r="AA110" s="80">
        <v>0</v>
      </c>
      <c r="AB110" s="1" t="s">
        <v>169</v>
      </c>
      <c r="AC110" s="80">
        <v>1</v>
      </c>
      <c r="AD110" s="1" t="s">
        <v>452</v>
      </c>
      <c r="AE110" s="143">
        <v>1</v>
      </c>
      <c r="AF110" s="1" t="s">
        <v>452</v>
      </c>
      <c r="AG110" s="142">
        <v>2539</v>
      </c>
      <c r="AH110" s="142">
        <v>2539</v>
      </c>
      <c r="AI110" s="142">
        <v>2539</v>
      </c>
      <c r="AJ110" s="14" t="s">
        <v>590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8"/>
      <c r="B111" s="9" t="s">
        <v>61</v>
      </c>
      <c r="C111" s="1" t="s">
        <v>589</v>
      </c>
      <c r="D111" s="142" t="s">
        <v>106</v>
      </c>
      <c r="E111" s="80">
        <v>0</v>
      </c>
      <c r="F111" s="1" t="s">
        <v>163</v>
      </c>
      <c r="G111" s="1" t="s">
        <v>164</v>
      </c>
      <c r="H111" s="1" t="s">
        <v>164</v>
      </c>
      <c r="I111" s="143">
        <v>0</v>
      </c>
      <c r="J111" s="1" t="s">
        <v>163</v>
      </c>
      <c r="K111" s="142">
        <v>0</v>
      </c>
      <c r="L111" s="142">
        <v>0</v>
      </c>
      <c r="M111" s="142">
        <v>0</v>
      </c>
      <c r="N111" s="14" t="s">
        <v>588</v>
      </c>
      <c r="O111" s="142" t="s">
        <v>106</v>
      </c>
      <c r="P111" s="80">
        <v>0</v>
      </c>
      <c r="Q111" s="1" t="s">
        <v>163</v>
      </c>
      <c r="R111" s="1" t="s">
        <v>164</v>
      </c>
      <c r="S111" s="1" t="s">
        <v>164</v>
      </c>
      <c r="T111" s="143">
        <v>0</v>
      </c>
      <c r="U111" s="1" t="s">
        <v>163</v>
      </c>
      <c r="V111" s="142">
        <v>0</v>
      </c>
      <c r="W111" s="142">
        <v>0</v>
      </c>
      <c r="X111" s="142">
        <v>0</v>
      </c>
      <c r="Y111" s="14" t="s">
        <v>587</v>
      </c>
      <c r="Z111" s="142" t="s">
        <v>106</v>
      </c>
      <c r="AA111" s="80">
        <v>0</v>
      </c>
      <c r="AB111" s="1" t="s">
        <v>163</v>
      </c>
      <c r="AC111" s="1" t="s">
        <v>164</v>
      </c>
      <c r="AD111" s="1" t="s">
        <v>164</v>
      </c>
      <c r="AE111" s="143">
        <v>0</v>
      </c>
      <c r="AF111" s="1" t="s">
        <v>163</v>
      </c>
      <c r="AG111" s="142">
        <v>0</v>
      </c>
      <c r="AH111" s="142">
        <v>0</v>
      </c>
      <c r="AI111" s="142">
        <v>0</v>
      </c>
      <c r="AJ111" s="14" t="s">
        <v>586</v>
      </c>
      <c r="AK111" s="142" t="s">
        <v>106</v>
      </c>
      <c r="AL111" s="80">
        <v>0</v>
      </c>
      <c r="AM111" s="1" t="s">
        <v>163</v>
      </c>
      <c r="AN111" s="1" t="s">
        <v>164</v>
      </c>
      <c r="AO111" s="1" t="s">
        <v>164</v>
      </c>
      <c r="AP111" s="143">
        <v>0</v>
      </c>
      <c r="AQ111" s="1" t="s">
        <v>163</v>
      </c>
      <c r="AR111" s="142">
        <v>0</v>
      </c>
      <c r="AS111" s="142">
        <v>0</v>
      </c>
      <c r="AT111" s="142">
        <v>0</v>
      </c>
      <c r="AU111" s="4" t="s">
        <v>96</v>
      </c>
    </row>
    <row r="112" spans="1:47" x14ac:dyDescent="0.2">
      <c r="A112" s="168"/>
      <c r="B112" s="9" t="s">
        <v>136</v>
      </c>
      <c r="C112" s="1" t="s">
        <v>585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584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583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582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8"/>
      <c r="B113" s="9" t="s">
        <v>137</v>
      </c>
      <c r="C113" s="1" t="s">
        <v>581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580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579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578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8"/>
      <c r="B114" s="9" t="s">
        <v>138</v>
      </c>
      <c r="C114" s="1" t="s">
        <v>577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576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575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574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8"/>
      <c r="B115" s="9" t="s">
        <v>139</v>
      </c>
      <c r="C115" s="1" t="s">
        <v>573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572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571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570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8"/>
      <c r="B116" s="9" t="s">
        <v>140</v>
      </c>
      <c r="C116" s="1" t="s">
        <v>569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568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567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566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8"/>
      <c r="B117" s="9" t="s">
        <v>141</v>
      </c>
      <c r="C117" s="1" t="s">
        <v>565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564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563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562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8"/>
      <c r="B118" s="9" t="s">
        <v>142</v>
      </c>
      <c r="C118" s="1" t="s">
        <v>561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560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559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558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8"/>
      <c r="B119" s="9" t="s">
        <v>143</v>
      </c>
      <c r="C119" s="1" t="s">
        <v>557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556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555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554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A96:A119"/>
    <mergeCell ref="A1:A2"/>
    <mergeCell ref="B1:B2"/>
    <mergeCell ref="C1:M1"/>
    <mergeCell ref="N1:X1"/>
    <mergeCell ref="A3:A95"/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F3DE-8259-4E74-A47E-D264359E6081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9"/>
      <c r="B1" s="171" t="s">
        <v>95</v>
      </c>
      <c r="C1" s="163" t="s">
        <v>114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3" t="s">
        <v>115</v>
      </c>
      <c r="O1" s="164"/>
      <c r="P1" s="164"/>
      <c r="Q1" s="164"/>
      <c r="R1" s="164"/>
      <c r="S1" s="164"/>
      <c r="T1" s="164"/>
      <c r="U1" s="164"/>
      <c r="V1" s="164"/>
      <c r="W1" s="164"/>
      <c r="X1" s="165"/>
      <c r="Y1" s="163" t="s">
        <v>152</v>
      </c>
      <c r="Z1" s="164"/>
      <c r="AA1" s="164"/>
      <c r="AB1" s="164"/>
      <c r="AC1" s="164"/>
      <c r="AD1" s="164"/>
      <c r="AE1" s="164"/>
      <c r="AF1" s="164"/>
      <c r="AG1" s="164"/>
      <c r="AH1" s="164"/>
      <c r="AI1" s="165"/>
      <c r="AJ1" s="163" t="s">
        <v>153</v>
      </c>
      <c r="AK1" s="164"/>
      <c r="AL1" s="164"/>
      <c r="AM1" s="164"/>
      <c r="AN1" s="164"/>
      <c r="AO1" s="164"/>
      <c r="AP1" s="164"/>
      <c r="AQ1" s="164"/>
      <c r="AR1" s="164"/>
      <c r="AS1" s="164"/>
      <c r="AT1" s="165"/>
      <c r="AU1" s="66"/>
    </row>
    <row r="2" spans="1:47" s="5" customFormat="1" ht="21" thickBot="1" x14ac:dyDescent="0.25">
      <c r="A2" s="170"/>
      <c r="B2" s="172"/>
      <c r="C2" s="66" t="s">
        <v>154</v>
      </c>
      <c r="D2" s="166" t="s">
        <v>158</v>
      </c>
      <c r="E2" s="167"/>
      <c r="F2" s="167"/>
      <c r="G2" s="167"/>
      <c r="H2" s="167"/>
      <c r="I2" s="166" t="s">
        <v>159</v>
      </c>
      <c r="J2" s="167"/>
      <c r="K2" s="68" t="s">
        <v>157</v>
      </c>
      <c r="L2" s="77" t="s">
        <v>156</v>
      </c>
      <c r="M2" s="68" t="s">
        <v>155</v>
      </c>
      <c r="N2" s="66" t="s">
        <v>154</v>
      </c>
      <c r="O2" s="166" t="s">
        <v>158</v>
      </c>
      <c r="P2" s="167"/>
      <c r="Q2" s="167"/>
      <c r="R2" s="167"/>
      <c r="S2" s="167"/>
      <c r="T2" s="166" t="s">
        <v>159</v>
      </c>
      <c r="U2" s="167"/>
      <c r="V2" s="68" t="s">
        <v>157</v>
      </c>
      <c r="W2" s="68" t="s">
        <v>156</v>
      </c>
      <c r="X2" s="68" t="s">
        <v>155</v>
      </c>
      <c r="Y2" s="66" t="s">
        <v>154</v>
      </c>
      <c r="Z2" s="166" t="s">
        <v>158</v>
      </c>
      <c r="AA2" s="167"/>
      <c r="AB2" s="167"/>
      <c r="AC2" s="167"/>
      <c r="AD2" s="167"/>
      <c r="AE2" s="166" t="s">
        <v>159</v>
      </c>
      <c r="AF2" s="167"/>
      <c r="AG2" s="68" t="s">
        <v>157</v>
      </c>
      <c r="AH2" s="68" t="s">
        <v>156</v>
      </c>
      <c r="AI2" s="68" t="s">
        <v>155</v>
      </c>
      <c r="AJ2" s="66" t="s">
        <v>154</v>
      </c>
      <c r="AK2" s="166" t="s">
        <v>158</v>
      </c>
      <c r="AL2" s="167"/>
      <c r="AM2" s="167"/>
      <c r="AN2" s="167"/>
      <c r="AO2" s="167"/>
      <c r="AP2" s="166" t="s">
        <v>159</v>
      </c>
      <c r="AQ2" s="167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3" t="s">
        <v>100</v>
      </c>
      <c r="B3" s="9" t="s">
        <v>0</v>
      </c>
      <c r="C3" s="1" t="s">
        <v>3218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7723</v>
      </c>
      <c r="L3" s="142">
        <v>7723</v>
      </c>
      <c r="M3" s="142">
        <v>7723</v>
      </c>
      <c r="N3" s="14" t="s">
        <v>3217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6969</v>
      </c>
      <c r="W3" s="142">
        <v>6969</v>
      </c>
      <c r="X3" s="142">
        <v>6969</v>
      </c>
      <c r="Y3" s="14" t="s">
        <v>3216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39544</v>
      </c>
      <c r="AH3" s="142">
        <v>3954.4</v>
      </c>
      <c r="AI3" s="142">
        <v>4317.5</v>
      </c>
      <c r="AJ3" s="14" t="s">
        <v>3215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36367</v>
      </c>
      <c r="AS3" s="142">
        <v>3636.7</v>
      </c>
      <c r="AT3" s="142">
        <v>4015</v>
      </c>
    </row>
    <row r="4" spans="1:47" x14ac:dyDescent="0.2">
      <c r="A4" s="174"/>
      <c r="B4" s="9" t="s">
        <v>1</v>
      </c>
      <c r="C4" s="1" t="s">
        <v>3214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5749</v>
      </c>
      <c r="L4" s="142">
        <v>5749</v>
      </c>
      <c r="M4" s="142">
        <v>5749</v>
      </c>
      <c r="N4" s="14" t="s">
        <v>3213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5704</v>
      </c>
      <c r="W4" s="142">
        <v>5704</v>
      </c>
      <c r="X4" s="142">
        <v>5704</v>
      </c>
      <c r="Y4" s="14" t="s">
        <v>3212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30359</v>
      </c>
      <c r="AH4" s="142">
        <v>3035.9</v>
      </c>
      <c r="AI4" s="142">
        <v>2768</v>
      </c>
      <c r="AJ4" s="14" t="s">
        <v>3211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30389</v>
      </c>
      <c r="AS4" s="142">
        <v>3038.9</v>
      </c>
      <c r="AT4" s="142">
        <v>2728</v>
      </c>
    </row>
    <row r="5" spans="1:47" x14ac:dyDescent="0.2">
      <c r="A5" s="174"/>
      <c r="B5" s="9" t="s">
        <v>2</v>
      </c>
      <c r="C5" s="1" t="s">
        <v>3210</v>
      </c>
      <c r="D5" s="142" t="s">
        <v>106</v>
      </c>
      <c r="E5" s="80">
        <v>0</v>
      </c>
      <c r="F5" s="1" t="s">
        <v>169</v>
      </c>
      <c r="G5" s="80">
        <v>0</v>
      </c>
      <c r="H5" s="1" t="s">
        <v>163</v>
      </c>
      <c r="I5" s="143">
        <v>0</v>
      </c>
      <c r="J5" s="1" t="s">
        <v>163</v>
      </c>
      <c r="K5" s="142">
        <v>0</v>
      </c>
      <c r="L5" s="142">
        <v>0</v>
      </c>
      <c r="M5" s="142">
        <v>0</v>
      </c>
      <c r="N5" s="14" t="s">
        <v>3209</v>
      </c>
      <c r="O5" s="142" t="s">
        <v>106</v>
      </c>
      <c r="P5" s="80">
        <v>0</v>
      </c>
      <c r="Q5" s="1" t="s">
        <v>169</v>
      </c>
      <c r="R5" s="80">
        <v>0</v>
      </c>
      <c r="S5" s="1" t="s">
        <v>163</v>
      </c>
      <c r="T5" s="143">
        <v>0</v>
      </c>
      <c r="U5" s="1" t="s">
        <v>163</v>
      </c>
      <c r="V5" s="142">
        <v>0</v>
      </c>
      <c r="W5" s="142">
        <v>0</v>
      </c>
      <c r="X5" s="142">
        <v>0</v>
      </c>
      <c r="Y5" s="14" t="s">
        <v>3208</v>
      </c>
      <c r="Z5" s="142" t="s">
        <v>107</v>
      </c>
      <c r="AA5" s="1" t="s">
        <v>164</v>
      </c>
      <c r="AB5" s="1" t="s">
        <v>164</v>
      </c>
      <c r="AC5" s="1" t="s">
        <v>164</v>
      </c>
      <c r="AD5" s="1" t="s">
        <v>164</v>
      </c>
      <c r="AE5" s="143">
        <v>0.8</v>
      </c>
      <c r="AF5" s="1" t="s">
        <v>1077</v>
      </c>
      <c r="AG5" s="142">
        <v>33512</v>
      </c>
      <c r="AH5" s="142">
        <v>4189</v>
      </c>
      <c r="AI5" s="142">
        <v>4719.5</v>
      </c>
      <c r="AJ5" s="14" t="s">
        <v>3207</v>
      </c>
      <c r="AK5" s="142" t="s">
        <v>107</v>
      </c>
      <c r="AL5" s="1" t="s">
        <v>164</v>
      </c>
      <c r="AM5" s="1" t="s">
        <v>164</v>
      </c>
      <c r="AN5" s="1" t="s">
        <v>164</v>
      </c>
      <c r="AO5" s="1" t="s">
        <v>164</v>
      </c>
      <c r="AP5" s="143">
        <v>0.8</v>
      </c>
      <c r="AQ5" s="1" t="s">
        <v>1077</v>
      </c>
      <c r="AR5" s="142">
        <v>35561</v>
      </c>
      <c r="AS5" s="142">
        <v>4445.12</v>
      </c>
      <c r="AT5" s="142">
        <v>5129</v>
      </c>
    </row>
    <row r="6" spans="1:47" x14ac:dyDescent="0.2">
      <c r="A6" s="174"/>
      <c r="B6" s="9" t="s">
        <v>3</v>
      </c>
      <c r="C6" s="1" t="s">
        <v>3206</v>
      </c>
      <c r="D6" s="142" t="s">
        <v>106</v>
      </c>
      <c r="E6" s="80">
        <v>1</v>
      </c>
      <c r="F6" s="1" t="s">
        <v>452</v>
      </c>
      <c r="G6" s="1" t="s">
        <v>164</v>
      </c>
      <c r="H6" s="1" t="s">
        <v>164</v>
      </c>
      <c r="I6" s="143">
        <v>1</v>
      </c>
      <c r="J6" s="1" t="s">
        <v>452</v>
      </c>
      <c r="K6" s="142">
        <v>17244</v>
      </c>
      <c r="L6" s="142">
        <v>17244</v>
      </c>
      <c r="M6" s="142">
        <v>17244</v>
      </c>
      <c r="N6" s="14" t="s">
        <v>3205</v>
      </c>
      <c r="O6" s="142" t="s">
        <v>106</v>
      </c>
      <c r="P6" s="80">
        <v>1</v>
      </c>
      <c r="Q6" s="1" t="s">
        <v>452</v>
      </c>
      <c r="R6" s="1" t="s">
        <v>164</v>
      </c>
      <c r="S6" s="1" t="s">
        <v>164</v>
      </c>
      <c r="T6" s="143">
        <v>1</v>
      </c>
      <c r="U6" s="1" t="s">
        <v>452</v>
      </c>
      <c r="V6" s="142">
        <v>16736</v>
      </c>
      <c r="W6" s="142">
        <v>16736</v>
      </c>
      <c r="X6" s="142">
        <v>16736</v>
      </c>
      <c r="Y6" s="14" t="s">
        <v>3204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33606</v>
      </c>
      <c r="AH6" s="142">
        <v>3360.6</v>
      </c>
      <c r="AI6" s="142">
        <v>3248.5</v>
      </c>
      <c r="AJ6" s="14" t="s">
        <v>3203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33285</v>
      </c>
      <c r="AS6" s="142">
        <v>3328.5</v>
      </c>
      <c r="AT6" s="142">
        <v>3211</v>
      </c>
    </row>
    <row r="7" spans="1:47" x14ac:dyDescent="0.2">
      <c r="A7" s="174"/>
      <c r="B7" s="9" t="s">
        <v>4</v>
      </c>
      <c r="C7" s="1" t="s">
        <v>3202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3201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3200</v>
      </c>
      <c r="Z7" s="142" t="s">
        <v>106</v>
      </c>
      <c r="AA7" s="80">
        <v>1</v>
      </c>
      <c r="AB7" s="1" t="s">
        <v>516</v>
      </c>
      <c r="AC7" s="80">
        <v>1</v>
      </c>
      <c r="AD7" s="1" t="s">
        <v>516</v>
      </c>
      <c r="AE7" s="143">
        <v>1</v>
      </c>
      <c r="AF7" s="1" t="s">
        <v>529</v>
      </c>
      <c r="AG7" s="142">
        <v>58858</v>
      </c>
      <c r="AH7" s="142">
        <v>5885.8</v>
      </c>
      <c r="AI7" s="142">
        <v>6349.5</v>
      </c>
      <c r="AJ7" s="14" t="s">
        <v>3199</v>
      </c>
      <c r="AK7" s="142" t="s">
        <v>106</v>
      </c>
      <c r="AL7" s="80">
        <v>1</v>
      </c>
      <c r="AM7" s="1" t="s">
        <v>529</v>
      </c>
      <c r="AN7" s="80">
        <v>1</v>
      </c>
      <c r="AO7" s="1" t="s">
        <v>1325</v>
      </c>
      <c r="AP7" s="143">
        <v>0.95</v>
      </c>
      <c r="AQ7" s="1" t="s">
        <v>1315</v>
      </c>
      <c r="AR7" s="142">
        <v>128341</v>
      </c>
      <c r="AS7" s="142">
        <v>6754.79</v>
      </c>
      <c r="AT7" s="142">
        <v>6790</v>
      </c>
    </row>
    <row r="8" spans="1:47" x14ac:dyDescent="0.2">
      <c r="A8" s="174"/>
      <c r="B8" s="9" t="s">
        <v>5</v>
      </c>
      <c r="C8" s="1" t="s">
        <v>3198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3197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3196</v>
      </c>
      <c r="Z8" s="142" t="s">
        <v>106</v>
      </c>
      <c r="AA8" s="80">
        <v>1</v>
      </c>
      <c r="AB8" s="1" t="s">
        <v>529</v>
      </c>
      <c r="AC8" s="1" t="s">
        <v>164</v>
      </c>
      <c r="AD8" s="1" t="s">
        <v>164</v>
      </c>
      <c r="AE8" s="143">
        <v>1</v>
      </c>
      <c r="AF8" s="1" t="s">
        <v>529</v>
      </c>
      <c r="AG8" s="142">
        <v>61761</v>
      </c>
      <c r="AH8" s="142">
        <v>6176.1</v>
      </c>
      <c r="AI8" s="142">
        <v>6926</v>
      </c>
      <c r="AJ8" s="14" t="s">
        <v>3195</v>
      </c>
      <c r="AK8" s="142" t="s">
        <v>106</v>
      </c>
      <c r="AL8" s="80">
        <v>1</v>
      </c>
      <c r="AM8" s="1" t="s">
        <v>1070</v>
      </c>
      <c r="AN8" s="1" t="s">
        <v>164</v>
      </c>
      <c r="AO8" s="1" t="s">
        <v>164</v>
      </c>
      <c r="AP8" s="143">
        <v>1</v>
      </c>
      <c r="AQ8" s="1" t="s">
        <v>1070</v>
      </c>
      <c r="AR8" s="142">
        <v>130290</v>
      </c>
      <c r="AS8" s="142">
        <v>6514.5</v>
      </c>
      <c r="AT8" s="142">
        <v>6978</v>
      </c>
    </row>
    <row r="9" spans="1:47" x14ac:dyDescent="0.2">
      <c r="A9" s="174"/>
      <c r="B9" s="9" t="s">
        <v>6</v>
      </c>
      <c r="C9" s="1" t="s">
        <v>3194</v>
      </c>
      <c r="D9" s="142" t="s">
        <v>106</v>
      </c>
      <c r="E9" s="80">
        <v>0</v>
      </c>
      <c r="F9" s="1" t="s">
        <v>169</v>
      </c>
      <c r="G9" s="80">
        <v>1</v>
      </c>
      <c r="H9" s="1" t="s">
        <v>452</v>
      </c>
      <c r="I9" s="143">
        <v>1</v>
      </c>
      <c r="J9" s="1" t="s">
        <v>452</v>
      </c>
      <c r="K9" s="142">
        <v>17620</v>
      </c>
      <c r="L9" s="142">
        <v>17620</v>
      </c>
      <c r="M9" s="142">
        <v>17620</v>
      </c>
      <c r="N9" s="14" t="s">
        <v>3193</v>
      </c>
      <c r="O9" s="142" t="s">
        <v>106</v>
      </c>
      <c r="P9" s="80">
        <v>0</v>
      </c>
      <c r="Q9" s="1" t="s">
        <v>169</v>
      </c>
      <c r="R9" s="80">
        <v>0.5</v>
      </c>
      <c r="S9" s="1" t="s">
        <v>1108</v>
      </c>
      <c r="T9" s="143">
        <v>0.5</v>
      </c>
      <c r="U9" s="1" t="s">
        <v>1108</v>
      </c>
      <c r="V9" s="142">
        <v>18176</v>
      </c>
      <c r="W9" s="142">
        <v>18176</v>
      </c>
      <c r="X9" s="142">
        <v>18176</v>
      </c>
      <c r="Y9" s="14" t="s">
        <v>3192</v>
      </c>
      <c r="Z9" s="142" t="s">
        <v>107</v>
      </c>
      <c r="AA9" s="1" t="s">
        <v>164</v>
      </c>
      <c r="AB9" s="1" t="s">
        <v>164</v>
      </c>
      <c r="AC9" s="1" t="s">
        <v>164</v>
      </c>
      <c r="AD9" s="1" t="s">
        <v>164</v>
      </c>
      <c r="AE9" s="143">
        <v>0.6</v>
      </c>
      <c r="AF9" s="1" t="s">
        <v>963</v>
      </c>
      <c r="AG9" s="142">
        <v>33001</v>
      </c>
      <c r="AH9" s="142">
        <v>5500.17</v>
      </c>
      <c r="AI9" s="142">
        <v>5997.5</v>
      </c>
      <c r="AJ9" s="14" t="s">
        <v>3191</v>
      </c>
      <c r="AK9" s="142" t="s">
        <v>107</v>
      </c>
      <c r="AL9" s="1" t="s">
        <v>164</v>
      </c>
      <c r="AM9" s="1" t="s">
        <v>164</v>
      </c>
      <c r="AN9" s="1" t="s">
        <v>164</v>
      </c>
      <c r="AO9" s="1" t="s">
        <v>164</v>
      </c>
      <c r="AP9" s="143">
        <v>0.8</v>
      </c>
      <c r="AQ9" s="1" t="s">
        <v>1320</v>
      </c>
      <c r="AR9" s="142">
        <v>96398</v>
      </c>
      <c r="AS9" s="142">
        <v>6024.88</v>
      </c>
      <c r="AT9" s="142">
        <v>6096.5</v>
      </c>
    </row>
    <row r="10" spans="1:47" x14ac:dyDescent="0.2">
      <c r="A10" s="174"/>
      <c r="B10" s="9" t="s">
        <v>7</v>
      </c>
      <c r="C10" s="1" t="s">
        <v>3190</v>
      </c>
      <c r="D10" s="142" t="s">
        <v>106</v>
      </c>
      <c r="E10" s="80">
        <v>1</v>
      </c>
      <c r="F10" s="1" t="s">
        <v>452</v>
      </c>
      <c r="G10" s="1" t="s">
        <v>164</v>
      </c>
      <c r="H10" s="1" t="s">
        <v>164</v>
      </c>
      <c r="I10" s="143">
        <v>1</v>
      </c>
      <c r="J10" s="1" t="s">
        <v>452</v>
      </c>
      <c r="K10" s="142">
        <v>31914</v>
      </c>
      <c r="L10" s="142">
        <v>31914</v>
      </c>
      <c r="M10" s="142">
        <v>31914</v>
      </c>
      <c r="N10" s="14" t="s">
        <v>3189</v>
      </c>
      <c r="O10" s="142" t="s">
        <v>106</v>
      </c>
      <c r="P10" s="80">
        <v>1</v>
      </c>
      <c r="Q10" s="1" t="s">
        <v>1073</v>
      </c>
      <c r="R10" s="1" t="s">
        <v>164</v>
      </c>
      <c r="S10" s="1" t="s">
        <v>164</v>
      </c>
      <c r="T10" s="143">
        <v>1</v>
      </c>
      <c r="U10" s="1" t="s">
        <v>1073</v>
      </c>
      <c r="V10" s="142">
        <v>93565</v>
      </c>
      <c r="W10" s="142">
        <v>46782.5</v>
      </c>
      <c r="X10" s="142">
        <v>46782.5</v>
      </c>
      <c r="Y10" s="14" t="s">
        <v>3188</v>
      </c>
      <c r="Z10" s="142" t="s">
        <v>106</v>
      </c>
      <c r="AA10" s="80">
        <v>1</v>
      </c>
      <c r="AB10" s="1" t="s">
        <v>529</v>
      </c>
      <c r="AC10" s="1" t="s">
        <v>164</v>
      </c>
      <c r="AD10" s="1" t="s">
        <v>164</v>
      </c>
      <c r="AE10" s="143">
        <v>1</v>
      </c>
      <c r="AF10" s="1" t="s">
        <v>529</v>
      </c>
      <c r="AG10" s="142">
        <v>75095</v>
      </c>
      <c r="AH10" s="142">
        <v>7509.5</v>
      </c>
      <c r="AI10" s="142">
        <v>7663.5</v>
      </c>
      <c r="AJ10" s="14" t="s">
        <v>3187</v>
      </c>
      <c r="AK10" s="142" t="s">
        <v>106</v>
      </c>
      <c r="AL10" s="80">
        <v>1</v>
      </c>
      <c r="AM10" s="1" t="s">
        <v>1070</v>
      </c>
      <c r="AN10" s="1" t="s">
        <v>164</v>
      </c>
      <c r="AO10" s="1" t="s">
        <v>164</v>
      </c>
      <c r="AP10" s="143">
        <v>1</v>
      </c>
      <c r="AQ10" s="1" t="s">
        <v>1070</v>
      </c>
      <c r="AR10" s="142">
        <v>149072</v>
      </c>
      <c r="AS10" s="142">
        <v>7453.6</v>
      </c>
      <c r="AT10" s="142">
        <v>8156.5</v>
      </c>
    </row>
    <row r="11" spans="1:47" x14ac:dyDescent="0.2">
      <c r="A11" s="174"/>
      <c r="B11" s="9" t="s">
        <v>8</v>
      </c>
      <c r="C11" s="1" t="s">
        <v>3186</v>
      </c>
      <c r="D11" s="142" t="s">
        <v>106</v>
      </c>
      <c r="E11" s="80">
        <v>0</v>
      </c>
      <c r="F11" s="1" t="s">
        <v>169</v>
      </c>
      <c r="G11" s="80">
        <v>0</v>
      </c>
      <c r="H11" s="1" t="s">
        <v>163</v>
      </c>
      <c r="I11" s="143">
        <v>0</v>
      </c>
      <c r="J11" s="1" t="s">
        <v>163</v>
      </c>
      <c r="K11" s="142">
        <v>0</v>
      </c>
      <c r="L11" s="142">
        <v>0</v>
      </c>
      <c r="M11" s="142">
        <v>0</v>
      </c>
      <c r="N11" s="14" t="s">
        <v>3185</v>
      </c>
      <c r="O11" s="142" t="s">
        <v>106</v>
      </c>
      <c r="P11" s="80">
        <v>1</v>
      </c>
      <c r="Q11" s="1" t="s">
        <v>452</v>
      </c>
      <c r="R11" s="80">
        <v>0</v>
      </c>
      <c r="S11" s="1" t="s">
        <v>163</v>
      </c>
      <c r="T11" s="143">
        <v>0.5</v>
      </c>
      <c r="U11" s="1" t="s">
        <v>1108</v>
      </c>
      <c r="V11" s="142">
        <v>5435</v>
      </c>
      <c r="W11" s="142">
        <v>5435</v>
      </c>
      <c r="X11" s="142">
        <v>5435</v>
      </c>
      <c r="Y11" s="14" t="s">
        <v>3184</v>
      </c>
      <c r="Z11" s="142" t="s">
        <v>106</v>
      </c>
      <c r="AA11" s="80">
        <v>1</v>
      </c>
      <c r="AB11" s="1" t="s">
        <v>516</v>
      </c>
      <c r="AC11" s="80">
        <v>0.4</v>
      </c>
      <c r="AD11" s="1" t="s">
        <v>974</v>
      </c>
      <c r="AE11" s="143">
        <v>0.7</v>
      </c>
      <c r="AF11" s="1" t="s">
        <v>973</v>
      </c>
      <c r="AG11" s="142">
        <v>27857</v>
      </c>
      <c r="AH11" s="142">
        <v>3979.57</v>
      </c>
      <c r="AI11" s="142">
        <v>2882</v>
      </c>
      <c r="AJ11" s="14" t="s">
        <v>3183</v>
      </c>
      <c r="AK11" s="142" t="s">
        <v>106</v>
      </c>
      <c r="AL11" s="80">
        <v>1</v>
      </c>
      <c r="AM11" s="1" t="s">
        <v>2400</v>
      </c>
      <c r="AN11" s="80">
        <v>0.4</v>
      </c>
      <c r="AO11" s="1" t="s">
        <v>974</v>
      </c>
      <c r="AP11" s="143">
        <v>0.85</v>
      </c>
      <c r="AQ11" s="1" t="s">
        <v>1310</v>
      </c>
      <c r="AR11" s="142">
        <v>63944</v>
      </c>
      <c r="AS11" s="142">
        <v>3761.41</v>
      </c>
      <c r="AT11" s="142">
        <v>2901</v>
      </c>
      <c r="AU11" s="4" t="s">
        <v>98</v>
      </c>
    </row>
    <row r="12" spans="1:47" x14ac:dyDescent="0.2">
      <c r="A12" s="174"/>
      <c r="B12" s="9" t="s">
        <v>9</v>
      </c>
      <c r="C12" s="1" t="s">
        <v>3182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3181</v>
      </c>
      <c r="O12" s="142" t="s">
        <v>106</v>
      </c>
      <c r="P12" s="80">
        <v>0.5</v>
      </c>
      <c r="Q12" s="1" t="s">
        <v>1108</v>
      </c>
      <c r="R12" s="1" t="s">
        <v>164</v>
      </c>
      <c r="S12" s="1" t="s">
        <v>164</v>
      </c>
      <c r="T12" s="143">
        <v>0.5</v>
      </c>
      <c r="U12" s="1" t="s">
        <v>1108</v>
      </c>
      <c r="V12" s="142">
        <v>5520</v>
      </c>
      <c r="W12" s="142">
        <v>5520</v>
      </c>
      <c r="X12" s="142">
        <v>5520</v>
      </c>
      <c r="Y12" s="14" t="s">
        <v>3180</v>
      </c>
      <c r="Z12" s="142" t="s">
        <v>106</v>
      </c>
      <c r="AA12" s="80">
        <v>0.7</v>
      </c>
      <c r="AB12" s="1" t="s">
        <v>973</v>
      </c>
      <c r="AC12" s="1" t="s">
        <v>164</v>
      </c>
      <c r="AD12" s="1" t="s">
        <v>164</v>
      </c>
      <c r="AE12" s="143">
        <v>0.7</v>
      </c>
      <c r="AF12" s="1" t="s">
        <v>973</v>
      </c>
      <c r="AG12" s="142">
        <v>21944</v>
      </c>
      <c r="AH12" s="142">
        <v>3134.86</v>
      </c>
      <c r="AI12" s="142">
        <v>2982</v>
      </c>
      <c r="AJ12" s="14" t="s">
        <v>3179</v>
      </c>
      <c r="AK12" s="142" t="s">
        <v>106</v>
      </c>
      <c r="AL12" s="80">
        <v>0.85</v>
      </c>
      <c r="AM12" s="1" t="s">
        <v>1310</v>
      </c>
      <c r="AN12" s="1" t="s">
        <v>164</v>
      </c>
      <c r="AO12" s="1" t="s">
        <v>164</v>
      </c>
      <c r="AP12" s="143">
        <v>0.85</v>
      </c>
      <c r="AQ12" s="1" t="s">
        <v>1310</v>
      </c>
      <c r="AR12" s="142">
        <v>57268</v>
      </c>
      <c r="AS12" s="142">
        <v>3368.71</v>
      </c>
      <c r="AT12" s="142">
        <v>2883</v>
      </c>
      <c r="AU12" s="4" t="s">
        <v>98</v>
      </c>
    </row>
    <row r="13" spans="1:47" x14ac:dyDescent="0.2">
      <c r="A13" s="174"/>
      <c r="B13" s="9" t="s">
        <v>12</v>
      </c>
      <c r="C13" s="1" t="s">
        <v>3178</v>
      </c>
      <c r="D13" s="142" t="s">
        <v>106</v>
      </c>
      <c r="E13" s="80">
        <v>0</v>
      </c>
      <c r="F13" s="1" t="s">
        <v>169</v>
      </c>
      <c r="G13" s="80">
        <v>0</v>
      </c>
      <c r="H13" s="1" t="s">
        <v>163</v>
      </c>
      <c r="I13" s="143">
        <v>0</v>
      </c>
      <c r="J13" s="1" t="s">
        <v>163</v>
      </c>
      <c r="K13" s="142">
        <v>0</v>
      </c>
      <c r="L13" s="142">
        <v>0</v>
      </c>
      <c r="M13" s="142">
        <v>0</v>
      </c>
      <c r="N13" s="14" t="s">
        <v>3177</v>
      </c>
      <c r="O13" s="142" t="s">
        <v>106</v>
      </c>
      <c r="P13" s="80">
        <v>0</v>
      </c>
      <c r="Q13" s="1" t="s">
        <v>169</v>
      </c>
      <c r="R13" s="80">
        <v>0</v>
      </c>
      <c r="S13" s="1" t="s">
        <v>163</v>
      </c>
      <c r="T13" s="143">
        <v>0</v>
      </c>
      <c r="U13" s="1" t="s">
        <v>163</v>
      </c>
      <c r="V13" s="142">
        <v>0</v>
      </c>
      <c r="W13" s="142">
        <v>0</v>
      </c>
      <c r="X13" s="142">
        <v>0</v>
      </c>
      <c r="Y13" s="14" t="s">
        <v>3176</v>
      </c>
      <c r="Z13" s="142" t="s">
        <v>106</v>
      </c>
      <c r="AA13" s="80">
        <v>0.6</v>
      </c>
      <c r="AB13" s="1" t="s">
        <v>964</v>
      </c>
      <c r="AC13" s="80">
        <v>0</v>
      </c>
      <c r="AD13" s="1" t="s">
        <v>218</v>
      </c>
      <c r="AE13" s="143">
        <v>0.3</v>
      </c>
      <c r="AF13" s="1" t="s">
        <v>1004</v>
      </c>
      <c r="AG13" s="142">
        <v>7852</v>
      </c>
      <c r="AH13" s="142">
        <v>2617.33</v>
      </c>
      <c r="AI13" s="142">
        <v>2623</v>
      </c>
      <c r="AJ13" s="14" t="s">
        <v>3175</v>
      </c>
      <c r="AK13" s="142" t="s">
        <v>106</v>
      </c>
      <c r="AL13" s="80">
        <v>0.6</v>
      </c>
      <c r="AM13" s="1" t="s">
        <v>964</v>
      </c>
      <c r="AN13" s="80">
        <v>0</v>
      </c>
      <c r="AO13" s="1" t="s">
        <v>218</v>
      </c>
      <c r="AP13" s="143">
        <v>0.3</v>
      </c>
      <c r="AQ13" s="1" t="s">
        <v>1004</v>
      </c>
      <c r="AR13" s="142">
        <v>7462</v>
      </c>
      <c r="AS13" s="142">
        <v>2487.33</v>
      </c>
      <c r="AT13" s="142">
        <v>2484</v>
      </c>
      <c r="AU13" s="4" t="s">
        <v>97</v>
      </c>
    </row>
    <row r="14" spans="1:47" x14ac:dyDescent="0.2">
      <c r="A14" s="174"/>
      <c r="B14" s="9" t="s">
        <v>13</v>
      </c>
      <c r="C14" s="1" t="s">
        <v>3174</v>
      </c>
      <c r="D14" s="142" t="s">
        <v>106</v>
      </c>
      <c r="E14" s="80">
        <v>0</v>
      </c>
      <c r="F14" s="1" t="s">
        <v>163</v>
      </c>
      <c r="G14" s="1" t="s">
        <v>164</v>
      </c>
      <c r="H14" s="1" t="s">
        <v>164</v>
      </c>
      <c r="I14" s="143">
        <v>0</v>
      </c>
      <c r="J14" s="1" t="s">
        <v>163</v>
      </c>
      <c r="K14" s="142">
        <v>0</v>
      </c>
      <c r="L14" s="142">
        <v>0</v>
      </c>
      <c r="M14" s="142">
        <v>0</v>
      </c>
      <c r="N14" s="14" t="s">
        <v>3173</v>
      </c>
      <c r="O14" s="142" t="s">
        <v>106</v>
      </c>
      <c r="P14" s="80">
        <v>0</v>
      </c>
      <c r="Q14" s="1" t="s">
        <v>163</v>
      </c>
      <c r="R14" s="1" t="s">
        <v>164</v>
      </c>
      <c r="S14" s="1" t="s">
        <v>164</v>
      </c>
      <c r="T14" s="143">
        <v>0</v>
      </c>
      <c r="U14" s="1" t="s">
        <v>163</v>
      </c>
      <c r="V14" s="142">
        <v>0</v>
      </c>
      <c r="W14" s="142">
        <v>0</v>
      </c>
      <c r="X14" s="142">
        <v>0</v>
      </c>
      <c r="Y14" s="14" t="s">
        <v>3172</v>
      </c>
      <c r="Z14" s="142" t="s">
        <v>106</v>
      </c>
      <c r="AA14" s="80">
        <v>0.6</v>
      </c>
      <c r="AB14" s="1" t="s">
        <v>963</v>
      </c>
      <c r="AC14" s="1" t="s">
        <v>164</v>
      </c>
      <c r="AD14" s="1" t="s">
        <v>164</v>
      </c>
      <c r="AE14" s="143">
        <v>0.6</v>
      </c>
      <c r="AF14" s="1" t="s">
        <v>963</v>
      </c>
      <c r="AG14" s="142">
        <v>15524</v>
      </c>
      <c r="AH14" s="142">
        <v>2587.33</v>
      </c>
      <c r="AI14" s="142">
        <v>2583</v>
      </c>
      <c r="AJ14" s="14" t="s">
        <v>3171</v>
      </c>
      <c r="AK14" s="142" t="s">
        <v>106</v>
      </c>
      <c r="AL14" s="80">
        <v>0.6</v>
      </c>
      <c r="AM14" s="1" t="s">
        <v>963</v>
      </c>
      <c r="AN14" s="1" t="s">
        <v>164</v>
      </c>
      <c r="AO14" s="1" t="s">
        <v>164</v>
      </c>
      <c r="AP14" s="143">
        <v>0.6</v>
      </c>
      <c r="AQ14" s="1" t="s">
        <v>963</v>
      </c>
      <c r="AR14" s="142">
        <v>14876</v>
      </c>
      <c r="AS14" s="142">
        <v>2479.33</v>
      </c>
      <c r="AT14" s="142">
        <v>2470.5</v>
      </c>
      <c r="AU14" s="4" t="s">
        <v>97</v>
      </c>
    </row>
    <row r="15" spans="1:47" x14ac:dyDescent="0.2">
      <c r="A15" s="174"/>
      <c r="B15" s="9" t="s">
        <v>14</v>
      </c>
      <c r="C15" s="1" t="s">
        <v>3170</v>
      </c>
      <c r="D15" s="142" t="s">
        <v>106</v>
      </c>
      <c r="E15" s="80">
        <v>0</v>
      </c>
      <c r="F15" s="1" t="s">
        <v>169</v>
      </c>
      <c r="G15" s="80">
        <v>0</v>
      </c>
      <c r="H15" s="1" t="s">
        <v>163</v>
      </c>
      <c r="I15" s="143">
        <v>0</v>
      </c>
      <c r="J15" s="1" t="s">
        <v>163</v>
      </c>
      <c r="K15" s="142">
        <v>0</v>
      </c>
      <c r="L15" s="142">
        <v>0</v>
      </c>
      <c r="M15" s="142">
        <v>0</v>
      </c>
      <c r="N15" s="14" t="s">
        <v>3169</v>
      </c>
      <c r="O15" s="142" t="s">
        <v>106</v>
      </c>
      <c r="P15" s="80">
        <v>0</v>
      </c>
      <c r="Q15" s="1" t="s">
        <v>169</v>
      </c>
      <c r="R15" s="80">
        <v>0</v>
      </c>
      <c r="S15" s="1" t="s">
        <v>163</v>
      </c>
      <c r="T15" s="143">
        <v>0</v>
      </c>
      <c r="U15" s="1" t="s">
        <v>163</v>
      </c>
      <c r="V15" s="142">
        <v>0</v>
      </c>
      <c r="W15" s="142">
        <v>0</v>
      </c>
      <c r="X15" s="142">
        <v>0</v>
      </c>
      <c r="Y15" s="14" t="s">
        <v>3168</v>
      </c>
      <c r="Z15" s="142" t="s">
        <v>106</v>
      </c>
      <c r="AA15" s="80">
        <v>0.2</v>
      </c>
      <c r="AB15" s="1" t="s">
        <v>1049</v>
      </c>
      <c r="AC15" s="80">
        <v>0</v>
      </c>
      <c r="AD15" s="1" t="s">
        <v>218</v>
      </c>
      <c r="AE15" s="143">
        <v>0.1</v>
      </c>
      <c r="AF15" s="1" t="s">
        <v>1235</v>
      </c>
      <c r="AG15" s="142">
        <v>2677</v>
      </c>
      <c r="AH15" s="142">
        <v>2677</v>
      </c>
      <c r="AI15" s="142">
        <v>2677</v>
      </c>
      <c r="AJ15" s="14" t="s">
        <v>3167</v>
      </c>
      <c r="AK15" s="142" t="s">
        <v>106</v>
      </c>
      <c r="AL15" s="80">
        <v>0.2</v>
      </c>
      <c r="AM15" s="1" t="s">
        <v>1049</v>
      </c>
      <c r="AN15" s="80">
        <v>0</v>
      </c>
      <c r="AO15" s="1" t="s">
        <v>218</v>
      </c>
      <c r="AP15" s="143">
        <v>0.1</v>
      </c>
      <c r="AQ15" s="1" t="s">
        <v>1235</v>
      </c>
      <c r="AR15" s="142">
        <v>2592</v>
      </c>
      <c r="AS15" s="142">
        <v>2592</v>
      </c>
      <c r="AT15" s="142">
        <v>2592</v>
      </c>
      <c r="AU15" s="4" t="s">
        <v>97</v>
      </c>
    </row>
    <row r="16" spans="1:47" x14ac:dyDescent="0.2">
      <c r="A16" s="174"/>
      <c r="B16" s="9" t="s">
        <v>15</v>
      </c>
      <c r="C16" s="1" t="s">
        <v>3166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3165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3164</v>
      </c>
      <c r="Z16" s="142" t="s">
        <v>106</v>
      </c>
      <c r="AA16" s="80">
        <v>0.6</v>
      </c>
      <c r="AB16" s="1" t="s">
        <v>963</v>
      </c>
      <c r="AC16" s="1" t="s">
        <v>164</v>
      </c>
      <c r="AD16" s="1" t="s">
        <v>164</v>
      </c>
      <c r="AE16" s="143">
        <v>0.6</v>
      </c>
      <c r="AF16" s="1" t="s">
        <v>963</v>
      </c>
      <c r="AG16" s="142">
        <v>16307</v>
      </c>
      <c r="AH16" s="142">
        <v>2717.83</v>
      </c>
      <c r="AI16" s="142">
        <v>2713</v>
      </c>
      <c r="AJ16" s="14" t="s">
        <v>3163</v>
      </c>
      <c r="AK16" s="142" t="s">
        <v>106</v>
      </c>
      <c r="AL16" s="80">
        <v>0.6</v>
      </c>
      <c r="AM16" s="1" t="s">
        <v>963</v>
      </c>
      <c r="AN16" s="1" t="s">
        <v>164</v>
      </c>
      <c r="AO16" s="1" t="s">
        <v>164</v>
      </c>
      <c r="AP16" s="143">
        <v>0.6</v>
      </c>
      <c r="AQ16" s="1" t="s">
        <v>963</v>
      </c>
      <c r="AR16" s="142">
        <v>16228</v>
      </c>
      <c r="AS16" s="142">
        <v>2704.67</v>
      </c>
      <c r="AT16" s="142">
        <v>2707</v>
      </c>
      <c r="AU16" s="4" t="s">
        <v>97</v>
      </c>
    </row>
    <row r="17" spans="1:47" x14ac:dyDescent="0.2">
      <c r="A17" s="174"/>
      <c r="B17" s="9" t="s">
        <v>16</v>
      </c>
      <c r="C17" s="1" t="s">
        <v>3162</v>
      </c>
      <c r="D17" s="142" t="s">
        <v>106</v>
      </c>
      <c r="E17" s="80">
        <v>0</v>
      </c>
      <c r="F17" s="1" t="s">
        <v>169</v>
      </c>
      <c r="G17" s="80">
        <v>0</v>
      </c>
      <c r="H17" s="1" t="s">
        <v>163</v>
      </c>
      <c r="I17" s="143">
        <v>0</v>
      </c>
      <c r="J17" s="1" t="s">
        <v>163</v>
      </c>
      <c r="K17" s="142">
        <v>0</v>
      </c>
      <c r="L17" s="142">
        <v>0</v>
      </c>
      <c r="M17" s="142">
        <v>0</v>
      </c>
      <c r="N17" s="14" t="s">
        <v>3161</v>
      </c>
      <c r="O17" s="142" t="s">
        <v>106</v>
      </c>
      <c r="P17" s="80">
        <v>0</v>
      </c>
      <c r="Q17" s="1" t="s">
        <v>169</v>
      </c>
      <c r="R17" s="80">
        <v>0</v>
      </c>
      <c r="S17" s="1" t="s">
        <v>163</v>
      </c>
      <c r="T17" s="143">
        <v>0</v>
      </c>
      <c r="U17" s="1" t="s">
        <v>163</v>
      </c>
      <c r="V17" s="142">
        <v>0</v>
      </c>
      <c r="W17" s="142">
        <v>0</v>
      </c>
      <c r="X17" s="142">
        <v>0</v>
      </c>
      <c r="Y17" s="14" t="s">
        <v>3160</v>
      </c>
      <c r="Z17" s="142" t="s">
        <v>106</v>
      </c>
      <c r="AA17" s="80">
        <v>0</v>
      </c>
      <c r="AB17" s="1" t="s">
        <v>218</v>
      </c>
      <c r="AC17" s="80">
        <v>0</v>
      </c>
      <c r="AD17" s="1" t="s">
        <v>218</v>
      </c>
      <c r="AE17" s="143">
        <v>0</v>
      </c>
      <c r="AF17" s="1" t="s">
        <v>213</v>
      </c>
      <c r="AG17" s="142">
        <v>0</v>
      </c>
      <c r="AH17" s="142">
        <v>0</v>
      </c>
      <c r="AI17" s="142">
        <v>0</v>
      </c>
      <c r="AJ17" s="14" t="s">
        <v>3159</v>
      </c>
      <c r="AK17" s="142" t="s">
        <v>106</v>
      </c>
      <c r="AL17" s="80">
        <v>0</v>
      </c>
      <c r="AM17" s="1" t="s">
        <v>218</v>
      </c>
      <c r="AN17" s="80">
        <v>0</v>
      </c>
      <c r="AO17" s="1" t="s">
        <v>218</v>
      </c>
      <c r="AP17" s="143">
        <v>0</v>
      </c>
      <c r="AQ17" s="1" t="s">
        <v>213</v>
      </c>
      <c r="AR17" s="142">
        <v>0</v>
      </c>
      <c r="AS17" s="142">
        <v>0</v>
      </c>
      <c r="AT17" s="142">
        <v>0</v>
      </c>
      <c r="AU17" s="4" t="s">
        <v>97</v>
      </c>
    </row>
    <row r="18" spans="1:47" x14ac:dyDescent="0.2">
      <c r="A18" s="174"/>
      <c r="B18" s="9" t="s">
        <v>17</v>
      </c>
      <c r="C18" s="1" t="s">
        <v>3158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3157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3156</v>
      </c>
      <c r="Z18" s="142" t="s">
        <v>106</v>
      </c>
      <c r="AA18" s="80">
        <v>0</v>
      </c>
      <c r="AB18" s="1" t="s">
        <v>213</v>
      </c>
      <c r="AC18" s="1" t="s">
        <v>164</v>
      </c>
      <c r="AD18" s="1" t="s">
        <v>164</v>
      </c>
      <c r="AE18" s="143">
        <v>0</v>
      </c>
      <c r="AF18" s="1" t="s">
        <v>213</v>
      </c>
      <c r="AG18" s="142">
        <v>0</v>
      </c>
      <c r="AH18" s="142">
        <v>0</v>
      </c>
      <c r="AI18" s="142">
        <v>0</v>
      </c>
      <c r="AJ18" s="14" t="s">
        <v>3155</v>
      </c>
      <c r="AK18" s="142" t="s">
        <v>106</v>
      </c>
      <c r="AL18" s="80">
        <v>0</v>
      </c>
      <c r="AM18" s="1" t="s">
        <v>213</v>
      </c>
      <c r="AN18" s="1" t="s">
        <v>164</v>
      </c>
      <c r="AO18" s="1" t="s">
        <v>164</v>
      </c>
      <c r="AP18" s="143">
        <v>0</v>
      </c>
      <c r="AQ18" s="1" t="s">
        <v>213</v>
      </c>
      <c r="AR18" s="142">
        <v>0</v>
      </c>
      <c r="AS18" s="142">
        <v>0</v>
      </c>
      <c r="AT18" s="142">
        <v>0</v>
      </c>
      <c r="AU18" s="4" t="s">
        <v>97</v>
      </c>
    </row>
    <row r="19" spans="1:47" x14ac:dyDescent="0.2">
      <c r="A19" s="174"/>
      <c r="B19" s="9" t="s">
        <v>18</v>
      </c>
      <c r="C19" s="1" t="s">
        <v>3154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3153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5734</v>
      </c>
      <c r="W19" s="142">
        <v>5734</v>
      </c>
      <c r="X19" s="142">
        <v>5734</v>
      </c>
      <c r="Y19" s="14" t="s">
        <v>3152</v>
      </c>
      <c r="Z19" s="142" t="s">
        <v>106</v>
      </c>
      <c r="AA19" s="80">
        <v>0.2</v>
      </c>
      <c r="AB19" s="1" t="s">
        <v>1049</v>
      </c>
      <c r="AC19" s="80">
        <v>0.2</v>
      </c>
      <c r="AD19" s="1" t="s">
        <v>1049</v>
      </c>
      <c r="AE19" s="143">
        <v>0.2</v>
      </c>
      <c r="AF19" s="1" t="s">
        <v>930</v>
      </c>
      <c r="AG19" s="142">
        <v>15047</v>
      </c>
      <c r="AH19" s="142">
        <v>7523.5</v>
      </c>
      <c r="AI19" s="142">
        <v>7523.5</v>
      </c>
      <c r="AJ19" s="14" t="s">
        <v>3151</v>
      </c>
      <c r="AK19" s="142" t="s">
        <v>106</v>
      </c>
      <c r="AL19" s="80">
        <v>0.73329999999999995</v>
      </c>
      <c r="AM19" s="1" t="s">
        <v>3150</v>
      </c>
      <c r="AN19" s="80">
        <v>0.2</v>
      </c>
      <c r="AO19" s="1" t="s">
        <v>1049</v>
      </c>
      <c r="AP19" s="143">
        <v>0.6</v>
      </c>
      <c r="AQ19" s="1" t="s">
        <v>1239</v>
      </c>
      <c r="AR19" s="142">
        <v>57224</v>
      </c>
      <c r="AS19" s="142">
        <v>4768.67</v>
      </c>
      <c r="AT19" s="142">
        <v>4276</v>
      </c>
      <c r="AU19" s="4" t="s">
        <v>99</v>
      </c>
    </row>
    <row r="20" spans="1:47" x14ac:dyDescent="0.2">
      <c r="A20" s="174"/>
      <c r="B20" s="9" t="s">
        <v>19</v>
      </c>
      <c r="C20" s="1" t="s">
        <v>3149</v>
      </c>
      <c r="D20" s="142" t="s">
        <v>106</v>
      </c>
      <c r="E20" s="80">
        <v>1</v>
      </c>
      <c r="F20" s="1" t="s">
        <v>452</v>
      </c>
      <c r="G20" s="1" t="s">
        <v>164</v>
      </c>
      <c r="H20" s="1" t="s">
        <v>164</v>
      </c>
      <c r="I20" s="143">
        <v>1</v>
      </c>
      <c r="J20" s="1" t="s">
        <v>452</v>
      </c>
      <c r="K20" s="142">
        <v>17790</v>
      </c>
      <c r="L20" s="142">
        <v>17790</v>
      </c>
      <c r="M20" s="142">
        <v>17790</v>
      </c>
      <c r="N20" s="14" t="s">
        <v>3148</v>
      </c>
      <c r="O20" s="142" t="s">
        <v>106</v>
      </c>
      <c r="P20" s="80">
        <v>1</v>
      </c>
      <c r="Q20" s="1" t="s">
        <v>1073</v>
      </c>
      <c r="R20" s="1" t="s">
        <v>164</v>
      </c>
      <c r="S20" s="1" t="s">
        <v>164</v>
      </c>
      <c r="T20" s="143">
        <v>1</v>
      </c>
      <c r="U20" s="1" t="s">
        <v>1073</v>
      </c>
      <c r="V20" s="142">
        <v>22538</v>
      </c>
      <c r="W20" s="142">
        <v>11269</v>
      </c>
      <c r="X20" s="142">
        <v>11269</v>
      </c>
      <c r="Y20" s="14" t="s">
        <v>3147</v>
      </c>
      <c r="Z20" s="142" t="s">
        <v>106</v>
      </c>
      <c r="AA20" s="80">
        <v>1</v>
      </c>
      <c r="AB20" s="1" t="s">
        <v>529</v>
      </c>
      <c r="AC20" s="1" t="s">
        <v>164</v>
      </c>
      <c r="AD20" s="1" t="s">
        <v>164</v>
      </c>
      <c r="AE20" s="143">
        <v>1</v>
      </c>
      <c r="AF20" s="1" t="s">
        <v>529</v>
      </c>
      <c r="AG20" s="142">
        <v>141340</v>
      </c>
      <c r="AH20" s="142">
        <v>14134</v>
      </c>
      <c r="AI20" s="142">
        <v>15742</v>
      </c>
      <c r="AJ20" s="14" t="s">
        <v>3146</v>
      </c>
      <c r="AK20" s="142" t="s">
        <v>106</v>
      </c>
      <c r="AL20" s="80">
        <v>1</v>
      </c>
      <c r="AM20" s="1" t="s">
        <v>1070</v>
      </c>
      <c r="AN20" s="1" t="s">
        <v>164</v>
      </c>
      <c r="AO20" s="1" t="s">
        <v>164</v>
      </c>
      <c r="AP20" s="143">
        <v>1</v>
      </c>
      <c r="AQ20" s="1" t="s">
        <v>1070</v>
      </c>
      <c r="AR20" s="142">
        <v>181061</v>
      </c>
      <c r="AS20" s="142">
        <v>9053.0499999999993</v>
      </c>
      <c r="AT20" s="142">
        <v>5074.5</v>
      </c>
      <c r="AU20" s="4" t="s">
        <v>99</v>
      </c>
    </row>
    <row r="21" spans="1:47" x14ac:dyDescent="0.2">
      <c r="A21" s="174"/>
      <c r="B21" s="9" t="s">
        <v>20</v>
      </c>
      <c r="C21" s="1" t="s">
        <v>3145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3144</v>
      </c>
      <c r="O21" s="142" t="s">
        <v>106</v>
      </c>
      <c r="P21" s="80">
        <v>1</v>
      </c>
      <c r="Q21" s="1" t="s">
        <v>452</v>
      </c>
      <c r="R21" s="80">
        <v>0</v>
      </c>
      <c r="S21" s="1" t="s">
        <v>163</v>
      </c>
      <c r="T21" s="143">
        <v>0.5</v>
      </c>
      <c r="U21" s="1" t="s">
        <v>1108</v>
      </c>
      <c r="V21" s="142">
        <v>5998</v>
      </c>
      <c r="W21" s="142">
        <v>5998</v>
      </c>
      <c r="X21" s="142">
        <v>5998</v>
      </c>
      <c r="Y21" s="14" t="s">
        <v>3143</v>
      </c>
      <c r="Z21" s="142" t="s">
        <v>106</v>
      </c>
      <c r="AA21" s="80">
        <v>0</v>
      </c>
      <c r="AB21" s="1" t="s">
        <v>218</v>
      </c>
      <c r="AC21" s="80">
        <v>0</v>
      </c>
      <c r="AD21" s="1" t="s">
        <v>218</v>
      </c>
      <c r="AE21" s="143">
        <v>0</v>
      </c>
      <c r="AF21" s="1" t="s">
        <v>213</v>
      </c>
      <c r="AG21" s="142">
        <v>0</v>
      </c>
      <c r="AH21" s="142">
        <v>0</v>
      </c>
      <c r="AI21" s="142">
        <v>0</v>
      </c>
      <c r="AJ21" s="14" t="s">
        <v>3142</v>
      </c>
      <c r="AK21" s="142" t="s">
        <v>106</v>
      </c>
      <c r="AL21" s="80">
        <v>0.6</v>
      </c>
      <c r="AM21" s="1" t="s">
        <v>1647</v>
      </c>
      <c r="AN21" s="80">
        <v>0</v>
      </c>
      <c r="AO21" s="1" t="s">
        <v>218</v>
      </c>
      <c r="AP21" s="143">
        <v>0.45</v>
      </c>
      <c r="AQ21" s="1" t="s">
        <v>3141</v>
      </c>
      <c r="AR21" s="142">
        <v>39327</v>
      </c>
      <c r="AS21" s="142">
        <v>4369.67</v>
      </c>
      <c r="AT21" s="142">
        <v>4362</v>
      </c>
      <c r="AU21" s="4" t="s">
        <v>93</v>
      </c>
    </row>
    <row r="22" spans="1:47" x14ac:dyDescent="0.2">
      <c r="A22" s="174"/>
      <c r="B22" s="9" t="s">
        <v>21</v>
      </c>
      <c r="C22" s="1" t="s">
        <v>3140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14908</v>
      </c>
      <c r="L22" s="142">
        <v>14908</v>
      </c>
      <c r="M22" s="142">
        <v>14908</v>
      </c>
      <c r="N22" s="14" t="s">
        <v>3139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20039</v>
      </c>
      <c r="W22" s="142">
        <v>10019.5</v>
      </c>
      <c r="X22" s="142">
        <v>10019.5</v>
      </c>
      <c r="Y22" s="14" t="s">
        <v>3138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140738</v>
      </c>
      <c r="AH22" s="142">
        <v>14073.8</v>
      </c>
      <c r="AI22" s="142">
        <v>14021.5</v>
      </c>
      <c r="AJ22" s="14" t="s">
        <v>3137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174400</v>
      </c>
      <c r="AS22" s="142">
        <v>8720</v>
      </c>
      <c r="AT22" s="142">
        <v>8590</v>
      </c>
      <c r="AU22" s="4" t="s">
        <v>93</v>
      </c>
    </row>
    <row r="23" spans="1:47" x14ac:dyDescent="0.2">
      <c r="A23" s="174"/>
      <c r="B23" s="9" t="s">
        <v>26</v>
      </c>
      <c r="C23" s="1" t="s">
        <v>3136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3135</v>
      </c>
      <c r="O23" s="142" t="s">
        <v>106</v>
      </c>
      <c r="P23" s="80">
        <v>1</v>
      </c>
      <c r="Q23" s="1" t="s">
        <v>452</v>
      </c>
      <c r="R23" s="80">
        <v>0</v>
      </c>
      <c r="S23" s="1" t="s">
        <v>1161</v>
      </c>
      <c r="T23" s="143">
        <v>0.25</v>
      </c>
      <c r="U23" s="1" t="s">
        <v>1247</v>
      </c>
      <c r="V23" s="142">
        <v>5488</v>
      </c>
      <c r="W23" s="142">
        <v>5488</v>
      </c>
      <c r="X23" s="142">
        <v>5488</v>
      </c>
      <c r="Y23" s="14" t="s">
        <v>3134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3133</v>
      </c>
      <c r="AK23" s="142" t="s">
        <v>106</v>
      </c>
      <c r="AL23" s="80">
        <v>0.76919999999999999</v>
      </c>
      <c r="AM23" s="1" t="s">
        <v>3132</v>
      </c>
      <c r="AN23" s="80">
        <v>0</v>
      </c>
      <c r="AO23" s="1" t="s">
        <v>1250</v>
      </c>
      <c r="AP23" s="143">
        <v>0.25</v>
      </c>
      <c r="AQ23" s="1" t="s">
        <v>3127</v>
      </c>
      <c r="AR23" s="142">
        <v>48176</v>
      </c>
      <c r="AS23" s="142">
        <v>4817.6000000000004</v>
      </c>
      <c r="AT23" s="142">
        <v>4468</v>
      </c>
      <c r="AU23" s="4" t="s">
        <v>99</v>
      </c>
    </row>
    <row r="24" spans="1:47" x14ac:dyDescent="0.2">
      <c r="A24" s="174"/>
      <c r="B24" s="9" t="s">
        <v>27</v>
      </c>
      <c r="C24" s="1" t="s">
        <v>3131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3130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5867</v>
      </c>
      <c r="W24" s="142">
        <v>5867</v>
      </c>
      <c r="X24" s="142">
        <v>5867</v>
      </c>
      <c r="Y24" s="14" t="s">
        <v>3129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3128</v>
      </c>
      <c r="AK24" s="142" t="s">
        <v>106</v>
      </c>
      <c r="AL24" s="80">
        <v>0.25</v>
      </c>
      <c r="AM24" s="1" t="s">
        <v>3127</v>
      </c>
      <c r="AN24" s="1" t="s">
        <v>164</v>
      </c>
      <c r="AO24" s="1" t="s">
        <v>164</v>
      </c>
      <c r="AP24" s="143">
        <v>0.25</v>
      </c>
      <c r="AQ24" s="1" t="s">
        <v>3127</v>
      </c>
      <c r="AR24" s="142">
        <v>49151</v>
      </c>
      <c r="AS24" s="142">
        <v>4915.1000000000004</v>
      </c>
      <c r="AT24" s="142">
        <v>4626</v>
      </c>
      <c r="AU24" s="4" t="s">
        <v>99</v>
      </c>
    </row>
    <row r="25" spans="1:47" x14ac:dyDescent="0.2">
      <c r="A25" s="174"/>
      <c r="B25" s="9" t="s">
        <v>28</v>
      </c>
      <c r="C25" s="1" t="s">
        <v>3126</v>
      </c>
      <c r="D25" s="142" t="s">
        <v>106</v>
      </c>
      <c r="E25" s="80">
        <v>0</v>
      </c>
      <c r="F25" s="1" t="s">
        <v>169</v>
      </c>
      <c r="G25" s="80">
        <v>0</v>
      </c>
      <c r="H25" s="1" t="s">
        <v>163</v>
      </c>
      <c r="I25" s="143">
        <v>0</v>
      </c>
      <c r="J25" s="1" t="s">
        <v>163</v>
      </c>
      <c r="K25" s="142">
        <v>0</v>
      </c>
      <c r="L25" s="142">
        <v>0</v>
      </c>
      <c r="M25" s="142">
        <v>0</v>
      </c>
      <c r="N25" s="14" t="s">
        <v>3125</v>
      </c>
      <c r="O25" s="142" t="s">
        <v>106</v>
      </c>
      <c r="P25" s="80">
        <v>0</v>
      </c>
      <c r="Q25" s="1" t="s">
        <v>169</v>
      </c>
      <c r="R25" s="80">
        <v>0</v>
      </c>
      <c r="S25" s="1" t="s">
        <v>939</v>
      </c>
      <c r="T25" s="143">
        <v>0</v>
      </c>
      <c r="U25" s="1" t="s">
        <v>939</v>
      </c>
      <c r="V25" s="142">
        <v>0</v>
      </c>
      <c r="W25" s="142">
        <v>0</v>
      </c>
      <c r="X25" s="142">
        <v>0</v>
      </c>
      <c r="Y25" s="14" t="s">
        <v>3124</v>
      </c>
      <c r="Z25" s="142" t="s">
        <v>106</v>
      </c>
      <c r="AA25" s="80">
        <v>0.2</v>
      </c>
      <c r="AB25" s="1" t="s">
        <v>1049</v>
      </c>
      <c r="AC25" s="80">
        <v>1</v>
      </c>
      <c r="AD25" s="1" t="s">
        <v>516</v>
      </c>
      <c r="AE25" s="143">
        <v>0.6</v>
      </c>
      <c r="AF25" s="1" t="s">
        <v>963</v>
      </c>
      <c r="AG25" s="142">
        <v>27657</v>
      </c>
      <c r="AH25" s="142">
        <v>4609.5</v>
      </c>
      <c r="AI25" s="142">
        <v>4921.5</v>
      </c>
      <c r="AJ25" s="14" t="s">
        <v>3123</v>
      </c>
      <c r="AK25" s="142" t="s">
        <v>106</v>
      </c>
      <c r="AL25" s="80">
        <v>0.2</v>
      </c>
      <c r="AM25" s="1" t="s">
        <v>930</v>
      </c>
      <c r="AN25" s="80">
        <v>1</v>
      </c>
      <c r="AO25" s="1" t="s">
        <v>529</v>
      </c>
      <c r="AP25" s="143">
        <v>0.6</v>
      </c>
      <c r="AQ25" s="1" t="s">
        <v>1239</v>
      </c>
      <c r="AR25" s="142">
        <v>62175</v>
      </c>
      <c r="AS25" s="142">
        <v>5181.25</v>
      </c>
      <c r="AT25" s="142">
        <v>5562</v>
      </c>
    </row>
    <row r="26" spans="1:47" x14ac:dyDescent="0.2">
      <c r="A26" s="174"/>
      <c r="B26" s="9" t="s">
        <v>112</v>
      </c>
      <c r="C26" s="1" t="s">
        <v>3122</v>
      </c>
      <c r="D26" s="142" t="s">
        <v>106</v>
      </c>
      <c r="E26" s="80">
        <v>0</v>
      </c>
      <c r="F26" s="1" t="s">
        <v>169</v>
      </c>
      <c r="G26" s="80">
        <v>0</v>
      </c>
      <c r="H26" s="1" t="s">
        <v>163</v>
      </c>
      <c r="I26" s="143">
        <v>0</v>
      </c>
      <c r="J26" s="1" t="s">
        <v>163</v>
      </c>
      <c r="K26" s="142">
        <v>0</v>
      </c>
      <c r="L26" s="142">
        <v>0</v>
      </c>
      <c r="M26" s="142">
        <v>0</v>
      </c>
      <c r="N26" s="14" t="s">
        <v>3121</v>
      </c>
      <c r="O26" s="142" t="s">
        <v>106</v>
      </c>
      <c r="P26" s="80">
        <v>0</v>
      </c>
      <c r="Q26" s="1" t="s">
        <v>169</v>
      </c>
      <c r="R26" s="80">
        <v>0</v>
      </c>
      <c r="S26" s="1" t="s">
        <v>939</v>
      </c>
      <c r="T26" s="143">
        <v>0</v>
      </c>
      <c r="U26" s="1" t="s">
        <v>939</v>
      </c>
      <c r="V26" s="142">
        <v>0</v>
      </c>
      <c r="W26" s="142">
        <v>0</v>
      </c>
      <c r="X26" s="142">
        <v>0</v>
      </c>
      <c r="Y26" s="14" t="s">
        <v>3120</v>
      </c>
      <c r="Z26" s="142" t="s">
        <v>107</v>
      </c>
      <c r="AA26" s="1" t="s">
        <v>164</v>
      </c>
      <c r="AB26" s="1" t="s">
        <v>164</v>
      </c>
      <c r="AC26" s="1" t="s">
        <v>164</v>
      </c>
      <c r="AD26" s="1" t="s">
        <v>164</v>
      </c>
      <c r="AE26" s="143">
        <v>0.1</v>
      </c>
      <c r="AF26" s="1" t="s">
        <v>1235</v>
      </c>
      <c r="AG26" s="142">
        <v>3009</v>
      </c>
      <c r="AH26" s="142">
        <v>3009</v>
      </c>
      <c r="AI26" s="142">
        <v>3009</v>
      </c>
      <c r="AJ26" s="14" t="s">
        <v>3119</v>
      </c>
      <c r="AK26" s="142" t="s">
        <v>107</v>
      </c>
      <c r="AL26" s="1" t="s">
        <v>164</v>
      </c>
      <c r="AM26" s="1" t="s">
        <v>164</v>
      </c>
      <c r="AN26" s="1" t="s">
        <v>164</v>
      </c>
      <c r="AO26" s="1" t="s">
        <v>164</v>
      </c>
      <c r="AP26" s="143">
        <v>0.1</v>
      </c>
      <c r="AQ26" s="1" t="s">
        <v>1233</v>
      </c>
      <c r="AR26" s="142">
        <v>6323</v>
      </c>
      <c r="AS26" s="142">
        <v>3161.5</v>
      </c>
      <c r="AT26" s="142">
        <v>3161.5</v>
      </c>
    </row>
    <row r="27" spans="1:47" x14ac:dyDescent="0.2">
      <c r="A27" s="174"/>
      <c r="B27" s="9" t="s">
        <v>29</v>
      </c>
      <c r="C27" s="1" t="s">
        <v>3118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3117</v>
      </c>
      <c r="O27" s="142" t="s">
        <v>106</v>
      </c>
      <c r="P27" s="80">
        <v>1</v>
      </c>
      <c r="Q27" s="1" t="s">
        <v>452</v>
      </c>
      <c r="R27" s="80">
        <v>0</v>
      </c>
      <c r="S27" s="1" t="s">
        <v>939</v>
      </c>
      <c r="T27" s="143">
        <v>0.33329999999999999</v>
      </c>
      <c r="U27" s="1" t="s">
        <v>932</v>
      </c>
      <c r="V27" s="142">
        <v>5748</v>
      </c>
      <c r="W27" s="142">
        <v>5748</v>
      </c>
      <c r="X27" s="142">
        <v>5748</v>
      </c>
      <c r="Y27" s="14" t="s">
        <v>3116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3115</v>
      </c>
      <c r="AK27" s="142" t="s">
        <v>106</v>
      </c>
      <c r="AL27" s="80">
        <v>1</v>
      </c>
      <c r="AM27" s="1" t="s">
        <v>452</v>
      </c>
      <c r="AN27" s="80">
        <v>0</v>
      </c>
      <c r="AO27" s="1" t="s">
        <v>939</v>
      </c>
      <c r="AP27" s="143">
        <v>0.33329999999999999</v>
      </c>
      <c r="AQ27" s="1" t="s">
        <v>932</v>
      </c>
      <c r="AR27" s="142">
        <v>5645</v>
      </c>
      <c r="AS27" s="142">
        <v>5645</v>
      </c>
      <c r="AT27" s="142">
        <v>5645</v>
      </c>
      <c r="AU27" s="4" t="s">
        <v>99</v>
      </c>
    </row>
    <row r="28" spans="1:47" x14ac:dyDescent="0.2">
      <c r="A28" s="174"/>
      <c r="B28" s="9" t="s">
        <v>30</v>
      </c>
      <c r="C28" s="1" t="s">
        <v>3114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3113</v>
      </c>
      <c r="O28" s="142" t="s">
        <v>106</v>
      </c>
      <c r="P28" s="80">
        <v>0.66669999999999996</v>
      </c>
      <c r="Q28" s="1" t="s">
        <v>1881</v>
      </c>
      <c r="R28" s="1" t="s">
        <v>164</v>
      </c>
      <c r="S28" s="1" t="s">
        <v>164</v>
      </c>
      <c r="T28" s="143">
        <v>0.66669999999999996</v>
      </c>
      <c r="U28" s="1" t="s">
        <v>1881</v>
      </c>
      <c r="V28" s="142">
        <v>13946</v>
      </c>
      <c r="W28" s="142">
        <v>6973</v>
      </c>
      <c r="X28" s="142">
        <v>6973</v>
      </c>
      <c r="Y28" s="14" t="s">
        <v>3112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3111</v>
      </c>
      <c r="AK28" s="142" t="s">
        <v>106</v>
      </c>
      <c r="AL28" s="80">
        <v>0.66669999999999996</v>
      </c>
      <c r="AM28" s="1" t="s">
        <v>1881</v>
      </c>
      <c r="AN28" s="1" t="s">
        <v>164</v>
      </c>
      <c r="AO28" s="1" t="s">
        <v>164</v>
      </c>
      <c r="AP28" s="143">
        <v>0.66669999999999996</v>
      </c>
      <c r="AQ28" s="1" t="s">
        <v>1881</v>
      </c>
      <c r="AR28" s="142">
        <v>14233</v>
      </c>
      <c r="AS28" s="142">
        <v>7116.5</v>
      </c>
      <c r="AT28" s="142">
        <v>7116.5</v>
      </c>
      <c r="AU28" s="4" t="s">
        <v>99</v>
      </c>
    </row>
    <row r="29" spans="1:47" x14ac:dyDescent="0.2">
      <c r="A29" s="174"/>
      <c r="B29" s="9" t="s">
        <v>31</v>
      </c>
      <c r="C29" s="1" t="s">
        <v>3110</v>
      </c>
      <c r="D29" s="142" t="s">
        <v>106</v>
      </c>
      <c r="E29" s="80">
        <v>0</v>
      </c>
      <c r="F29" s="1" t="s">
        <v>169</v>
      </c>
      <c r="G29" s="80">
        <v>0</v>
      </c>
      <c r="H29" s="1" t="s">
        <v>163</v>
      </c>
      <c r="I29" s="143">
        <v>0</v>
      </c>
      <c r="J29" s="1" t="s">
        <v>163</v>
      </c>
      <c r="K29" s="142">
        <v>0</v>
      </c>
      <c r="L29" s="142">
        <v>0</v>
      </c>
      <c r="M29" s="142">
        <v>0</v>
      </c>
      <c r="N29" s="14" t="s">
        <v>3109</v>
      </c>
      <c r="O29" s="142" t="s">
        <v>106</v>
      </c>
      <c r="P29" s="80">
        <v>0</v>
      </c>
      <c r="Q29" s="1" t="s">
        <v>169</v>
      </c>
      <c r="R29" s="80">
        <v>0</v>
      </c>
      <c r="S29" s="1" t="s">
        <v>163</v>
      </c>
      <c r="T29" s="143">
        <v>0</v>
      </c>
      <c r="U29" s="1" t="s">
        <v>163</v>
      </c>
      <c r="V29" s="142">
        <v>0</v>
      </c>
      <c r="W29" s="142">
        <v>0</v>
      </c>
      <c r="X29" s="142">
        <v>0</v>
      </c>
      <c r="Y29" s="14" t="s">
        <v>3108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51246</v>
      </c>
      <c r="AH29" s="142">
        <v>5124.6000000000004</v>
      </c>
      <c r="AI29" s="142">
        <v>5044</v>
      </c>
      <c r="AJ29" s="14" t="s">
        <v>3107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52042</v>
      </c>
      <c r="AS29" s="142">
        <v>5204.2</v>
      </c>
      <c r="AT29" s="142">
        <v>5168.5</v>
      </c>
    </row>
    <row r="30" spans="1:47" x14ac:dyDescent="0.2">
      <c r="A30" s="174"/>
      <c r="B30" s="9" t="s">
        <v>32</v>
      </c>
      <c r="C30" s="1" t="s">
        <v>3106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9311</v>
      </c>
      <c r="L30" s="142">
        <v>9311</v>
      </c>
      <c r="M30" s="142">
        <v>9311</v>
      </c>
      <c r="N30" s="14" t="s">
        <v>3105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8962</v>
      </c>
      <c r="W30" s="142">
        <v>8962</v>
      </c>
      <c r="X30" s="142">
        <v>8962</v>
      </c>
      <c r="Y30" s="14" t="s">
        <v>3104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37174</v>
      </c>
      <c r="AH30" s="142">
        <v>3717.4</v>
      </c>
      <c r="AI30" s="142">
        <v>3599.5</v>
      </c>
      <c r="AJ30" s="14" t="s">
        <v>3103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37309</v>
      </c>
      <c r="AS30" s="142">
        <v>3730.9</v>
      </c>
      <c r="AT30" s="142">
        <v>3645</v>
      </c>
    </row>
    <row r="31" spans="1:47" x14ac:dyDescent="0.2">
      <c r="A31" s="174"/>
      <c r="B31" s="9" t="s">
        <v>35</v>
      </c>
      <c r="C31" s="1" t="s">
        <v>3102</v>
      </c>
      <c r="D31" s="142" t="s">
        <v>106</v>
      </c>
      <c r="E31" s="80">
        <v>0</v>
      </c>
      <c r="F31" s="1" t="s">
        <v>169</v>
      </c>
      <c r="G31" s="80">
        <v>0</v>
      </c>
      <c r="H31" s="1" t="s">
        <v>163</v>
      </c>
      <c r="I31" s="143">
        <v>0</v>
      </c>
      <c r="J31" s="1" t="s">
        <v>163</v>
      </c>
      <c r="K31" s="142">
        <v>0</v>
      </c>
      <c r="L31" s="142">
        <v>0</v>
      </c>
      <c r="M31" s="142">
        <v>0</v>
      </c>
      <c r="N31" s="14" t="s">
        <v>3101</v>
      </c>
      <c r="O31" s="142" t="s">
        <v>106</v>
      </c>
      <c r="P31" s="80">
        <v>0</v>
      </c>
      <c r="Q31" s="1" t="s">
        <v>169</v>
      </c>
      <c r="R31" s="80">
        <v>0</v>
      </c>
      <c r="S31" s="1" t="s">
        <v>163</v>
      </c>
      <c r="T31" s="143">
        <v>0</v>
      </c>
      <c r="U31" s="1" t="s">
        <v>163</v>
      </c>
      <c r="V31" s="142">
        <v>0</v>
      </c>
      <c r="W31" s="142">
        <v>0</v>
      </c>
      <c r="X31" s="142">
        <v>0</v>
      </c>
      <c r="Y31" s="14" t="s">
        <v>3100</v>
      </c>
      <c r="Z31" s="142" t="s">
        <v>106</v>
      </c>
      <c r="AA31" s="80">
        <v>1</v>
      </c>
      <c r="AB31" s="1" t="s">
        <v>516</v>
      </c>
      <c r="AC31" s="80">
        <v>0.8</v>
      </c>
      <c r="AD31" s="1" t="s">
        <v>506</v>
      </c>
      <c r="AE31" s="143">
        <v>0.9</v>
      </c>
      <c r="AF31" s="1" t="s">
        <v>951</v>
      </c>
      <c r="AG31" s="142">
        <v>60410</v>
      </c>
      <c r="AH31" s="142">
        <v>6712.22</v>
      </c>
      <c r="AI31" s="142">
        <v>6626</v>
      </c>
      <c r="AJ31" s="14" t="s">
        <v>3099</v>
      </c>
      <c r="AK31" s="142" t="s">
        <v>106</v>
      </c>
      <c r="AL31" s="80">
        <v>1</v>
      </c>
      <c r="AM31" s="1" t="s">
        <v>516</v>
      </c>
      <c r="AN31" s="80">
        <v>0.6</v>
      </c>
      <c r="AO31" s="1" t="s">
        <v>964</v>
      </c>
      <c r="AP31" s="143">
        <v>0.8</v>
      </c>
      <c r="AQ31" s="1" t="s">
        <v>1077</v>
      </c>
      <c r="AR31" s="142">
        <v>52199</v>
      </c>
      <c r="AS31" s="142">
        <v>6524.88</v>
      </c>
      <c r="AT31" s="142">
        <v>6544</v>
      </c>
      <c r="AU31" s="4" t="s">
        <v>102</v>
      </c>
    </row>
    <row r="32" spans="1:47" x14ac:dyDescent="0.2">
      <c r="A32" s="174"/>
      <c r="B32" s="9" t="s">
        <v>36</v>
      </c>
      <c r="C32" s="1" t="s">
        <v>3098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3970</v>
      </c>
      <c r="L32" s="142">
        <v>3970</v>
      </c>
      <c r="M32" s="142">
        <v>3970</v>
      </c>
      <c r="N32" s="14" t="s">
        <v>3097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3751</v>
      </c>
      <c r="W32" s="142">
        <v>3751</v>
      </c>
      <c r="X32" s="142">
        <v>3751</v>
      </c>
      <c r="Y32" s="14" t="s">
        <v>3096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29316</v>
      </c>
      <c r="AH32" s="142">
        <v>2931.6</v>
      </c>
      <c r="AI32" s="142">
        <v>2936</v>
      </c>
      <c r="AJ32" s="14" t="s">
        <v>3095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29244</v>
      </c>
      <c r="AS32" s="142">
        <v>2924.4</v>
      </c>
      <c r="AT32" s="142">
        <v>2946</v>
      </c>
      <c r="AU32" s="4" t="s">
        <v>102</v>
      </c>
    </row>
    <row r="33" spans="1:47" x14ac:dyDescent="0.2">
      <c r="A33" s="174"/>
      <c r="B33" s="9" t="s">
        <v>37</v>
      </c>
      <c r="C33" s="1" t="s">
        <v>3094</v>
      </c>
      <c r="D33" s="142" t="s">
        <v>106</v>
      </c>
      <c r="E33" s="80">
        <v>0</v>
      </c>
      <c r="F33" s="1" t="s">
        <v>169</v>
      </c>
      <c r="G33" s="80">
        <v>0</v>
      </c>
      <c r="H33" s="1" t="s">
        <v>163</v>
      </c>
      <c r="I33" s="143">
        <v>0</v>
      </c>
      <c r="J33" s="1" t="s">
        <v>163</v>
      </c>
      <c r="K33" s="142">
        <v>0</v>
      </c>
      <c r="L33" s="142">
        <v>0</v>
      </c>
      <c r="M33" s="142">
        <v>0</v>
      </c>
      <c r="N33" s="14" t="s">
        <v>3093</v>
      </c>
      <c r="O33" s="142" t="s">
        <v>106</v>
      </c>
      <c r="P33" s="80">
        <v>0</v>
      </c>
      <c r="Q33" s="1" t="s">
        <v>169</v>
      </c>
      <c r="R33" s="80">
        <v>0</v>
      </c>
      <c r="S33" s="1" t="s">
        <v>163</v>
      </c>
      <c r="T33" s="143">
        <v>0</v>
      </c>
      <c r="U33" s="1" t="s">
        <v>163</v>
      </c>
      <c r="V33" s="142">
        <v>0</v>
      </c>
      <c r="W33" s="142">
        <v>0</v>
      </c>
      <c r="X33" s="142">
        <v>0</v>
      </c>
      <c r="Y33" s="14" t="s">
        <v>3092</v>
      </c>
      <c r="Z33" s="142" t="s">
        <v>107</v>
      </c>
      <c r="AA33" s="1" t="s">
        <v>164</v>
      </c>
      <c r="AB33" s="1" t="s">
        <v>164</v>
      </c>
      <c r="AC33" s="1" t="s">
        <v>164</v>
      </c>
      <c r="AD33" s="1" t="s">
        <v>164</v>
      </c>
      <c r="AE33" s="143">
        <v>0.8</v>
      </c>
      <c r="AF33" s="1" t="s">
        <v>1077</v>
      </c>
      <c r="AG33" s="142">
        <v>30800</v>
      </c>
      <c r="AH33" s="142">
        <v>3850</v>
      </c>
      <c r="AI33" s="142">
        <v>4188</v>
      </c>
      <c r="AJ33" s="14" t="s">
        <v>3091</v>
      </c>
      <c r="AK33" s="142" t="s">
        <v>106</v>
      </c>
      <c r="AL33" s="80">
        <v>0.2</v>
      </c>
      <c r="AM33" s="1" t="s">
        <v>1049</v>
      </c>
      <c r="AN33" s="80">
        <v>0</v>
      </c>
      <c r="AO33" s="1" t="s">
        <v>218</v>
      </c>
      <c r="AP33" s="143">
        <v>0.1</v>
      </c>
      <c r="AQ33" s="1" t="s">
        <v>1235</v>
      </c>
      <c r="AR33" s="142">
        <v>2537</v>
      </c>
      <c r="AS33" s="142">
        <v>2537</v>
      </c>
      <c r="AT33" s="142">
        <v>2537</v>
      </c>
      <c r="AU33" s="4" t="s">
        <v>102</v>
      </c>
    </row>
    <row r="34" spans="1:47" x14ac:dyDescent="0.2">
      <c r="A34" s="174"/>
      <c r="B34" s="9" t="s">
        <v>38</v>
      </c>
      <c r="C34" s="1" t="s">
        <v>3090</v>
      </c>
      <c r="D34" s="142" t="s">
        <v>106</v>
      </c>
      <c r="E34" s="80">
        <v>0</v>
      </c>
      <c r="F34" s="1" t="s">
        <v>163</v>
      </c>
      <c r="G34" s="1" t="s">
        <v>164</v>
      </c>
      <c r="H34" s="1" t="s">
        <v>164</v>
      </c>
      <c r="I34" s="143">
        <v>0</v>
      </c>
      <c r="J34" s="1" t="s">
        <v>163</v>
      </c>
      <c r="K34" s="142">
        <v>0</v>
      </c>
      <c r="L34" s="142">
        <v>0</v>
      </c>
      <c r="M34" s="142">
        <v>0</v>
      </c>
      <c r="N34" s="14" t="s">
        <v>3089</v>
      </c>
      <c r="O34" s="142" t="s">
        <v>106</v>
      </c>
      <c r="P34" s="80">
        <v>0</v>
      </c>
      <c r="Q34" s="1" t="s">
        <v>163</v>
      </c>
      <c r="R34" s="1" t="s">
        <v>164</v>
      </c>
      <c r="S34" s="1" t="s">
        <v>164</v>
      </c>
      <c r="T34" s="143">
        <v>0</v>
      </c>
      <c r="U34" s="1" t="s">
        <v>163</v>
      </c>
      <c r="V34" s="142">
        <v>0</v>
      </c>
      <c r="W34" s="142">
        <v>0</v>
      </c>
      <c r="X34" s="142">
        <v>0</v>
      </c>
      <c r="Y34" s="14" t="s">
        <v>3088</v>
      </c>
      <c r="Z34" s="142" t="s">
        <v>106</v>
      </c>
      <c r="AA34" s="80">
        <v>0.6</v>
      </c>
      <c r="AB34" s="1" t="s">
        <v>963</v>
      </c>
      <c r="AC34" s="1" t="s">
        <v>164</v>
      </c>
      <c r="AD34" s="1" t="s">
        <v>164</v>
      </c>
      <c r="AE34" s="143">
        <v>0.6</v>
      </c>
      <c r="AF34" s="1" t="s">
        <v>963</v>
      </c>
      <c r="AG34" s="142">
        <v>19253</v>
      </c>
      <c r="AH34" s="142">
        <v>3208.83</v>
      </c>
      <c r="AI34" s="142">
        <v>2819</v>
      </c>
      <c r="AJ34" s="14" t="s">
        <v>3087</v>
      </c>
      <c r="AK34" s="142" t="s">
        <v>106</v>
      </c>
      <c r="AL34" s="80">
        <v>0.1</v>
      </c>
      <c r="AM34" s="1" t="s">
        <v>1235</v>
      </c>
      <c r="AN34" s="1" t="s">
        <v>164</v>
      </c>
      <c r="AO34" s="1" t="s">
        <v>164</v>
      </c>
      <c r="AP34" s="143">
        <v>0.1</v>
      </c>
      <c r="AQ34" s="1" t="s">
        <v>1235</v>
      </c>
      <c r="AR34" s="142">
        <v>2538</v>
      </c>
      <c r="AS34" s="142">
        <v>2538</v>
      </c>
      <c r="AT34" s="142">
        <v>2538</v>
      </c>
      <c r="AU34" s="4" t="s">
        <v>102</v>
      </c>
    </row>
    <row r="35" spans="1:47" x14ac:dyDescent="0.2">
      <c r="A35" s="174"/>
      <c r="B35" s="9" t="s">
        <v>39</v>
      </c>
      <c r="C35" s="1" t="s">
        <v>3086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16400</v>
      </c>
      <c r="L35" s="142">
        <v>16400</v>
      </c>
      <c r="M35" s="142">
        <v>16400</v>
      </c>
      <c r="N35" s="14" t="s">
        <v>3085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10851</v>
      </c>
      <c r="W35" s="142">
        <v>10851</v>
      </c>
      <c r="X35" s="142">
        <v>10851</v>
      </c>
      <c r="Y35" s="14" t="s">
        <v>3084</v>
      </c>
      <c r="Z35" s="142" t="s">
        <v>106</v>
      </c>
      <c r="AA35" s="80">
        <v>1</v>
      </c>
      <c r="AB35" s="1" t="s">
        <v>516</v>
      </c>
      <c r="AC35" s="80">
        <v>0.2</v>
      </c>
      <c r="AD35" s="1" t="s">
        <v>1049</v>
      </c>
      <c r="AE35" s="143">
        <v>0.6</v>
      </c>
      <c r="AF35" s="1" t="s">
        <v>963</v>
      </c>
      <c r="AG35" s="142">
        <v>27725</v>
      </c>
      <c r="AH35" s="142">
        <v>4620.83</v>
      </c>
      <c r="AI35" s="142">
        <v>4576.5</v>
      </c>
      <c r="AJ35" s="14" t="s">
        <v>3083</v>
      </c>
      <c r="AK35" s="142" t="s">
        <v>106</v>
      </c>
      <c r="AL35" s="80">
        <v>1</v>
      </c>
      <c r="AM35" s="1" t="s">
        <v>516</v>
      </c>
      <c r="AN35" s="80">
        <v>0.2</v>
      </c>
      <c r="AO35" s="1" t="s">
        <v>1049</v>
      </c>
      <c r="AP35" s="143">
        <v>0.6</v>
      </c>
      <c r="AQ35" s="1" t="s">
        <v>963</v>
      </c>
      <c r="AR35" s="142">
        <v>26307</v>
      </c>
      <c r="AS35" s="142">
        <v>4384.5</v>
      </c>
      <c r="AT35" s="142">
        <v>4418</v>
      </c>
      <c r="AU35" s="4" t="s">
        <v>102</v>
      </c>
    </row>
    <row r="36" spans="1:47" x14ac:dyDescent="0.2">
      <c r="A36" s="174"/>
      <c r="B36" s="9" t="s">
        <v>40</v>
      </c>
      <c r="C36" s="1" t="s">
        <v>3082</v>
      </c>
      <c r="D36" s="142" t="s">
        <v>106</v>
      </c>
      <c r="E36" s="80">
        <v>0</v>
      </c>
      <c r="F36" s="1" t="s">
        <v>169</v>
      </c>
      <c r="G36" s="80">
        <v>1</v>
      </c>
      <c r="H36" s="1" t="s">
        <v>452</v>
      </c>
      <c r="I36" s="143">
        <v>1</v>
      </c>
      <c r="J36" s="1" t="s">
        <v>452</v>
      </c>
      <c r="K36" s="142">
        <v>6973</v>
      </c>
      <c r="L36" s="142">
        <v>6973</v>
      </c>
      <c r="M36" s="142">
        <v>6973</v>
      </c>
      <c r="N36" s="14" t="s">
        <v>3081</v>
      </c>
      <c r="O36" s="142" t="s">
        <v>106</v>
      </c>
      <c r="P36" s="80">
        <v>0</v>
      </c>
      <c r="Q36" s="1" t="s">
        <v>169</v>
      </c>
      <c r="R36" s="80">
        <v>1</v>
      </c>
      <c r="S36" s="1" t="s">
        <v>452</v>
      </c>
      <c r="T36" s="143">
        <v>1</v>
      </c>
      <c r="U36" s="1" t="s">
        <v>452</v>
      </c>
      <c r="V36" s="142">
        <v>7639</v>
      </c>
      <c r="W36" s="142">
        <v>7639</v>
      </c>
      <c r="X36" s="142">
        <v>7639</v>
      </c>
      <c r="Y36" s="14" t="s">
        <v>3080</v>
      </c>
      <c r="Z36" s="142" t="s">
        <v>107</v>
      </c>
      <c r="AA36" s="1" t="s">
        <v>164</v>
      </c>
      <c r="AB36" s="1" t="s">
        <v>164</v>
      </c>
      <c r="AC36" s="1" t="s">
        <v>164</v>
      </c>
      <c r="AD36" s="1" t="s">
        <v>164</v>
      </c>
      <c r="AE36" s="143">
        <v>0.5</v>
      </c>
      <c r="AF36" s="1" t="s">
        <v>511</v>
      </c>
      <c r="AG36" s="142">
        <v>32658</v>
      </c>
      <c r="AH36" s="142">
        <v>6531.6</v>
      </c>
      <c r="AI36" s="142">
        <v>6593</v>
      </c>
      <c r="AJ36" s="14" t="s">
        <v>3079</v>
      </c>
      <c r="AK36" s="142" t="s">
        <v>107</v>
      </c>
      <c r="AL36" s="1" t="s">
        <v>164</v>
      </c>
      <c r="AM36" s="1" t="s">
        <v>164</v>
      </c>
      <c r="AN36" s="1" t="s">
        <v>164</v>
      </c>
      <c r="AO36" s="1" t="s">
        <v>164</v>
      </c>
      <c r="AP36" s="143">
        <v>0.5</v>
      </c>
      <c r="AQ36" s="1" t="s">
        <v>511</v>
      </c>
      <c r="AR36" s="142">
        <v>36748</v>
      </c>
      <c r="AS36" s="142">
        <v>7349.6</v>
      </c>
      <c r="AT36" s="142">
        <v>7471</v>
      </c>
    </row>
    <row r="37" spans="1:47" x14ac:dyDescent="0.2">
      <c r="A37" s="174"/>
      <c r="B37" s="9" t="s">
        <v>41</v>
      </c>
      <c r="C37" s="1" t="s">
        <v>3078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5132</v>
      </c>
      <c r="L37" s="142">
        <v>5132</v>
      </c>
      <c r="M37" s="142">
        <v>5132</v>
      </c>
      <c r="N37" s="14" t="s">
        <v>3077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5148</v>
      </c>
      <c r="W37" s="142">
        <v>5148</v>
      </c>
      <c r="X37" s="142">
        <v>5148</v>
      </c>
      <c r="Y37" s="14" t="s">
        <v>3076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35394</v>
      </c>
      <c r="AH37" s="142">
        <v>3539.4</v>
      </c>
      <c r="AI37" s="142">
        <v>3136</v>
      </c>
      <c r="AJ37" s="14" t="s">
        <v>3075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35705</v>
      </c>
      <c r="AS37" s="142">
        <v>3570.5</v>
      </c>
      <c r="AT37" s="142">
        <v>3109.5</v>
      </c>
    </row>
    <row r="38" spans="1:47" x14ac:dyDescent="0.2">
      <c r="A38" s="174"/>
      <c r="B38" s="9" t="s">
        <v>42</v>
      </c>
      <c r="C38" s="1" t="s">
        <v>3074</v>
      </c>
      <c r="D38" s="142" t="s">
        <v>106</v>
      </c>
      <c r="E38" s="80">
        <v>0</v>
      </c>
      <c r="F38" s="1" t="s">
        <v>169</v>
      </c>
      <c r="G38" s="80">
        <v>0</v>
      </c>
      <c r="H38" s="1" t="s">
        <v>163</v>
      </c>
      <c r="I38" s="143">
        <v>0</v>
      </c>
      <c r="J38" s="1" t="s">
        <v>163</v>
      </c>
      <c r="K38" s="142">
        <v>0</v>
      </c>
      <c r="L38" s="142">
        <v>0</v>
      </c>
      <c r="M38" s="142">
        <v>0</v>
      </c>
      <c r="N38" s="14" t="s">
        <v>3073</v>
      </c>
      <c r="O38" s="142" t="s">
        <v>106</v>
      </c>
      <c r="P38" s="80">
        <v>0</v>
      </c>
      <c r="Q38" s="1" t="s">
        <v>169</v>
      </c>
      <c r="R38" s="80">
        <v>0</v>
      </c>
      <c r="S38" s="1" t="s">
        <v>163</v>
      </c>
      <c r="T38" s="143">
        <v>0</v>
      </c>
      <c r="U38" s="1" t="s">
        <v>163</v>
      </c>
      <c r="V38" s="142">
        <v>0</v>
      </c>
      <c r="W38" s="142">
        <v>0</v>
      </c>
      <c r="X38" s="142">
        <v>0</v>
      </c>
      <c r="Y38" s="14" t="s">
        <v>3072</v>
      </c>
      <c r="Z38" s="142" t="s">
        <v>106</v>
      </c>
      <c r="AA38" s="80">
        <v>0.2</v>
      </c>
      <c r="AB38" s="1" t="s">
        <v>1049</v>
      </c>
      <c r="AC38" s="80">
        <v>0</v>
      </c>
      <c r="AD38" s="1" t="s">
        <v>218</v>
      </c>
      <c r="AE38" s="143">
        <v>0.1</v>
      </c>
      <c r="AF38" s="1" t="s">
        <v>1235</v>
      </c>
      <c r="AG38" s="142">
        <v>2671</v>
      </c>
      <c r="AH38" s="142">
        <v>2671</v>
      </c>
      <c r="AI38" s="142">
        <v>2671</v>
      </c>
      <c r="AJ38" s="14" t="s">
        <v>3071</v>
      </c>
      <c r="AK38" s="142" t="s">
        <v>106</v>
      </c>
      <c r="AL38" s="80">
        <v>0.2</v>
      </c>
      <c r="AM38" s="1" t="s">
        <v>1049</v>
      </c>
      <c r="AN38" s="80">
        <v>0</v>
      </c>
      <c r="AO38" s="1" t="s">
        <v>218</v>
      </c>
      <c r="AP38" s="143">
        <v>0.1</v>
      </c>
      <c r="AQ38" s="1" t="s">
        <v>1235</v>
      </c>
      <c r="AR38" s="142">
        <v>2608</v>
      </c>
      <c r="AS38" s="142">
        <v>2608</v>
      </c>
      <c r="AT38" s="142">
        <v>2608</v>
      </c>
      <c r="AU38" s="4" t="s">
        <v>97</v>
      </c>
    </row>
    <row r="39" spans="1:47" x14ac:dyDescent="0.2">
      <c r="A39" s="174"/>
      <c r="B39" s="9" t="s">
        <v>43</v>
      </c>
      <c r="C39" s="1" t="s">
        <v>3070</v>
      </c>
      <c r="D39" s="142" t="s">
        <v>106</v>
      </c>
      <c r="E39" s="80">
        <v>0</v>
      </c>
      <c r="F39" s="1" t="s">
        <v>163</v>
      </c>
      <c r="G39" s="1" t="s">
        <v>164</v>
      </c>
      <c r="H39" s="1" t="s">
        <v>164</v>
      </c>
      <c r="I39" s="143">
        <v>0</v>
      </c>
      <c r="J39" s="1" t="s">
        <v>163</v>
      </c>
      <c r="K39" s="142">
        <v>0</v>
      </c>
      <c r="L39" s="142">
        <v>0</v>
      </c>
      <c r="M39" s="142">
        <v>0</v>
      </c>
      <c r="N39" s="14" t="s">
        <v>3069</v>
      </c>
      <c r="O39" s="142" t="s">
        <v>106</v>
      </c>
      <c r="P39" s="80">
        <v>0</v>
      </c>
      <c r="Q39" s="1" t="s">
        <v>163</v>
      </c>
      <c r="R39" s="1" t="s">
        <v>164</v>
      </c>
      <c r="S39" s="1" t="s">
        <v>164</v>
      </c>
      <c r="T39" s="143">
        <v>0</v>
      </c>
      <c r="U39" s="1" t="s">
        <v>163</v>
      </c>
      <c r="V39" s="142">
        <v>0</v>
      </c>
      <c r="W39" s="142">
        <v>0</v>
      </c>
      <c r="X39" s="142">
        <v>0</v>
      </c>
      <c r="Y39" s="14" t="s">
        <v>3068</v>
      </c>
      <c r="Z39" s="142" t="s">
        <v>106</v>
      </c>
      <c r="AA39" s="80">
        <v>0.6</v>
      </c>
      <c r="AB39" s="1" t="s">
        <v>963</v>
      </c>
      <c r="AC39" s="1" t="s">
        <v>164</v>
      </c>
      <c r="AD39" s="1" t="s">
        <v>164</v>
      </c>
      <c r="AE39" s="143">
        <v>0.6</v>
      </c>
      <c r="AF39" s="1" t="s">
        <v>963</v>
      </c>
      <c r="AG39" s="142">
        <v>16283</v>
      </c>
      <c r="AH39" s="142">
        <v>2713.83</v>
      </c>
      <c r="AI39" s="142">
        <v>2720.5</v>
      </c>
      <c r="AJ39" s="14" t="s">
        <v>3067</v>
      </c>
      <c r="AK39" s="142" t="s">
        <v>106</v>
      </c>
      <c r="AL39" s="80">
        <v>0.6</v>
      </c>
      <c r="AM39" s="1" t="s">
        <v>963</v>
      </c>
      <c r="AN39" s="1" t="s">
        <v>164</v>
      </c>
      <c r="AO39" s="1" t="s">
        <v>164</v>
      </c>
      <c r="AP39" s="143">
        <v>0.6</v>
      </c>
      <c r="AQ39" s="1" t="s">
        <v>963</v>
      </c>
      <c r="AR39" s="142">
        <v>15651</v>
      </c>
      <c r="AS39" s="142">
        <v>2608.5</v>
      </c>
      <c r="AT39" s="142">
        <v>2607</v>
      </c>
      <c r="AU39" s="4" t="s">
        <v>97</v>
      </c>
    </row>
    <row r="40" spans="1:47" x14ac:dyDescent="0.2">
      <c r="A40" s="174"/>
      <c r="B40" s="9" t="s">
        <v>44</v>
      </c>
      <c r="C40" s="1" t="s">
        <v>3066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3065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3064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3063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4"/>
      <c r="B41" s="9" t="s">
        <v>45</v>
      </c>
      <c r="C41" s="1" t="s">
        <v>3062</v>
      </c>
      <c r="D41" s="142" t="s">
        <v>106</v>
      </c>
      <c r="E41" s="80">
        <v>0</v>
      </c>
      <c r="F41" s="1" t="s">
        <v>163</v>
      </c>
      <c r="G41" s="1" t="s">
        <v>164</v>
      </c>
      <c r="H41" s="1" t="s">
        <v>164</v>
      </c>
      <c r="I41" s="143">
        <v>0</v>
      </c>
      <c r="J41" s="1" t="s">
        <v>163</v>
      </c>
      <c r="K41" s="142">
        <v>0</v>
      </c>
      <c r="L41" s="142">
        <v>0</v>
      </c>
      <c r="M41" s="142">
        <v>0</v>
      </c>
      <c r="N41" s="14" t="s">
        <v>3061</v>
      </c>
      <c r="O41" s="142" t="s">
        <v>106</v>
      </c>
      <c r="P41" s="80">
        <v>0</v>
      </c>
      <c r="Q41" s="1" t="s">
        <v>1172</v>
      </c>
      <c r="R41" s="1" t="s">
        <v>164</v>
      </c>
      <c r="S41" s="1" t="s">
        <v>164</v>
      </c>
      <c r="T41" s="143">
        <v>0</v>
      </c>
      <c r="U41" s="1" t="s">
        <v>1172</v>
      </c>
      <c r="V41" s="142">
        <v>0</v>
      </c>
      <c r="W41" s="142">
        <v>0</v>
      </c>
      <c r="X41" s="142">
        <v>0</v>
      </c>
      <c r="Y41" s="14" t="s">
        <v>3060</v>
      </c>
      <c r="Z41" s="142" t="s">
        <v>106</v>
      </c>
      <c r="AA41" s="80">
        <v>0.1</v>
      </c>
      <c r="AB41" s="1" t="s">
        <v>1235</v>
      </c>
      <c r="AC41" s="1" t="s">
        <v>164</v>
      </c>
      <c r="AD41" s="1" t="s">
        <v>164</v>
      </c>
      <c r="AE41" s="143">
        <v>0.1</v>
      </c>
      <c r="AF41" s="1" t="s">
        <v>1235</v>
      </c>
      <c r="AG41" s="142">
        <v>3764</v>
      </c>
      <c r="AH41" s="142">
        <v>3764</v>
      </c>
      <c r="AI41" s="142">
        <v>3764</v>
      </c>
      <c r="AJ41" s="14" t="s">
        <v>3059</v>
      </c>
      <c r="AK41" s="142" t="s">
        <v>106</v>
      </c>
      <c r="AL41" s="80">
        <v>0.1</v>
      </c>
      <c r="AM41" s="1" t="s">
        <v>2701</v>
      </c>
      <c r="AN41" s="1" t="s">
        <v>164</v>
      </c>
      <c r="AO41" s="1" t="s">
        <v>164</v>
      </c>
      <c r="AP41" s="143">
        <v>0.1</v>
      </c>
      <c r="AQ41" s="1" t="s">
        <v>2701</v>
      </c>
      <c r="AR41" s="142">
        <v>15330</v>
      </c>
      <c r="AS41" s="142">
        <v>3832.5</v>
      </c>
      <c r="AT41" s="142">
        <v>3813.5</v>
      </c>
      <c r="AU41" s="4" t="s">
        <v>94</v>
      </c>
    </row>
    <row r="42" spans="1:47" x14ac:dyDescent="0.2">
      <c r="A42" s="174"/>
      <c r="B42" s="9" t="s">
        <v>46</v>
      </c>
      <c r="C42" s="1" t="s">
        <v>3058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3057</v>
      </c>
      <c r="O42" s="142" t="s">
        <v>106</v>
      </c>
      <c r="P42" s="80">
        <v>0.5</v>
      </c>
      <c r="Q42" s="1" t="s">
        <v>1108</v>
      </c>
      <c r="R42" s="80">
        <v>0</v>
      </c>
      <c r="S42" s="1" t="s">
        <v>163</v>
      </c>
      <c r="T42" s="143">
        <v>0.33329999999999999</v>
      </c>
      <c r="U42" s="1" t="s">
        <v>932</v>
      </c>
      <c r="V42" s="142">
        <v>6902</v>
      </c>
      <c r="W42" s="142">
        <v>6902</v>
      </c>
      <c r="X42" s="142">
        <v>6902</v>
      </c>
      <c r="Y42" s="14" t="s">
        <v>3056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14950</v>
      </c>
      <c r="AH42" s="142">
        <v>2990</v>
      </c>
      <c r="AI42" s="142">
        <v>2997</v>
      </c>
      <c r="AJ42" s="14" t="s">
        <v>3055</v>
      </c>
      <c r="AK42" s="142" t="s">
        <v>106</v>
      </c>
      <c r="AL42" s="80">
        <v>0.88</v>
      </c>
      <c r="AM42" s="1" t="s">
        <v>3054</v>
      </c>
      <c r="AN42" s="80">
        <v>0</v>
      </c>
      <c r="AO42" s="1" t="s">
        <v>218</v>
      </c>
      <c r="AP42" s="143">
        <v>0.73329999999999995</v>
      </c>
      <c r="AQ42" s="1" t="s">
        <v>2685</v>
      </c>
      <c r="AR42" s="142">
        <v>73074</v>
      </c>
      <c r="AS42" s="142">
        <v>3321.55</v>
      </c>
      <c r="AT42" s="142">
        <v>2810</v>
      </c>
      <c r="AU42" s="4" t="s">
        <v>98</v>
      </c>
    </row>
    <row r="43" spans="1:47" x14ac:dyDescent="0.2">
      <c r="A43" s="174"/>
      <c r="B43" s="9" t="s">
        <v>47</v>
      </c>
      <c r="C43" s="1" t="s">
        <v>3053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3052</v>
      </c>
      <c r="O43" s="142" t="s">
        <v>106</v>
      </c>
      <c r="P43" s="80">
        <v>0.33329999999999999</v>
      </c>
      <c r="Q43" s="1" t="s">
        <v>932</v>
      </c>
      <c r="R43" s="1" t="s">
        <v>164</v>
      </c>
      <c r="S43" s="1" t="s">
        <v>164</v>
      </c>
      <c r="T43" s="143">
        <v>0.33329999999999999</v>
      </c>
      <c r="U43" s="1" t="s">
        <v>932</v>
      </c>
      <c r="V43" s="142">
        <v>6781</v>
      </c>
      <c r="W43" s="142">
        <v>6781</v>
      </c>
      <c r="X43" s="142">
        <v>6781</v>
      </c>
      <c r="Y43" s="14" t="s">
        <v>3051</v>
      </c>
      <c r="Z43" s="142" t="s">
        <v>106</v>
      </c>
      <c r="AA43" s="80">
        <v>0.6</v>
      </c>
      <c r="AB43" s="1" t="s">
        <v>963</v>
      </c>
      <c r="AC43" s="1" t="s">
        <v>164</v>
      </c>
      <c r="AD43" s="1" t="s">
        <v>164</v>
      </c>
      <c r="AE43" s="143">
        <v>0.6</v>
      </c>
      <c r="AF43" s="1" t="s">
        <v>963</v>
      </c>
      <c r="AG43" s="142">
        <v>18977</v>
      </c>
      <c r="AH43" s="142">
        <v>3162.83</v>
      </c>
      <c r="AI43" s="142">
        <v>2990</v>
      </c>
      <c r="AJ43" s="14" t="s">
        <v>3050</v>
      </c>
      <c r="AK43" s="142" t="s">
        <v>106</v>
      </c>
      <c r="AL43" s="80">
        <v>0.76670000000000005</v>
      </c>
      <c r="AM43" s="1" t="s">
        <v>3049</v>
      </c>
      <c r="AN43" s="1" t="s">
        <v>164</v>
      </c>
      <c r="AO43" s="1" t="s">
        <v>164</v>
      </c>
      <c r="AP43" s="143">
        <v>0.76670000000000005</v>
      </c>
      <c r="AQ43" s="1" t="s">
        <v>3049</v>
      </c>
      <c r="AR43" s="142">
        <v>77821</v>
      </c>
      <c r="AS43" s="142">
        <v>3383.52</v>
      </c>
      <c r="AT43" s="142">
        <v>2892</v>
      </c>
      <c r="AU43" s="4" t="s">
        <v>98</v>
      </c>
    </row>
    <row r="44" spans="1:47" x14ac:dyDescent="0.2">
      <c r="A44" s="174"/>
      <c r="B44" s="9" t="s">
        <v>48</v>
      </c>
      <c r="C44" s="1" t="s">
        <v>3048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6459</v>
      </c>
      <c r="L44" s="142">
        <v>6459</v>
      </c>
      <c r="M44" s="142">
        <v>6459</v>
      </c>
      <c r="N44" s="14" t="s">
        <v>3047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14502</v>
      </c>
      <c r="W44" s="142">
        <v>7251</v>
      </c>
      <c r="X44" s="142">
        <v>7251</v>
      </c>
      <c r="Y44" s="14" t="s">
        <v>3046</v>
      </c>
      <c r="Z44" s="142" t="s">
        <v>106</v>
      </c>
      <c r="AA44" s="80">
        <v>1</v>
      </c>
      <c r="AB44" s="1" t="s">
        <v>516</v>
      </c>
      <c r="AC44" s="80">
        <v>1</v>
      </c>
      <c r="AD44" s="1" t="s">
        <v>516</v>
      </c>
      <c r="AE44" s="143">
        <v>1</v>
      </c>
      <c r="AF44" s="1" t="s">
        <v>529</v>
      </c>
      <c r="AG44" s="142">
        <v>36966</v>
      </c>
      <c r="AH44" s="142">
        <v>3696.6</v>
      </c>
      <c r="AI44" s="142">
        <v>3592.5</v>
      </c>
      <c r="AJ44" s="14" t="s">
        <v>3045</v>
      </c>
      <c r="AK44" s="142" t="s">
        <v>106</v>
      </c>
      <c r="AL44" s="80">
        <v>1</v>
      </c>
      <c r="AM44" s="1" t="s">
        <v>529</v>
      </c>
      <c r="AN44" s="80">
        <v>1</v>
      </c>
      <c r="AO44" s="1" t="s">
        <v>529</v>
      </c>
      <c r="AP44" s="143">
        <v>1</v>
      </c>
      <c r="AQ44" s="1" t="s">
        <v>1070</v>
      </c>
      <c r="AR44" s="142">
        <v>68716</v>
      </c>
      <c r="AS44" s="142">
        <v>3435.8</v>
      </c>
      <c r="AT44" s="142">
        <v>3376</v>
      </c>
    </row>
    <row r="45" spans="1:47" x14ac:dyDescent="0.2">
      <c r="A45" s="174"/>
      <c r="B45" s="9" t="s">
        <v>49</v>
      </c>
      <c r="C45" s="1" t="s">
        <v>3044</v>
      </c>
      <c r="D45" s="142" t="s">
        <v>106</v>
      </c>
      <c r="E45" s="80">
        <v>1</v>
      </c>
      <c r="F45" s="1" t="s">
        <v>452</v>
      </c>
      <c r="G45" s="1" t="s">
        <v>164</v>
      </c>
      <c r="H45" s="1" t="s">
        <v>164</v>
      </c>
      <c r="I45" s="143">
        <v>1</v>
      </c>
      <c r="J45" s="1" t="s">
        <v>452</v>
      </c>
      <c r="K45" s="142">
        <v>5722</v>
      </c>
      <c r="L45" s="142">
        <v>5722</v>
      </c>
      <c r="M45" s="142">
        <v>5722</v>
      </c>
      <c r="N45" s="14" t="s">
        <v>3043</v>
      </c>
      <c r="O45" s="142" t="s">
        <v>106</v>
      </c>
      <c r="P45" s="80">
        <v>1</v>
      </c>
      <c r="Q45" s="1" t="s">
        <v>1073</v>
      </c>
      <c r="R45" s="1" t="s">
        <v>164</v>
      </c>
      <c r="S45" s="1" t="s">
        <v>164</v>
      </c>
      <c r="T45" s="143">
        <v>1</v>
      </c>
      <c r="U45" s="1" t="s">
        <v>1073</v>
      </c>
      <c r="V45" s="142">
        <v>10448</v>
      </c>
      <c r="W45" s="142">
        <v>5224</v>
      </c>
      <c r="X45" s="142">
        <v>5224</v>
      </c>
      <c r="Y45" s="14" t="s">
        <v>3042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36175</v>
      </c>
      <c r="AH45" s="142">
        <v>3617.5</v>
      </c>
      <c r="AI45" s="142">
        <v>3555</v>
      </c>
      <c r="AJ45" s="14" t="s">
        <v>3041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69872</v>
      </c>
      <c r="AS45" s="142">
        <v>3493.6</v>
      </c>
      <c r="AT45" s="142">
        <v>3388.5</v>
      </c>
    </row>
    <row r="46" spans="1:47" x14ac:dyDescent="0.2">
      <c r="A46" s="174"/>
      <c r="B46" s="9" t="s">
        <v>50</v>
      </c>
      <c r="C46" s="1" t="s">
        <v>3040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7412</v>
      </c>
      <c r="L46" s="142">
        <v>7412</v>
      </c>
      <c r="M46" s="142">
        <v>7412</v>
      </c>
      <c r="N46" s="14" t="s">
        <v>3039</v>
      </c>
      <c r="O46" s="142" t="s">
        <v>106</v>
      </c>
      <c r="P46" s="80">
        <v>0</v>
      </c>
      <c r="Q46" s="1" t="s">
        <v>169</v>
      </c>
      <c r="R46" s="80">
        <v>1</v>
      </c>
      <c r="S46" s="1" t="s">
        <v>452</v>
      </c>
      <c r="T46" s="143">
        <v>1</v>
      </c>
      <c r="U46" s="1" t="s">
        <v>452</v>
      </c>
      <c r="V46" s="142">
        <v>6552</v>
      </c>
      <c r="W46" s="142">
        <v>6552</v>
      </c>
      <c r="X46" s="142">
        <v>6552</v>
      </c>
      <c r="Y46" s="14" t="s">
        <v>3038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41203</v>
      </c>
      <c r="AH46" s="142">
        <v>4120.3</v>
      </c>
      <c r="AI46" s="142">
        <v>4089</v>
      </c>
      <c r="AJ46" s="14" t="s">
        <v>3037</v>
      </c>
      <c r="AK46" s="142" t="s">
        <v>107</v>
      </c>
      <c r="AL46" s="1" t="s">
        <v>164</v>
      </c>
      <c r="AM46" s="1" t="s">
        <v>164</v>
      </c>
      <c r="AN46" s="1" t="s">
        <v>164</v>
      </c>
      <c r="AO46" s="1" t="s">
        <v>164</v>
      </c>
      <c r="AP46" s="143">
        <v>0.9</v>
      </c>
      <c r="AQ46" s="1" t="s">
        <v>951</v>
      </c>
      <c r="AR46" s="142">
        <v>30832</v>
      </c>
      <c r="AS46" s="142">
        <v>3425.78</v>
      </c>
      <c r="AT46" s="142">
        <v>3795</v>
      </c>
    </row>
    <row r="47" spans="1:47" x14ac:dyDescent="0.2">
      <c r="A47" s="174"/>
      <c r="B47" s="9" t="s">
        <v>51</v>
      </c>
      <c r="C47" s="1" t="s">
        <v>3036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4874</v>
      </c>
      <c r="L47" s="142">
        <v>4874</v>
      </c>
      <c r="M47" s="142">
        <v>4874</v>
      </c>
      <c r="N47" s="14" t="s">
        <v>3035</v>
      </c>
      <c r="O47" s="142" t="s">
        <v>106</v>
      </c>
      <c r="P47" s="80">
        <v>0.5</v>
      </c>
      <c r="Q47" s="1" t="s">
        <v>1108</v>
      </c>
      <c r="R47" s="1" t="s">
        <v>164</v>
      </c>
      <c r="S47" s="1" t="s">
        <v>164</v>
      </c>
      <c r="T47" s="143">
        <v>0.5</v>
      </c>
      <c r="U47" s="1" t="s">
        <v>1108</v>
      </c>
      <c r="V47" s="142">
        <v>5180</v>
      </c>
      <c r="W47" s="142">
        <v>5180</v>
      </c>
      <c r="X47" s="142">
        <v>5180</v>
      </c>
      <c r="Y47" s="14" t="s">
        <v>3034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29189</v>
      </c>
      <c r="AH47" s="142">
        <v>2918.9</v>
      </c>
      <c r="AI47" s="142">
        <v>2943</v>
      </c>
      <c r="AJ47" s="14" t="s">
        <v>3033</v>
      </c>
      <c r="AK47" s="142" t="s">
        <v>106</v>
      </c>
      <c r="AL47" s="80">
        <v>1</v>
      </c>
      <c r="AM47" s="1" t="s">
        <v>1070</v>
      </c>
      <c r="AN47" s="1" t="s">
        <v>164</v>
      </c>
      <c r="AO47" s="1" t="s">
        <v>164</v>
      </c>
      <c r="AP47" s="143">
        <v>1</v>
      </c>
      <c r="AQ47" s="1" t="s">
        <v>1070</v>
      </c>
      <c r="AR47" s="142">
        <v>57685</v>
      </c>
      <c r="AS47" s="142">
        <v>2884.25</v>
      </c>
      <c r="AT47" s="142">
        <v>2885</v>
      </c>
    </row>
    <row r="48" spans="1:47" x14ac:dyDescent="0.2">
      <c r="A48" s="174"/>
      <c r="B48" s="9" t="s">
        <v>52</v>
      </c>
      <c r="C48" s="1" t="s">
        <v>3032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6568</v>
      </c>
      <c r="L48" s="142">
        <v>6568</v>
      </c>
      <c r="M48" s="142">
        <v>6568</v>
      </c>
      <c r="N48" s="14" t="s">
        <v>3031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6597</v>
      </c>
      <c r="W48" s="142">
        <v>6597</v>
      </c>
      <c r="X48" s="142">
        <v>6597</v>
      </c>
      <c r="Y48" s="14" t="s">
        <v>3030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49720</v>
      </c>
      <c r="AH48" s="142">
        <v>4972</v>
      </c>
      <c r="AI48" s="142">
        <v>5288</v>
      </c>
      <c r="AJ48" s="14" t="s">
        <v>3029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46121</v>
      </c>
      <c r="AS48" s="142">
        <v>4612.1000000000004</v>
      </c>
      <c r="AT48" s="142">
        <v>4934</v>
      </c>
    </row>
    <row r="49" spans="1:47" x14ac:dyDescent="0.2">
      <c r="A49" s="174"/>
      <c r="B49" s="9" t="s">
        <v>53</v>
      </c>
      <c r="C49" s="1" t="s">
        <v>3028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5929</v>
      </c>
      <c r="L49" s="142">
        <v>5929</v>
      </c>
      <c r="M49" s="142">
        <v>5929</v>
      </c>
      <c r="N49" s="14" t="s">
        <v>3027</v>
      </c>
      <c r="O49" s="142" t="s">
        <v>106</v>
      </c>
      <c r="P49" s="80">
        <v>1</v>
      </c>
      <c r="Q49" s="1" t="s">
        <v>452</v>
      </c>
      <c r="R49" s="1" t="s">
        <v>164</v>
      </c>
      <c r="S49" s="1" t="s">
        <v>164</v>
      </c>
      <c r="T49" s="143">
        <v>1</v>
      </c>
      <c r="U49" s="1" t="s">
        <v>452</v>
      </c>
      <c r="V49" s="142">
        <v>5887</v>
      </c>
      <c r="W49" s="142">
        <v>5887</v>
      </c>
      <c r="X49" s="142">
        <v>5887</v>
      </c>
      <c r="Y49" s="14" t="s">
        <v>3026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46045</v>
      </c>
      <c r="AH49" s="142">
        <v>4604.5</v>
      </c>
      <c r="AI49" s="142">
        <v>4944</v>
      </c>
      <c r="AJ49" s="14" t="s">
        <v>3025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43691</v>
      </c>
      <c r="AS49" s="142">
        <v>4369.1000000000004</v>
      </c>
      <c r="AT49" s="142">
        <v>4635.5</v>
      </c>
    </row>
    <row r="50" spans="1:47" x14ac:dyDescent="0.2">
      <c r="A50" s="174"/>
      <c r="B50" s="10" t="s">
        <v>54</v>
      </c>
      <c r="C50" s="1" t="s">
        <v>3024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3023</v>
      </c>
      <c r="O50" s="142" t="s">
        <v>106</v>
      </c>
      <c r="P50" s="80">
        <v>0</v>
      </c>
      <c r="Q50" s="1" t="s">
        <v>163</v>
      </c>
      <c r="R50" s="80">
        <v>0</v>
      </c>
      <c r="S50" s="1" t="s">
        <v>163</v>
      </c>
      <c r="T50" s="143">
        <v>0</v>
      </c>
      <c r="U50" s="1" t="s">
        <v>939</v>
      </c>
      <c r="V50" s="142">
        <v>0</v>
      </c>
      <c r="W50" s="142">
        <v>0</v>
      </c>
      <c r="X50" s="142">
        <v>0</v>
      </c>
      <c r="Y50" s="14" t="s">
        <v>3022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3021</v>
      </c>
      <c r="AK50" s="142" t="s">
        <v>106</v>
      </c>
      <c r="AL50" s="80">
        <v>0</v>
      </c>
      <c r="AM50" s="1" t="s">
        <v>1305</v>
      </c>
      <c r="AN50" s="80">
        <v>0</v>
      </c>
      <c r="AO50" s="1" t="s">
        <v>218</v>
      </c>
      <c r="AP50" s="143">
        <v>0</v>
      </c>
      <c r="AQ50" s="1" t="s">
        <v>1176</v>
      </c>
      <c r="AR50" s="142">
        <v>0</v>
      </c>
      <c r="AS50" s="142">
        <v>0</v>
      </c>
      <c r="AT50" s="142">
        <v>0</v>
      </c>
      <c r="AU50" s="4" t="s">
        <v>99</v>
      </c>
    </row>
    <row r="51" spans="1:47" x14ac:dyDescent="0.2">
      <c r="A51" s="174"/>
      <c r="B51" s="10" t="s">
        <v>55</v>
      </c>
      <c r="C51" s="1" t="s">
        <v>3020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3019</v>
      </c>
      <c r="O51" s="142" t="s">
        <v>106</v>
      </c>
      <c r="P51" s="80">
        <v>0</v>
      </c>
      <c r="Q51" s="1" t="s">
        <v>939</v>
      </c>
      <c r="R51" s="1" t="s">
        <v>164</v>
      </c>
      <c r="S51" s="1" t="s">
        <v>164</v>
      </c>
      <c r="T51" s="143">
        <v>0</v>
      </c>
      <c r="U51" s="1" t="s">
        <v>939</v>
      </c>
      <c r="V51" s="142">
        <v>0</v>
      </c>
      <c r="W51" s="142">
        <v>0</v>
      </c>
      <c r="X51" s="142">
        <v>0</v>
      </c>
      <c r="Y51" s="14" t="s">
        <v>3018</v>
      </c>
      <c r="Z51" s="142" t="s">
        <v>106</v>
      </c>
      <c r="AA51" s="80">
        <v>0.3</v>
      </c>
      <c r="AB51" s="1" t="s">
        <v>1004</v>
      </c>
      <c r="AC51" s="1" t="s">
        <v>164</v>
      </c>
      <c r="AD51" s="1" t="s">
        <v>164</v>
      </c>
      <c r="AE51" s="143">
        <v>0.3</v>
      </c>
      <c r="AF51" s="1" t="s">
        <v>1004</v>
      </c>
      <c r="AG51" s="142">
        <v>12022</v>
      </c>
      <c r="AH51" s="142">
        <v>4007.33</v>
      </c>
      <c r="AI51" s="142">
        <v>4001</v>
      </c>
      <c r="AJ51" s="14" t="s">
        <v>3017</v>
      </c>
      <c r="AK51" s="142" t="s">
        <v>106</v>
      </c>
      <c r="AL51" s="80">
        <v>0</v>
      </c>
      <c r="AM51" s="1" t="s">
        <v>1176</v>
      </c>
      <c r="AN51" s="1" t="s">
        <v>164</v>
      </c>
      <c r="AO51" s="1" t="s">
        <v>164</v>
      </c>
      <c r="AP51" s="143">
        <v>0</v>
      </c>
      <c r="AQ51" s="1" t="s">
        <v>1176</v>
      </c>
      <c r="AR51" s="142">
        <v>0</v>
      </c>
      <c r="AS51" s="142">
        <v>0</v>
      </c>
      <c r="AT51" s="142">
        <v>0</v>
      </c>
      <c r="AU51" s="4" t="s">
        <v>99</v>
      </c>
    </row>
    <row r="52" spans="1:47" x14ac:dyDescent="0.2">
      <c r="A52" s="174"/>
      <c r="B52" s="9" t="s">
        <v>56</v>
      </c>
      <c r="C52" s="1" t="s">
        <v>3016</v>
      </c>
      <c r="D52" s="142" t="s">
        <v>106</v>
      </c>
      <c r="E52" s="80">
        <v>0</v>
      </c>
      <c r="F52" s="1" t="s">
        <v>169</v>
      </c>
      <c r="G52" s="80">
        <v>1</v>
      </c>
      <c r="H52" s="1" t="s">
        <v>452</v>
      </c>
      <c r="I52" s="143">
        <v>1</v>
      </c>
      <c r="J52" s="1" t="s">
        <v>452</v>
      </c>
      <c r="K52" s="142">
        <v>9771</v>
      </c>
      <c r="L52" s="142">
        <v>9771</v>
      </c>
      <c r="M52" s="142">
        <v>9771</v>
      </c>
      <c r="N52" s="14" t="s">
        <v>3015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13116</v>
      </c>
      <c r="W52" s="142">
        <v>6558</v>
      </c>
      <c r="X52" s="142">
        <v>6558</v>
      </c>
      <c r="Y52" s="14" t="s">
        <v>3014</v>
      </c>
      <c r="Z52" s="142" t="s">
        <v>106</v>
      </c>
      <c r="AA52" s="80">
        <v>1</v>
      </c>
      <c r="AB52" s="1" t="s">
        <v>516</v>
      </c>
      <c r="AC52" s="80">
        <v>0.2</v>
      </c>
      <c r="AD52" s="1" t="s">
        <v>1049</v>
      </c>
      <c r="AE52" s="143">
        <v>0.6</v>
      </c>
      <c r="AF52" s="1" t="s">
        <v>963</v>
      </c>
      <c r="AG52" s="142">
        <v>22109</v>
      </c>
      <c r="AH52" s="142">
        <v>3684.83</v>
      </c>
      <c r="AI52" s="142">
        <v>3061</v>
      </c>
      <c r="AJ52" s="14" t="s">
        <v>3013</v>
      </c>
      <c r="AK52" s="142" t="s">
        <v>106</v>
      </c>
      <c r="AL52" s="80">
        <v>1</v>
      </c>
      <c r="AM52" s="1" t="s">
        <v>529</v>
      </c>
      <c r="AN52" s="80">
        <v>1</v>
      </c>
      <c r="AO52" s="1" t="s">
        <v>529</v>
      </c>
      <c r="AP52" s="143">
        <v>1</v>
      </c>
      <c r="AQ52" s="1" t="s">
        <v>1070</v>
      </c>
      <c r="AR52" s="142">
        <v>84111</v>
      </c>
      <c r="AS52" s="142">
        <v>4205.55</v>
      </c>
      <c r="AT52" s="142">
        <v>3880.5</v>
      </c>
    </row>
    <row r="53" spans="1:47" x14ac:dyDescent="0.2">
      <c r="A53" s="174"/>
      <c r="B53" s="9" t="s">
        <v>57</v>
      </c>
      <c r="C53" s="1" t="s">
        <v>3012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10521</v>
      </c>
      <c r="L53" s="142">
        <v>10521</v>
      </c>
      <c r="M53" s="142">
        <v>10521</v>
      </c>
      <c r="N53" s="14" t="s">
        <v>3011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28541</v>
      </c>
      <c r="W53" s="142">
        <v>14270.5</v>
      </c>
      <c r="X53" s="142">
        <v>14270.5</v>
      </c>
      <c r="Y53" s="14" t="s">
        <v>3010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52186</v>
      </c>
      <c r="AH53" s="142">
        <v>5218.6000000000004</v>
      </c>
      <c r="AI53" s="142">
        <v>3077</v>
      </c>
      <c r="AJ53" s="14" t="s">
        <v>3009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82033</v>
      </c>
      <c r="AS53" s="142">
        <v>4101.6499999999996</v>
      </c>
      <c r="AT53" s="142">
        <v>3099</v>
      </c>
    </row>
    <row r="54" spans="1:47" x14ac:dyDescent="0.2">
      <c r="A54" s="174"/>
      <c r="B54" s="9" t="s">
        <v>58</v>
      </c>
      <c r="C54" s="1" t="s">
        <v>3008</v>
      </c>
      <c r="D54" s="142" t="s">
        <v>106</v>
      </c>
      <c r="E54" s="80">
        <v>0</v>
      </c>
      <c r="F54" s="1" t="s">
        <v>169</v>
      </c>
      <c r="G54" s="80">
        <v>0</v>
      </c>
      <c r="H54" s="1" t="s">
        <v>163</v>
      </c>
      <c r="I54" s="143">
        <v>0</v>
      </c>
      <c r="J54" s="1" t="s">
        <v>163</v>
      </c>
      <c r="K54" s="142">
        <v>0</v>
      </c>
      <c r="L54" s="142">
        <v>0</v>
      </c>
      <c r="M54" s="142">
        <v>0</v>
      </c>
      <c r="N54" s="14" t="s">
        <v>3007</v>
      </c>
      <c r="O54" s="142" t="s">
        <v>106</v>
      </c>
      <c r="P54" s="80">
        <v>0</v>
      </c>
      <c r="Q54" s="1" t="s">
        <v>169</v>
      </c>
      <c r="R54" s="80">
        <v>1</v>
      </c>
      <c r="S54" s="1" t="s">
        <v>1073</v>
      </c>
      <c r="T54" s="143">
        <v>1</v>
      </c>
      <c r="U54" s="1" t="s">
        <v>1073</v>
      </c>
      <c r="V54" s="142">
        <v>20303</v>
      </c>
      <c r="W54" s="142">
        <v>10151.5</v>
      </c>
      <c r="X54" s="142">
        <v>10151.5</v>
      </c>
      <c r="Y54" s="14" t="s">
        <v>3006</v>
      </c>
      <c r="Z54" s="142" t="s">
        <v>106</v>
      </c>
      <c r="AA54" s="80">
        <v>0.4</v>
      </c>
      <c r="AB54" s="1" t="s">
        <v>974</v>
      </c>
      <c r="AC54" s="80">
        <v>0</v>
      </c>
      <c r="AD54" s="1" t="s">
        <v>218</v>
      </c>
      <c r="AE54" s="143">
        <v>0.2</v>
      </c>
      <c r="AF54" s="1" t="s">
        <v>930</v>
      </c>
      <c r="AG54" s="142">
        <v>7473</v>
      </c>
      <c r="AH54" s="142">
        <v>3736.5</v>
      </c>
      <c r="AI54" s="142">
        <v>3736.5</v>
      </c>
      <c r="AJ54" s="14" t="s">
        <v>3005</v>
      </c>
      <c r="AK54" s="142" t="s">
        <v>107</v>
      </c>
      <c r="AL54" s="1" t="s">
        <v>164</v>
      </c>
      <c r="AM54" s="1" t="s">
        <v>164</v>
      </c>
      <c r="AN54" s="1" t="s">
        <v>164</v>
      </c>
      <c r="AO54" s="1" t="s">
        <v>164</v>
      </c>
      <c r="AP54" s="143">
        <v>0.7</v>
      </c>
      <c r="AQ54" s="1" t="s">
        <v>1646</v>
      </c>
      <c r="AR54" s="142">
        <v>112865</v>
      </c>
      <c r="AS54" s="142">
        <v>8061.79</v>
      </c>
      <c r="AT54" s="142">
        <v>9922</v>
      </c>
      <c r="AU54" s="4" t="s">
        <v>93</v>
      </c>
    </row>
    <row r="55" spans="1:47" x14ac:dyDescent="0.2">
      <c r="A55" s="174"/>
      <c r="B55" s="9" t="s">
        <v>59</v>
      </c>
      <c r="C55" s="1" t="s">
        <v>3004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10812</v>
      </c>
      <c r="L55" s="142">
        <v>10812</v>
      </c>
      <c r="M55" s="142">
        <v>10812</v>
      </c>
      <c r="N55" s="14" t="s">
        <v>3003</v>
      </c>
      <c r="O55" s="142" t="s">
        <v>106</v>
      </c>
      <c r="P55" s="80">
        <v>0</v>
      </c>
      <c r="Q55" s="1" t="s">
        <v>939</v>
      </c>
      <c r="R55" s="1" t="s">
        <v>164</v>
      </c>
      <c r="S55" s="1" t="s">
        <v>164</v>
      </c>
      <c r="T55" s="143">
        <v>0</v>
      </c>
      <c r="U55" s="1" t="s">
        <v>939</v>
      </c>
      <c r="V55" s="142">
        <v>0</v>
      </c>
      <c r="W55" s="142">
        <v>0</v>
      </c>
      <c r="X55" s="142">
        <v>0</v>
      </c>
      <c r="Y55" s="14" t="s">
        <v>3002</v>
      </c>
      <c r="Z55" s="142" t="s">
        <v>106</v>
      </c>
      <c r="AA55" s="80">
        <v>0.9</v>
      </c>
      <c r="AB55" s="1" t="s">
        <v>951</v>
      </c>
      <c r="AC55" s="1" t="s">
        <v>164</v>
      </c>
      <c r="AD55" s="1" t="s">
        <v>164</v>
      </c>
      <c r="AE55" s="143">
        <v>0.9</v>
      </c>
      <c r="AF55" s="1" t="s">
        <v>951</v>
      </c>
      <c r="AG55" s="142">
        <v>60061</v>
      </c>
      <c r="AH55" s="142">
        <v>6673.44</v>
      </c>
      <c r="AI55" s="142">
        <v>7278</v>
      </c>
      <c r="AJ55" s="14" t="s">
        <v>3001</v>
      </c>
      <c r="AK55" s="142" t="s">
        <v>106</v>
      </c>
      <c r="AL55" s="80">
        <v>0.2</v>
      </c>
      <c r="AM55" s="1" t="s">
        <v>2702</v>
      </c>
      <c r="AN55" s="1" t="s">
        <v>164</v>
      </c>
      <c r="AO55" s="1" t="s">
        <v>164</v>
      </c>
      <c r="AP55" s="143">
        <v>0.2</v>
      </c>
      <c r="AQ55" s="1" t="s">
        <v>2702</v>
      </c>
      <c r="AR55" s="142">
        <v>11357</v>
      </c>
      <c r="AS55" s="142">
        <v>2839.25</v>
      </c>
      <c r="AT55" s="142">
        <v>2836</v>
      </c>
      <c r="AU55" s="4" t="s">
        <v>93</v>
      </c>
    </row>
    <row r="56" spans="1:47" x14ac:dyDescent="0.2">
      <c r="A56" s="174"/>
      <c r="B56" s="9" t="s">
        <v>62</v>
      </c>
      <c r="C56" s="1" t="s">
        <v>3000</v>
      </c>
      <c r="D56" s="142" t="s">
        <v>106</v>
      </c>
      <c r="E56" s="80">
        <v>0</v>
      </c>
      <c r="F56" s="1" t="s">
        <v>169</v>
      </c>
      <c r="G56" s="80">
        <v>0</v>
      </c>
      <c r="H56" s="1" t="s">
        <v>163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2999</v>
      </c>
      <c r="O56" s="142" t="s">
        <v>106</v>
      </c>
      <c r="P56" s="80">
        <v>1</v>
      </c>
      <c r="Q56" s="1" t="s">
        <v>452</v>
      </c>
      <c r="R56" s="80">
        <v>0.5</v>
      </c>
      <c r="S56" s="1" t="s">
        <v>1108</v>
      </c>
      <c r="T56" s="143">
        <v>0.66669999999999996</v>
      </c>
      <c r="U56" s="1" t="s">
        <v>1881</v>
      </c>
      <c r="V56" s="142">
        <v>6393</v>
      </c>
      <c r="W56" s="142">
        <v>3196.5</v>
      </c>
      <c r="X56" s="142">
        <v>3196.5</v>
      </c>
      <c r="Y56" s="14" t="s">
        <v>2998</v>
      </c>
      <c r="Z56" s="142" t="s">
        <v>106</v>
      </c>
      <c r="AA56" s="80">
        <v>0</v>
      </c>
      <c r="AB56" s="1" t="s">
        <v>169</v>
      </c>
      <c r="AC56" s="80">
        <v>0</v>
      </c>
      <c r="AD56" s="1" t="s">
        <v>163</v>
      </c>
      <c r="AE56" s="143">
        <v>0</v>
      </c>
      <c r="AF56" s="1" t="s">
        <v>163</v>
      </c>
      <c r="AG56" s="142">
        <v>0</v>
      </c>
      <c r="AH56" s="142">
        <v>0</v>
      </c>
      <c r="AI56" s="142">
        <v>0</v>
      </c>
      <c r="AJ56" s="14" t="s">
        <v>2997</v>
      </c>
      <c r="AK56" s="142" t="s">
        <v>106</v>
      </c>
      <c r="AL56" s="80">
        <v>1</v>
      </c>
      <c r="AM56" s="1" t="s">
        <v>452</v>
      </c>
      <c r="AN56" s="80">
        <v>0.5</v>
      </c>
      <c r="AO56" s="1" t="s">
        <v>1108</v>
      </c>
      <c r="AP56" s="143">
        <v>0.66669999999999996</v>
      </c>
      <c r="AQ56" s="1" t="s">
        <v>1881</v>
      </c>
      <c r="AR56" s="142">
        <v>6386</v>
      </c>
      <c r="AS56" s="142">
        <v>3193</v>
      </c>
      <c r="AT56" s="142">
        <v>3193</v>
      </c>
      <c r="AU56" s="4" t="s">
        <v>102</v>
      </c>
    </row>
    <row r="57" spans="1:47" x14ac:dyDescent="0.2">
      <c r="A57" s="174"/>
      <c r="B57" s="9" t="s">
        <v>63</v>
      </c>
      <c r="C57" s="1" t="s">
        <v>2996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8470</v>
      </c>
      <c r="L57" s="142">
        <v>8470</v>
      </c>
      <c r="M57" s="142">
        <v>8470</v>
      </c>
      <c r="N57" s="14" t="s">
        <v>2995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15666</v>
      </c>
      <c r="W57" s="142">
        <v>5222</v>
      </c>
      <c r="X57" s="142">
        <v>4828</v>
      </c>
      <c r="Y57" s="14" t="s">
        <v>2994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68766</v>
      </c>
      <c r="AH57" s="142">
        <v>68766</v>
      </c>
      <c r="AI57" s="142">
        <v>68766</v>
      </c>
      <c r="AJ57" s="14" t="s">
        <v>2993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15923</v>
      </c>
      <c r="AS57" s="142">
        <v>5307.67</v>
      </c>
      <c r="AT57" s="142">
        <v>4759</v>
      </c>
      <c r="AU57" s="4" t="s">
        <v>102</v>
      </c>
    </row>
    <row r="58" spans="1:47" x14ac:dyDescent="0.2">
      <c r="A58" s="174"/>
      <c r="B58" s="9" t="s">
        <v>64</v>
      </c>
      <c r="C58" s="1" t="s">
        <v>2992</v>
      </c>
      <c r="D58" s="142" t="s">
        <v>107</v>
      </c>
      <c r="E58" s="1" t="s">
        <v>164</v>
      </c>
      <c r="F58" s="1" t="s">
        <v>164</v>
      </c>
      <c r="G58" s="1" t="s">
        <v>164</v>
      </c>
      <c r="H58" s="1" t="s">
        <v>164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2991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2990</v>
      </c>
      <c r="Z58" s="142" t="s">
        <v>107</v>
      </c>
      <c r="AA58" s="1" t="s">
        <v>164</v>
      </c>
      <c r="AB58" s="1" t="s">
        <v>164</v>
      </c>
      <c r="AC58" s="1" t="s">
        <v>164</v>
      </c>
      <c r="AD58" s="1" t="s">
        <v>164</v>
      </c>
      <c r="AE58" s="143">
        <v>0.5</v>
      </c>
      <c r="AF58" s="1" t="s">
        <v>511</v>
      </c>
      <c r="AG58" s="142">
        <v>20084</v>
      </c>
      <c r="AH58" s="142">
        <v>4016.8</v>
      </c>
      <c r="AI58" s="142">
        <v>4697</v>
      </c>
      <c r="AJ58" s="14" t="s">
        <v>2989</v>
      </c>
      <c r="AK58" s="142" t="s">
        <v>106</v>
      </c>
      <c r="AL58" s="80">
        <v>0.2</v>
      </c>
      <c r="AM58" s="1" t="s">
        <v>1049</v>
      </c>
      <c r="AN58" s="80">
        <v>0</v>
      </c>
      <c r="AO58" s="1" t="s">
        <v>218</v>
      </c>
      <c r="AP58" s="143">
        <v>0.1</v>
      </c>
      <c r="AQ58" s="1" t="s">
        <v>1235</v>
      </c>
      <c r="AR58" s="142">
        <v>2870</v>
      </c>
      <c r="AS58" s="142">
        <v>2870</v>
      </c>
      <c r="AT58" s="142">
        <v>2870</v>
      </c>
      <c r="AU58" s="4" t="s">
        <v>102</v>
      </c>
    </row>
    <row r="59" spans="1:47" x14ac:dyDescent="0.2">
      <c r="A59" s="174"/>
      <c r="B59" s="9" t="s">
        <v>65</v>
      </c>
      <c r="C59" s="1" t="s">
        <v>2988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5257</v>
      </c>
      <c r="L59" s="142">
        <v>5257</v>
      </c>
      <c r="M59" s="142">
        <v>5257</v>
      </c>
      <c r="N59" s="14" t="s">
        <v>2987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5319</v>
      </c>
      <c r="W59" s="142">
        <v>5319</v>
      </c>
      <c r="X59" s="142">
        <v>5319</v>
      </c>
      <c r="Y59" s="14" t="s">
        <v>2986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43597</v>
      </c>
      <c r="AH59" s="142">
        <v>4359.7</v>
      </c>
      <c r="AI59" s="142">
        <v>4694</v>
      </c>
      <c r="AJ59" s="14" t="s">
        <v>2985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43906</v>
      </c>
      <c r="AS59" s="142">
        <v>4390.6000000000004</v>
      </c>
      <c r="AT59" s="142">
        <v>4759</v>
      </c>
      <c r="AU59" s="4" t="s">
        <v>102</v>
      </c>
    </row>
    <row r="60" spans="1:47" x14ac:dyDescent="0.2">
      <c r="A60" s="174"/>
      <c r="B60" s="9" t="s">
        <v>66</v>
      </c>
      <c r="C60" s="1" t="s">
        <v>2984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8299</v>
      </c>
      <c r="L60" s="142">
        <v>8299</v>
      </c>
      <c r="M60" s="142">
        <v>8299</v>
      </c>
      <c r="N60" s="14" t="s">
        <v>2983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15053</v>
      </c>
      <c r="W60" s="142">
        <v>7526.5</v>
      </c>
      <c r="X60" s="142">
        <v>7526.5</v>
      </c>
      <c r="Y60" s="14" t="s">
        <v>2982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61315</v>
      </c>
      <c r="AH60" s="142">
        <v>6131.5</v>
      </c>
      <c r="AI60" s="142">
        <v>5445.5</v>
      </c>
      <c r="AJ60" s="14" t="s">
        <v>2981</v>
      </c>
      <c r="AK60" s="142" t="s">
        <v>106</v>
      </c>
      <c r="AL60" s="80">
        <v>0.9</v>
      </c>
      <c r="AM60" s="1" t="s">
        <v>951</v>
      </c>
      <c r="AN60" s="80">
        <v>0.9</v>
      </c>
      <c r="AO60" s="1" t="s">
        <v>951</v>
      </c>
      <c r="AP60" s="143">
        <v>0.9</v>
      </c>
      <c r="AQ60" s="1" t="s">
        <v>2078</v>
      </c>
      <c r="AR60" s="142">
        <v>161373</v>
      </c>
      <c r="AS60" s="142">
        <v>8965.17</v>
      </c>
      <c r="AT60" s="142">
        <v>5069</v>
      </c>
    </row>
    <row r="61" spans="1:47" x14ac:dyDescent="0.2">
      <c r="A61" s="174"/>
      <c r="B61" s="9" t="s">
        <v>67</v>
      </c>
      <c r="C61" s="1" t="s">
        <v>2980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8856</v>
      </c>
      <c r="L61" s="142">
        <v>8856</v>
      </c>
      <c r="M61" s="142">
        <v>8856</v>
      </c>
      <c r="N61" s="14" t="s">
        <v>2979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13450</v>
      </c>
      <c r="W61" s="142">
        <v>6725</v>
      </c>
      <c r="X61" s="142">
        <v>6725</v>
      </c>
      <c r="Y61" s="14" t="s">
        <v>2978</v>
      </c>
      <c r="Z61" s="142" t="s">
        <v>106</v>
      </c>
      <c r="AA61" s="80">
        <v>1</v>
      </c>
      <c r="AB61" s="1" t="s">
        <v>529</v>
      </c>
      <c r="AC61" s="1" t="s">
        <v>164</v>
      </c>
      <c r="AD61" s="1" t="s">
        <v>164</v>
      </c>
      <c r="AE61" s="143">
        <v>1</v>
      </c>
      <c r="AF61" s="1" t="s">
        <v>529</v>
      </c>
      <c r="AG61" s="142">
        <v>58839</v>
      </c>
      <c r="AH61" s="142">
        <v>5883.9</v>
      </c>
      <c r="AI61" s="142">
        <v>6578.5</v>
      </c>
      <c r="AJ61" s="14" t="s">
        <v>2977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99090</v>
      </c>
      <c r="AS61" s="142">
        <v>4954.5</v>
      </c>
      <c r="AT61" s="142">
        <v>4688.5</v>
      </c>
    </row>
    <row r="62" spans="1:47" x14ac:dyDescent="0.2">
      <c r="A62" s="174"/>
      <c r="B62" s="9" t="s">
        <v>68</v>
      </c>
      <c r="C62" s="1" t="s">
        <v>2976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9683</v>
      </c>
      <c r="L62" s="142">
        <v>9683</v>
      </c>
      <c r="M62" s="142">
        <v>9683</v>
      </c>
      <c r="N62" s="14" t="s">
        <v>2975</v>
      </c>
      <c r="O62" s="142" t="s">
        <v>106</v>
      </c>
      <c r="P62" s="80">
        <v>0</v>
      </c>
      <c r="Q62" s="1" t="s">
        <v>169</v>
      </c>
      <c r="R62" s="80">
        <v>0</v>
      </c>
      <c r="S62" s="1" t="s">
        <v>939</v>
      </c>
      <c r="T62" s="143">
        <v>0</v>
      </c>
      <c r="U62" s="1" t="s">
        <v>939</v>
      </c>
      <c r="V62" s="142">
        <v>0</v>
      </c>
      <c r="W62" s="142">
        <v>0</v>
      </c>
      <c r="X62" s="142">
        <v>0</v>
      </c>
      <c r="Y62" s="14" t="s">
        <v>2974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38994</v>
      </c>
      <c r="AH62" s="142">
        <v>4874.25</v>
      </c>
      <c r="AI62" s="142">
        <v>2852</v>
      </c>
      <c r="AJ62" s="14" t="s">
        <v>2973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107082</v>
      </c>
      <c r="AS62" s="142">
        <v>5354.1</v>
      </c>
      <c r="AT62" s="142">
        <v>5225.5</v>
      </c>
    </row>
    <row r="63" spans="1:47" x14ac:dyDescent="0.2">
      <c r="A63" s="174"/>
      <c r="B63" s="9" t="s">
        <v>69</v>
      </c>
      <c r="C63" s="1" t="s">
        <v>2972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7200</v>
      </c>
      <c r="L63" s="142">
        <v>7200</v>
      </c>
      <c r="M63" s="142">
        <v>7200</v>
      </c>
      <c r="N63" s="14" t="s">
        <v>2971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11399</v>
      </c>
      <c r="W63" s="142">
        <v>5699.5</v>
      </c>
      <c r="X63" s="142">
        <v>5699.5</v>
      </c>
      <c r="Y63" s="14" t="s">
        <v>2970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49014</v>
      </c>
      <c r="AH63" s="142">
        <v>4901.3999999999996</v>
      </c>
      <c r="AI63" s="142">
        <v>4823</v>
      </c>
      <c r="AJ63" s="14" t="s">
        <v>2969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81900</v>
      </c>
      <c r="AS63" s="142">
        <v>4095</v>
      </c>
      <c r="AT63" s="142">
        <v>3525.5</v>
      </c>
    </row>
    <row r="64" spans="1:47" x14ac:dyDescent="0.2">
      <c r="A64" s="174"/>
      <c r="B64" s="9" t="s">
        <v>3973</v>
      </c>
      <c r="C64" s="1" t="s">
        <v>2968</v>
      </c>
      <c r="D64" s="142" t="s">
        <v>106</v>
      </c>
      <c r="E64" s="80">
        <v>0</v>
      </c>
      <c r="F64" s="1" t="s">
        <v>163</v>
      </c>
      <c r="G64" s="1" t="s">
        <v>164</v>
      </c>
      <c r="H64" s="1" t="s">
        <v>164</v>
      </c>
      <c r="I64" s="143">
        <v>0</v>
      </c>
      <c r="J64" s="1" t="s">
        <v>163</v>
      </c>
      <c r="K64" s="142">
        <v>0</v>
      </c>
      <c r="L64" s="142">
        <v>0</v>
      </c>
      <c r="M64" s="142">
        <v>0</v>
      </c>
      <c r="N64" s="14" t="s">
        <v>2967</v>
      </c>
      <c r="O64" s="142" t="s">
        <v>106</v>
      </c>
      <c r="P64" s="80">
        <v>0</v>
      </c>
      <c r="Q64" s="1" t="s">
        <v>163</v>
      </c>
      <c r="R64" s="1" t="s">
        <v>164</v>
      </c>
      <c r="S64" s="1" t="s">
        <v>164</v>
      </c>
      <c r="T64" s="143">
        <v>0</v>
      </c>
      <c r="U64" s="1" t="s">
        <v>163</v>
      </c>
      <c r="V64" s="142">
        <v>0</v>
      </c>
      <c r="W64" s="142">
        <v>0</v>
      </c>
      <c r="X64" s="142">
        <v>0</v>
      </c>
      <c r="Y64" s="14" t="s">
        <v>2966</v>
      </c>
      <c r="Z64" s="142" t="s">
        <v>106</v>
      </c>
      <c r="AA64" s="80">
        <v>0</v>
      </c>
      <c r="AB64" s="1" t="s">
        <v>163</v>
      </c>
      <c r="AC64" s="1" t="s">
        <v>164</v>
      </c>
      <c r="AD64" s="1" t="s">
        <v>164</v>
      </c>
      <c r="AE64" s="143">
        <v>0</v>
      </c>
      <c r="AF64" s="1" t="s">
        <v>163</v>
      </c>
      <c r="AG64" s="142">
        <v>0</v>
      </c>
      <c r="AH64" s="142">
        <v>0</v>
      </c>
      <c r="AI64" s="142">
        <v>0</v>
      </c>
      <c r="AJ64" s="14" t="s">
        <v>2965</v>
      </c>
      <c r="AK64" s="142" t="s">
        <v>106</v>
      </c>
      <c r="AL64" s="80">
        <v>0</v>
      </c>
      <c r="AM64" s="1" t="s">
        <v>163</v>
      </c>
      <c r="AN64" s="1" t="s">
        <v>164</v>
      </c>
      <c r="AO64" s="1" t="s">
        <v>164</v>
      </c>
      <c r="AP64" s="143">
        <v>0</v>
      </c>
      <c r="AQ64" s="1" t="s">
        <v>163</v>
      </c>
      <c r="AR64" s="142">
        <v>0</v>
      </c>
      <c r="AS64" s="142">
        <v>0</v>
      </c>
      <c r="AT64" s="142">
        <v>0</v>
      </c>
      <c r="AU64" s="4" t="s">
        <v>103</v>
      </c>
    </row>
    <row r="65" spans="1:47" x14ac:dyDescent="0.2">
      <c r="A65" s="174"/>
      <c r="B65" s="9" t="s">
        <v>3968</v>
      </c>
      <c r="C65" s="1" t="s">
        <v>2964</v>
      </c>
      <c r="D65" s="142" t="s">
        <v>106</v>
      </c>
      <c r="E65" s="80">
        <v>0</v>
      </c>
      <c r="F65" s="1" t="s">
        <v>163</v>
      </c>
      <c r="G65" s="1" t="s">
        <v>164</v>
      </c>
      <c r="H65" s="1" t="s">
        <v>164</v>
      </c>
      <c r="I65" s="143">
        <v>0</v>
      </c>
      <c r="J65" s="1" t="s">
        <v>163</v>
      </c>
      <c r="K65" s="142">
        <v>0</v>
      </c>
      <c r="L65" s="142">
        <v>0</v>
      </c>
      <c r="M65" s="142">
        <v>0</v>
      </c>
      <c r="N65" s="14" t="s">
        <v>2963</v>
      </c>
      <c r="O65" s="142" t="s">
        <v>106</v>
      </c>
      <c r="P65" s="80">
        <v>0</v>
      </c>
      <c r="Q65" s="1" t="s">
        <v>163</v>
      </c>
      <c r="R65" s="1" t="s">
        <v>164</v>
      </c>
      <c r="S65" s="1" t="s">
        <v>164</v>
      </c>
      <c r="T65" s="143">
        <v>0</v>
      </c>
      <c r="U65" s="1" t="s">
        <v>163</v>
      </c>
      <c r="V65" s="142">
        <v>0</v>
      </c>
      <c r="W65" s="142">
        <v>0</v>
      </c>
      <c r="X65" s="142">
        <v>0</v>
      </c>
      <c r="Y65" s="14" t="s">
        <v>2962</v>
      </c>
      <c r="Z65" s="142" t="s">
        <v>106</v>
      </c>
      <c r="AA65" s="80">
        <v>0</v>
      </c>
      <c r="AB65" s="1" t="s">
        <v>163</v>
      </c>
      <c r="AC65" s="1" t="s">
        <v>164</v>
      </c>
      <c r="AD65" s="1" t="s">
        <v>164</v>
      </c>
      <c r="AE65" s="143">
        <v>0</v>
      </c>
      <c r="AF65" s="1" t="s">
        <v>163</v>
      </c>
      <c r="AG65" s="142">
        <v>0</v>
      </c>
      <c r="AH65" s="142">
        <v>0</v>
      </c>
      <c r="AI65" s="142">
        <v>0</v>
      </c>
      <c r="AJ65" s="14" t="s">
        <v>2961</v>
      </c>
      <c r="AK65" s="142" t="s">
        <v>106</v>
      </c>
      <c r="AL65" s="80">
        <v>0</v>
      </c>
      <c r="AM65" s="1" t="s">
        <v>163</v>
      </c>
      <c r="AN65" s="1" t="s">
        <v>164</v>
      </c>
      <c r="AO65" s="1" t="s">
        <v>164</v>
      </c>
      <c r="AP65" s="143">
        <v>0</v>
      </c>
      <c r="AQ65" s="1" t="s">
        <v>163</v>
      </c>
      <c r="AR65" s="142">
        <v>0</v>
      </c>
      <c r="AS65" s="142">
        <v>0</v>
      </c>
      <c r="AT65" s="142">
        <v>0</v>
      </c>
      <c r="AU65" s="4" t="s">
        <v>103</v>
      </c>
    </row>
    <row r="66" spans="1:47" x14ac:dyDescent="0.2">
      <c r="A66" s="174"/>
      <c r="B66" s="9" t="s">
        <v>3969</v>
      </c>
      <c r="C66" s="1" t="s">
        <v>2960</v>
      </c>
      <c r="D66" s="142" t="s">
        <v>106</v>
      </c>
      <c r="E66" s="80">
        <v>0</v>
      </c>
      <c r="F66" s="1" t="s">
        <v>169</v>
      </c>
      <c r="G66" s="80">
        <v>0</v>
      </c>
      <c r="H66" s="1" t="s">
        <v>163</v>
      </c>
      <c r="I66" s="143">
        <v>0</v>
      </c>
      <c r="J66" s="1" t="s">
        <v>163</v>
      </c>
      <c r="K66" s="142">
        <v>0</v>
      </c>
      <c r="L66" s="142">
        <v>0</v>
      </c>
      <c r="M66" s="142">
        <v>0</v>
      </c>
      <c r="N66" s="14" t="s">
        <v>2959</v>
      </c>
      <c r="O66" s="142" t="s">
        <v>106</v>
      </c>
      <c r="P66" s="80">
        <v>0</v>
      </c>
      <c r="Q66" s="1" t="s">
        <v>169</v>
      </c>
      <c r="R66" s="80">
        <v>0</v>
      </c>
      <c r="S66" s="1" t="s">
        <v>163</v>
      </c>
      <c r="T66" s="143">
        <v>0</v>
      </c>
      <c r="U66" s="1" t="s">
        <v>163</v>
      </c>
      <c r="V66" s="142">
        <v>0</v>
      </c>
      <c r="W66" s="142">
        <v>0</v>
      </c>
      <c r="X66" s="142">
        <v>0</v>
      </c>
      <c r="Y66" s="14" t="s">
        <v>2958</v>
      </c>
      <c r="Z66" s="142" t="s">
        <v>106</v>
      </c>
      <c r="AA66" s="80">
        <v>0.4</v>
      </c>
      <c r="AB66" s="1" t="s">
        <v>974</v>
      </c>
      <c r="AC66" s="80">
        <v>0</v>
      </c>
      <c r="AD66" s="1" t="s">
        <v>218</v>
      </c>
      <c r="AE66" s="143">
        <v>0.2</v>
      </c>
      <c r="AF66" s="1" t="s">
        <v>930</v>
      </c>
      <c r="AG66" s="142">
        <v>5458</v>
      </c>
      <c r="AH66" s="142">
        <v>2729</v>
      </c>
      <c r="AI66" s="142">
        <v>2729</v>
      </c>
      <c r="AJ66" s="14" t="s">
        <v>2957</v>
      </c>
      <c r="AK66" s="142" t="s">
        <v>106</v>
      </c>
      <c r="AL66" s="80">
        <v>0.4</v>
      </c>
      <c r="AM66" s="1" t="s">
        <v>974</v>
      </c>
      <c r="AN66" s="80">
        <v>0</v>
      </c>
      <c r="AO66" s="1" t="s">
        <v>218</v>
      </c>
      <c r="AP66" s="143">
        <v>0.2</v>
      </c>
      <c r="AQ66" s="1" t="s">
        <v>930</v>
      </c>
      <c r="AR66" s="142">
        <v>5181</v>
      </c>
      <c r="AS66" s="142">
        <v>2590.5</v>
      </c>
      <c r="AT66" s="142">
        <v>2590.5</v>
      </c>
      <c r="AU66" s="4" t="s">
        <v>103</v>
      </c>
    </row>
    <row r="67" spans="1:47" x14ac:dyDescent="0.2">
      <c r="A67" s="174"/>
      <c r="B67" s="9" t="s">
        <v>3970</v>
      </c>
      <c r="C67" s="1" t="s">
        <v>2956</v>
      </c>
      <c r="D67" s="142" t="s">
        <v>106</v>
      </c>
      <c r="E67" s="80">
        <v>0</v>
      </c>
      <c r="F67" s="1" t="s">
        <v>163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2955</v>
      </c>
      <c r="O67" s="142" t="s">
        <v>106</v>
      </c>
      <c r="P67" s="80">
        <v>0</v>
      </c>
      <c r="Q67" s="1" t="s">
        <v>163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2954</v>
      </c>
      <c r="Z67" s="142" t="s">
        <v>106</v>
      </c>
      <c r="AA67" s="80">
        <v>0.2</v>
      </c>
      <c r="AB67" s="1" t="s">
        <v>930</v>
      </c>
      <c r="AC67" s="1" t="s">
        <v>164</v>
      </c>
      <c r="AD67" s="1" t="s">
        <v>164</v>
      </c>
      <c r="AE67" s="143">
        <v>0.2</v>
      </c>
      <c r="AF67" s="1" t="s">
        <v>930</v>
      </c>
      <c r="AG67" s="142">
        <v>5407</v>
      </c>
      <c r="AH67" s="142">
        <v>2703.5</v>
      </c>
      <c r="AI67" s="142">
        <v>2703.5</v>
      </c>
      <c r="AJ67" s="14" t="s">
        <v>2953</v>
      </c>
      <c r="AK67" s="142" t="s">
        <v>106</v>
      </c>
      <c r="AL67" s="80">
        <v>0.2</v>
      </c>
      <c r="AM67" s="1" t="s">
        <v>930</v>
      </c>
      <c r="AN67" s="1" t="s">
        <v>164</v>
      </c>
      <c r="AO67" s="1" t="s">
        <v>164</v>
      </c>
      <c r="AP67" s="143">
        <v>0.2</v>
      </c>
      <c r="AQ67" s="1" t="s">
        <v>930</v>
      </c>
      <c r="AR67" s="142">
        <v>5220</v>
      </c>
      <c r="AS67" s="142">
        <v>2610</v>
      </c>
      <c r="AT67" s="142">
        <v>2610</v>
      </c>
      <c r="AU67" s="4" t="s">
        <v>103</v>
      </c>
    </row>
    <row r="68" spans="1:47" x14ac:dyDescent="0.2">
      <c r="A68" s="174"/>
      <c r="B68" s="9" t="s">
        <v>3971</v>
      </c>
      <c r="C68" s="1" t="s">
        <v>2952</v>
      </c>
      <c r="D68" s="142" t="s">
        <v>107</v>
      </c>
      <c r="E68" s="1" t="s">
        <v>164</v>
      </c>
      <c r="F68" s="1" t="s">
        <v>164</v>
      </c>
      <c r="G68" s="1" t="s">
        <v>164</v>
      </c>
      <c r="H68" s="1" t="s">
        <v>164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2951</v>
      </c>
      <c r="O68" s="142" t="s">
        <v>107</v>
      </c>
      <c r="P68" s="1" t="s">
        <v>164</v>
      </c>
      <c r="Q68" s="1" t="s">
        <v>164</v>
      </c>
      <c r="R68" s="1" t="s">
        <v>164</v>
      </c>
      <c r="S68" s="1" t="s">
        <v>164</v>
      </c>
      <c r="T68" s="143">
        <v>0</v>
      </c>
      <c r="U68" s="1" t="s">
        <v>163</v>
      </c>
      <c r="V68" s="142">
        <v>0</v>
      </c>
      <c r="W68" s="142">
        <v>0</v>
      </c>
      <c r="X68" s="142">
        <v>0</v>
      </c>
      <c r="Y68" s="14" t="s">
        <v>2950</v>
      </c>
      <c r="Z68" s="142" t="s">
        <v>107</v>
      </c>
      <c r="AA68" s="1" t="s">
        <v>164</v>
      </c>
      <c r="AB68" s="1" t="s">
        <v>164</v>
      </c>
      <c r="AC68" s="1" t="s">
        <v>164</v>
      </c>
      <c r="AD68" s="1" t="s">
        <v>164</v>
      </c>
      <c r="AE68" s="143">
        <v>0.4</v>
      </c>
      <c r="AF68" s="1" t="s">
        <v>501</v>
      </c>
      <c r="AG68" s="142">
        <v>16551</v>
      </c>
      <c r="AH68" s="142">
        <v>4137.75</v>
      </c>
      <c r="AI68" s="142">
        <v>4080</v>
      </c>
      <c r="AJ68" s="14" t="s">
        <v>2949</v>
      </c>
      <c r="AK68" s="142" t="s">
        <v>107</v>
      </c>
      <c r="AL68" s="1" t="s">
        <v>164</v>
      </c>
      <c r="AM68" s="1" t="s">
        <v>164</v>
      </c>
      <c r="AN68" s="1" t="s">
        <v>164</v>
      </c>
      <c r="AO68" s="1" t="s">
        <v>164</v>
      </c>
      <c r="AP68" s="143">
        <v>0.4</v>
      </c>
      <c r="AQ68" s="1" t="s">
        <v>501</v>
      </c>
      <c r="AR68" s="142">
        <v>13236</v>
      </c>
      <c r="AS68" s="142">
        <v>3309</v>
      </c>
      <c r="AT68" s="142">
        <v>3257</v>
      </c>
      <c r="AU68" s="4" t="s">
        <v>102</v>
      </c>
    </row>
    <row r="69" spans="1:47" x14ac:dyDescent="0.2">
      <c r="A69" s="174"/>
      <c r="B69" s="9" t="s">
        <v>3972</v>
      </c>
      <c r="C69" s="1" t="s">
        <v>2948</v>
      </c>
      <c r="D69" s="142" t="s">
        <v>106</v>
      </c>
      <c r="E69" s="80">
        <v>0</v>
      </c>
      <c r="F69" s="1" t="s">
        <v>163</v>
      </c>
      <c r="G69" s="1" t="s">
        <v>164</v>
      </c>
      <c r="H69" s="1" t="s">
        <v>164</v>
      </c>
      <c r="I69" s="143">
        <v>0</v>
      </c>
      <c r="J69" s="1" t="s">
        <v>163</v>
      </c>
      <c r="K69" s="142">
        <v>0</v>
      </c>
      <c r="L69" s="142">
        <v>0</v>
      </c>
      <c r="M69" s="142">
        <v>0</v>
      </c>
      <c r="N69" s="14" t="s">
        <v>2947</v>
      </c>
      <c r="O69" s="142" t="s">
        <v>106</v>
      </c>
      <c r="P69" s="80">
        <v>0</v>
      </c>
      <c r="Q69" s="1" t="s">
        <v>163</v>
      </c>
      <c r="R69" s="1" t="s">
        <v>164</v>
      </c>
      <c r="S69" s="1" t="s">
        <v>164</v>
      </c>
      <c r="T69" s="143">
        <v>0</v>
      </c>
      <c r="U69" s="1" t="s">
        <v>163</v>
      </c>
      <c r="V69" s="142">
        <v>0</v>
      </c>
      <c r="W69" s="142">
        <v>0</v>
      </c>
      <c r="X69" s="142">
        <v>0</v>
      </c>
      <c r="Y69" s="14" t="s">
        <v>2946</v>
      </c>
      <c r="Z69" s="142" t="s">
        <v>106</v>
      </c>
      <c r="AA69" s="80">
        <v>0.2</v>
      </c>
      <c r="AB69" s="1" t="s">
        <v>930</v>
      </c>
      <c r="AC69" s="1" t="s">
        <v>164</v>
      </c>
      <c r="AD69" s="1" t="s">
        <v>164</v>
      </c>
      <c r="AE69" s="143">
        <v>0.2</v>
      </c>
      <c r="AF69" s="1" t="s">
        <v>930</v>
      </c>
      <c r="AG69" s="142">
        <v>5365</v>
      </c>
      <c r="AH69" s="142">
        <v>2682.5</v>
      </c>
      <c r="AI69" s="142">
        <v>2682.5</v>
      </c>
      <c r="AJ69" s="14" t="s">
        <v>2945</v>
      </c>
      <c r="AK69" s="142" t="s">
        <v>106</v>
      </c>
      <c r="AL69" s="80">
        <v>0.2</v>
      </c>
      <c r="AM69" s="1" t="s">
        <v>930</v>
      </c>
      <c r="AN69" s="1" t="s">
        <v>164</v>
      </c>
      <c r="AO69" s="1" t="s">
        <v>164</v>
      </c>
      <c r="AP69" s="143">
        <v>0.2</v>
      </c>
      <c r="AQ69" s="1" t="s">
        <v>930</v>
      </c>
      <c r="AR69" s="142">
        <v>4888</v>
      </c>
      <c r="AS69" s="142">
        <v>2444</v>
      </c>
      <c r="AT69" s="142">
        <v>2444</v>
      </c>
      <c r="AU69" s="4" t="s">
        <v>102</v>
      </c>
    </row>
    <row r="70" spans="1:47" x14ac:dyDescent="0.2">
      <c r="A70" s="174"/>
      <c r="B70" s="9" t="s">
        <v>70</v>
      </c>
      <c r="C70" s="1" t="s">
        <v>2944</v>
      </c>
      <c r="D70" s="142" t="s">
        <v>106</v>
      </c>
      <c r="E70" s="80">
        <v>0</v>
      </c>
      <c r="F70" s="1" t="s">
        <v>169</v>
      </c>
      <c r="G70" s="80">
        <v>0</v>
      </c>
      <c r="H70" s="1" t="s">
        <v>163</v>
      </c>
      <c r="I70" s="143">
        <v>0</v>
      </c>
      <c r="J70" s="1" t="s">
        <v>163</v>
      </c>
      <c r="K70" s="142">
        <v>0</v>
      </c>
      <c r="L70" s="142">
        <v>0</v>
      </c>
      <c r="M70" s="142">
        <v>0</v>
      </c>
      <c r="N70" s="14" t="s">
        <v>2943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2942</v>
      </c>
      <c r="Z70" s="142" t="s">
        <v>106</v>
      </c>
      <c r="AA70" s="80">
        <v>0</v>
      </c>
      <c r="AB70" s="1" t="s">
        <v>218</v>
      </c>
      <c r="AC70" s="80">
        <v>0</v>
      </c>
      <c r="AD70" s="1" t="s">
        <v>218</v>
      </c>
      <c r="AE70" s="143">
        <v>0</v>
      </c>
      <c r="AF70" s="1" t="s">
        <v>213</v>
      </c>
      <c r="AG70" s="142">
        <v>0</v>
      </c>
      <c r="AH70" s="142">
        <v>0</v>
      </c>
      <c r="AI70" s="142">
        <v>0</v>
      </c>
      <c r="AJ70" s="14" t="s">
        <v>2941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2">
        <v>0</v>
      </c>
      <c r="AU70" s="4" t="s">
        <v>102</v>
      </c>
    </row>
    <row r="71" spans="1:47" x14ac:dyDescent="0.2">
      <c r="A71" s="174"/>
      <c r="B71" s="9" t="s">
        <v>71</v>
      </c>
      <c r="C71" s="1" t="s">
        <v>2940</v>
      </c>
      <c r="D71" s="142" t="s">
        <v>106</v>
      </c>
      <c r="E71" s="80">
        <v>1</v>
      </c>
      <c r="F71" s="1" t="s">
        <v>452</v>
      </c>
      <c r="G71" s="1" t="s">
        <v>164</v>
      </c>
      <c r="H71" s="1" t="s">
        <v>164</v>
      </c>
      <c r="I71" s="143">
        <v>1</v>
      </c>
      <c r="J71" s="1" t="s">
        <v>452</v>
      </c>
      <c r="K71" s="142">
        <v>17274</v>
      </c>
      <c r="L71" s="142">
        <v>17274</v>
      </c>
      <c r="M71" s="142">
        <v>17274</v>
      </c>
      <c r="N71" s="14" t="s">
        <v>2939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2938</v>
      </c>
      <c r="Z71" s="142" t="s">
        <v>106</v>
      </c>
      <c r="AA71" s="80">
        <v>1</v>
      </c>
      <c r="AB71" s="1" t="s">
        <v>529</v>
      </c>
      <c r="AC71" s="1" t="s">
        <v>164</v>
      </c>
      <c r="AD71" s="1" t="s">
        <v>164</v>
      </c>
      <c r="AE71" s="143">
        <v>1</v>
      </c>
      <c r="AF71" s="1" t="s">
        <v>529</v>
      </c>
      <c r="AG71" s="142">
        <v>37818</v>
      </c>
      <c r="AH71" s="142">
        <v>3781.8</v>
      </c>
      <c r="AI71" s="142">
        <v>3771.5</v>
      </c>
      <c r="AJ71" s="14" t="s">
        <v>2937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4"/>
      <c r="B72" s="9" t="s">
        <v>72</v>
      </c>
      <c r="C72" s="1" t="s">
        <v>2936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2935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2934</v>
      </c>
      <c r="Z72" s="142" t="s">
        <v>106</v>
      </c>
      <c r="AA72" s="80">
        <v>0.8</v>
      </c>
      <c r="AB72" s="1" t="s">
        <v>506</v>
      </c>
      <c r="AC72" s="80">
        <v>0</v>
      </c>
      <c r="AD72" s="1" t="s">
        <v>218</v>
      </c>
      <c r="AE72" s="143">
        <v>0.4</v>
      </c>
      <c r="AF72" s="1" t="s">
        <v>501</v>
      </c>
      <c r="AG72" s="142">
        <v>16169</v>
      </c>
      <c r="AH72" s="142">
        <v>4042.25</v>
      </c>
      <c r="AI72" s="142">
        <v>4404</v>
      </c>
      <c r="AJ72" s="14" t="s">
        <v>2933</v>
      </c>
      <c r="AK72" s="142" t="s">
        <v>106</v>
      </c>
      <c r="AL72" s="80">
        <v>0.2</v>
      </c>
      <c r="AM72" s="1" t="s">
        <v>1049</v>
      </c>
      <c r="AN72" s="80">
        <v>0</v>
      </c>
      <c r="AO72" s="1" t="s">
        <v>218</v>
      </c>
      <c r="AP72" s="143">
        <v>0.1</v>
      </c>
      <c r="AQ72" s="1" t="s">
        <v>1235</v>
      </c>
      <c r="AR72" s="142">
        <v>2718</v>
      </c>
      <c r="AS72" s="142">
        <v>2718</v>
      </c>
      <c r="AT72" s="142">
        <v>2718</v>
      </c>
      <c r="AU72" s="4" t="s">
        <v>102</v>
      </c>
    </row>
    <row r="73" spans="1:47" x14ac:dyDescent="0.2">
      <c r="A73" s="174"/>
      <c r="B73" s="9" t="s">
        <v>73</v>
      </c>
      <c r="C73" s="1" t="s">
        <v>2932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5154</v>
      </c>
      <c r="L73" s="142">
        <v>5154</v>
      </c>
      <c r="M73" s="142">
        <v>5154</v>
      </c>
      <c r="N73" s="14" t="s">
        <v>2931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4245</v>
      </c>
      <c r="W73" s="142">
        <v>4245</v>
      </c>
      <c r="X73" s="142">
        <v>4245</v>
      </c>
      <c r="Y73" s="14" t="s">
        <v>2930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50716</v>
      </c>
      <c r="AH73" s="142">
        <v>5071.6000000000004</v>
      </c>
      <c r="AI73" s="142">
        <v>5654</v>
      </c>
      <c r="AJ73" s="14" t="s">
        <v>2929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39085</v>
      </c>
      <c r="AS73" s="142">
        <v>3908.5</v>
      </c>
      <c r="AT73" s="142">
        <v>4208.5</v>
      </c>
      <c r="AU73" s="4" t="s">
        <v>102</v>
      </c>
    </row>
    <row r="74" spans="1:47" x14ac:dyDescent="0.2">
      <c r="A74" s="174"/>
      <c r="B74" s="9" t="s">
        <v>74</v>
      </c>
      <c r="C74" s="1" t="s">
        <v>2928</v>
      </c>
      <c r="D74" s="142" t="s">
        <v>106</v>
      </c>
      <c r="E74" s="80">
        <v>0</v>
      </c>
      <c r="F74" s="1" t="s">
        <v>169</v>
      </c>
      <c r="G74" s="80">
        <v>0</v>
      </c>
      <c r="H74" s="1" t="s">
        <v>163</v>
      </c>
      <c r="I74" s="143">
        <v>0</v>
      </c>
      <c r="J74" s="1" t="s">
        <v>163</v>
      </c>
      <c r="K74" s="142">
        <v>0</v>
      </c>
      <c r="L74" s="142">
        <v>0</v>
      </c>
      <c r="M74" s="142">
        <v>0</v>
      </c>
      <c r="N74" s="14" t="s">
        <v>2927</v>
      </c>
      <c r="O74" s="142" t="s">
        <v>106</v>
      </c>
      <c r="P74" s="80">
        <v>0</v>
      </c>
      <c r="Q74" s="1" t="s">
        <v>169</v>
      </c>
      <c r="R74" s="80">
        <v>0</v>
      </c>
      <c r="S74" s="1" t="s">
        <v>163</v>
      </c>
      <c r="T74" s="143">
        <v>0</v>
      </c>
      <c r="U74" s="1" t="s">
        <v>163</v>
      </c>
      <c r="V74" s="142">
        <v>0</v>
      </c>
      <c r="W74" s="142">
        <v>0</v>
      </c>
      <c r="X74" s="142">
        <v>0</v>
      </c>
      <c r="Y74" s="14" t="s">
        <v>2926</v>
      </c>
      <c r="Z74" s="142" t="s">
        <v>106</v>
      </c>
      <c r="AA74" s="80">
        <v>0.8</v>
      </c>
      <c r="AB74" s="1" t="s">
        <v>506</v>
      </c>
      <c r="AC74" s="80">
        <v>0</v>
      </c>
      <c r="AD74" s="1" t="s">
        <v>218</v>
      </c>
      <c r="AE74" s="143">
        <v>0.4</v>
      </c>
      <c r="AF74" s="1" t="s">
        <v>501</v>
      </c>
      <c r="AG74" s="142">
        <v>13028</v>
      </c>
      <c r="AH74" s="142">
        <v>3257</v>
      </c>
      <c r="AI74" s="142">
        <v>3259</v>
      </c>
      <c r="AJ74" s="14" t="s">
        <v>2925</v>
      </c>
      <c r="AK74" s="142" t="s">
        <v>106</v>
      </c>
      <c r="AL74" s="80">
        <v>0.2</v>
      </c>
      <c r="AM74" s="1" t="s">
        <v>1049</v>
      </c>
      <c r="AN74" s="80">
        <v>0</v>
      </c>
      <c r="AO74" s="1" t="s">
        <v>218</v>
      </c>
      <c r="AP74" s="143">
        <v>0.1</v>
      </c>
      <c r="AQ74" s="1" t="s">
        <v>1235</v>
      </c>
      <c r="AR74" s="142">
        <v>2512</v>
      </c>
      <c r="AS74" s="142">
        <v>2512</v>
      </c>
      <c r="AT74" s="142">
        <v>2512</v>
      </c>
      <c r="AU74" s="4" t="s">
        <v>102</v>
      </c>
    </row>
    <row r="75" spans="1:47" x14ac:dyDescent="0.2">
      <c r="A75" s="174"/>
      <c r="B75" s="9" t="s">
        <v>75</v>
      </c>
      <c r="C75" s="1" t="s">
        <v>2924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2923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2922</v>
      </c>
      <c r="Z75" s="142" t="s">
        <v>106</v>
      </c>
      <c r="AA75" s="80">
        <v>0.4</v>
      </c>
      <c r="AB75" s="1" t="s">
        <v>501</v>
      </c>
      <c r="AC75" s="1" t="s">
        <v>164</v>
      </c>
      <c r="AD75" s="1" t="s">
        <v>164</v>
      </c>
      <c r="AE75" s="143">
        <v>0.4</v>
      </c>
      <c r="AF75" s="1" t="s">
        <v>501</v>
      </c>
      <c r="AG75" s="142">
        <v>13230</v>
      </c>
      <c r="AH75" s="142">
        <v>3307.5</v>
      </c>
      <c r="AI75" s="142">
        <v>3306.5</v>
      </c>
      <c r="AJ75" s="14" t="s">
        <v>2921</v>
      </c>
      <c r="AK75" s="142" t="s">
        <v>106</v>
      </c>
      <c r="AL75" s="80">
        <v>0.1</v>
      </c>
      <c r="AM75" s="1" t="s">
        <v>1235</v>
      </c>
      <c r="AN75" s="1" t="s">
        <v>164</v>
      </c>
      <c r="AO75" s="1" t="s">
        <v>164</v>
      </c>
      <c r="AP75" s="143">
        <v>0.1</v>
      </c>
      <c r="AQ75" s="1" t="s">
        <v>1235</v>
      </c>
      <c r="AR75" s="142">
        <v>2488</v>
      </c>
      <c r="AS75" s="142">
        <v>2488</v>
      </c>
      <c r="AT75" s="142">
        <v>2488</v>
      </c>
      <c r="AU75" s="4" t="s">
        <v>102</v>
      </c>
    </row>
    <row r="76" spans="1:47" x14ac:dyDescent="0.2">
      <c r="A76" s="174"/>
      <c r="B76" s="9" t="s">
        <v>160</v>
      </c>
      <c r="C76" s="1" t="s">
        <v>2920</v>
      </c>
      <c r="D76" s="142" t="s">
        <v>106</v>
      </c>
      <c r="E76" s="80">
        <v>0</v>
      </c>
      <c r="F76" s="1" t="s">
        <v>163</v>
      </c>
      <c r="G76" s="1" t="s">
        <v>164</v>
      </c>
      <c r="H76" s="1" t="s">
        <v>164</v>
      </c>
      <c r="I76" s="143">
        <v>0</v>
      </c>
      <c r="J76" s="1" t="s">
        <v>163</v>
      </c>
      <c r="K76" s="142">
        <v>0</v>
      </c>
      <c r="L76" s="142">
        <v>0</v>
      </c>
      <c r="M76" s="142">
        <v>0</v>
      </c>
      <c r="N76" s="14" t="s">
        <v>2919</v>
      </c>
      <c r="O76" s="142" t="s">
        <v>106</v>
      </c>
      <c r="P76" s="80">
        <v>0</v>
      </c>
      <c r="Q76" s="1" t="s">
        <v>163</v>
      </c>
      <c r="R76" s="1" t="s">
        <v>164</v>
      </c>
      <c r="S76" s="1" t="s">
        <v>164</v>
      </c>
      <c r="T76" s="143">
        <v>0</v>
      </c>
      <c r="U76" s="1" t="s">
        <v>163</v>
      </c>
      <c r="V76" s="142">
        <v>0</v>
      </c>
      <c r="W76" s="142">
        <v>0</v>
      </c>
      <c r="X76" s="142">
        <v>0</v>
      </c>
      <c r="Y76" s="14" t="s">
        <v>2918</v>
      </c>
      <c r="Z76" s="142" t="s">
        <v>106</v>
      </c>
      <c r="AA76" s="80">
        <v>0</v>
      </c>
      <c r="AB76" s="1" t="s">
        <v>213</v>
      </c>
      <c r="AC76" s="1" t="s">
        <v>164</v>
      </c>
      <c r="AD76" s="1" t="s">
        <v>164</v>
      </c>
      <c r="AE76" s="143">
        <v>0</v>
      </c>
      <c r="AF76" s="1" t="s">
        <v>213</v>
      </c>
      <c r="AG76" s="142">
        <v>0</v>
      </c>
      <c r="AH76" s="142">
        <v>0</v>
      </c>
      <c r="AI76" s="142">
        <v>0</v>
      </c>
      <c r="AJ76" s="14" t="s">
        <v>2917</v>
      </c>
      <c r="AK76" s="142" t="s">
        <v>106</v>
      </c>
      <c r="AL76" s="80">
        <v>0</v>
      </c>
      <c r="AM76" s="1" t="s">
        <v>213</v>
      </c>
      <c r="AN76" s="1" t="s">
        <v>164</v>
      </c>
      <c r="AO76" s="1" t="s">
        <v>164</v>
      </c>
      <c r="AP76" s="143">
        <v>0</v>
      </c>
      <c r="AQ76" s="1" t="s">
        <v>213</v>
      </c>
      <c r="AR76" s="142">
        <v>0</v>
      </c>
      <c r="AS76" s="142">
        <v>0</v>
      </c>
      <c r="AT76" s="142">
        <v>0</v>
      </c>
      <c r="AU76" s="4" t="s">
        <v>103</v>
      </c>
    </row>
    <row r="77" spans="1:47" x14ac:dyDescent="0.2">
      <c r="A77" s="174"/>
      <c r="B77" s="9" t="s">
        <v>76</v>
      </c>
      <c r="C77" s="1" t="s">
        <v>2916</v>
      </c>
      <c r="D77" s="142" t="s">
        <v>106</v>
      </c>
      <c r="E77" s="80">
        <v>0</v>
      </c>
      <c r="F77" s="1" t="s">
        <v>163</v>
      </c>
      <c r="G77" s="1" t="s">
        <v>164</v>
      </c>
      <c r="H77" s="1" t="s">
        <v>164</v>
      </c>
      <c r="I77" s="143">
        <v>0</v>
      </c>
      <c r="J77" s="1" t="s">
        <v>163</v>
      </c>
      <c r="K77" s="142">
        <v>0</v>
      </c>
      <c r="L77" s="142">
        <v>0</v>
      </c>
      <c r="M77" s="142">
        <v>0</v>
      </c>
      <c r="N77" s="14" t="s">
        <v>2915</v>
      </c>
      <c r="O77" s="142" t="s">
        <v>106</v>
      </c>
      <c r="P77" s="80">
        <v>0</v>
      </c>
      <c r="Q77" s="1" t="s">
        <v>163</v>
      </c>
      <c r="R77" s="1" t="s">
        <v>164</v>
      </c>
      <c r="S77" s="1" t="s">
        <v>164</v>
      </c>
      <c r="T77" s="143">
        <v>0</v>
      </c>
      <c r="U77" s="1" t="s">
        <v>163</v>
      </c>
      <c r="V77" s="142">
        <v>0</v>
      </c>
      <c r="W77" s="142">
        <v>0</v>
      </c>
      <c r="X77" s="142">
        <v>0</v>
      </c>
      <c r="Y77" s="14" t="s">
        <v>2914</v>
      </c>
      <c r="Z77" s="142" t="s">
        <v>106</v>
      </c>
      <c r="AA77" s="80">
        <v>0</v>
      </c>
      <c r="AB77" s="1" t="s">
        <v>213</v>
      </c>
      <c r="AC77" s="1" t="s">
        <v>164</v>
      </c>
      <c r="AD77" s="1" t="s">
        <v>164</v>
      </c>
      <c r="AE77" s="143">
        <v>0</v>
      </c>
      <c r="AF77" s="1" t="s">
        <v>213</v>
      </c>
      <c r="AG77" s="142">
        <v>0</v>
      </c>
      <c r="AH77" s="142">
        <v>0</v>
      </c>
      <c r="AI77" s="142">
        <v>0</v>
      </c>
      <c r="AJ77" s="14" t="s">
        <v>2913</v>
      </c>
      <c r="AK77" s="142" t="s">
        <v>106</v>
      </c>
      <c r="AL77" s="80">
        <v>0</v>
      </c>
      <c r="AM77" s="1" t="s">
        <v>213</v>
      </c>
      <c r="AN77" s="1" t="s">
        <v>164</v>
      </c>
      <c r="AO77" s="1" t="s">
        <v>164</v>
      </c>
      <c r="AP77" s="143">
        <v>0</v>
      </c>
      <c r="AQ77" s="1" t="s">
        <v>213</v>
      </c>
      <c r="AR77" s="142">
        <v>0</v>
      </c>
      <c r="AS77" s="142">
        <v>0</v>
      </c>
      <c r="AT77" s="142">
        <v>0</v>
      </c>
      <c r="AU77" s="4" t="s">
        <v>103</v>
      </c>
    </row>
    <row r="78" spans="1:47" x14ac:dyDescent="0.2">
      <c r="A78" s="174"/>
      <c r="B78" s="9" t="s">
        <v>161</v>
      </c>
      <c r="C78" s="1" t="s">
        <v>2912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2911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2910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2909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4"/>
      <c r="B79" s="9" t="s">
        <v>77</v>
      </c>
      <c r="C79" s="1" t="s">
        <v>2908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2907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2906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2905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4"/>
      <c r="B80" s="9" t="s">
        <v>162</v>
      </c>
      <c r="C80" s="1" t="s">
        <v>2904</v>
      </c>
      <c r="D80" s="142" t="s">
        <v>106</v>
      </c>
      <c r="E80" s="80">
        <v>0</v>
      </c>
      <c r="F80" s="1" t="s">
        <v>163</v>
      </c>
      <c r="G80" s="1" t="s">
        <v>164</v>
      </c>
      <c r="H80" s="1" t="s">
        <v>164</v>
      </c>
      <c r="I80" s="143">
        <v>0</v>
      </c>
      <c r="J80" s="1" t="s">
        <v>163</v>
      </c>
      <c r="K80" s="142">
        <v>0</v>
      </c>
      <c r="L80" s="142">
        <v>0</v>
      </c>
      <c r="M80" s="142">
        <v>0</v>
      </c>
      <c r="N80" s="14" t="s">
        <v>2903</v>
      </c>
      <c r="O80" s="142" t="s">
        <v>106</v>
      </c>
      <c r="P80" s="80">
        <v>0</v>
      </c>
      <c r="Q80" s="1" t="s">
        <v>163</v>
      </c>
      <c r="R80" s="1" t="s">
        <v>164</v>
      </c>
      <c r="S80" s="1" t="s">
        <v>164</v>
      </c>
      <c r="T80" s="143">
        <v>0</v>
      </c>
      <c r="U80" s="1" t="s">
        <v>163</v>
      </c>
      <c r="V80" s="142">
        <v>0</v>
      </c>
      <c r="W80" s="142">
        <v>0</v>
      </c>
      <c r="X80" s="142">
        <v>0</v>
      </c>
      <c r="Y80" s="14" t="s">
        <v>2902</v>
      </c>
      <c r="Z80" s="142" t="s">
        <v>106</v>
      </c>
      <c r="AA80" s="80">
        <v>0</v>
      </c>
      <c r="AB80" s="1" t="s">
        <v>213</v>
      </c>
      <c r="AC80" s="1" t="s">
        <v>164</v>
      </c>
      <c r="AD80" s="1" t="s">
        <v>164</v>
      </c>
      <c r="AE80" s="143">
        <v>0</v>
      </c>
      <c r="AF80" s="1" t="s">
        <v>213</v>
      </c>
      <c r="AG80" s="142">
        <v>0</v>
      </c>
      <c r="AH80" s="142">
        <v>0</v>
      </c>
      <c r="AI80" s="142">
        <v>0</v>
      </c>
      <c r="AJ80" s="14" t="s">
        <v>2901</v>
      </c>
      <c r="AK80" s="142" t="s">
        <v>106</v>
      </c>
      <c r="AL80" s="80">
        <v>0</v>
      </c>
      <c r="AM80" s="1" t="s">
        <v>213</v>
      </c>
      <c r="AN80" s="1" t="s">
        <v>164</v>
      </c>
      <c r="AO80" s="1" t="s">
        <v>164</v>
      </c>
      <c r="AP80" s="143">
        <v>0</v>
      </c>
      <c r="AQ80" s="1" t="s">
        <v>213</v>
      </c>
      <c r="AR80" s="142">
        <v>0</v>
      </c>
      <c r="AS80" s="142">
        <v>0</v>
      </c>
      <c r="AT80" s="142">
        <v>0</v>
      </c>
      <c r="AU80" s="4" t="s">
        <v>103</v>
      </c>
    </row>
    <row r="81" spans="1:47" x14ac:dyDescent="0.2">
      <c r="A81" s="174"/>
      <c r="B81" s="9" t="s">
        <v>78</v>
      </c>
      <c r="C81" s="1" t="s">
        <v>2900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4164</v>
      </c>
      <c r="L81" s="142">
        <v>4164</v>
      </c>
      <c r="M81" s="142">
        <v>4164</v>
      </c>
      <c r="N81" s="14" t="s">
        <v>2899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3940</v>
      </c>
      <c r="W81" s="142">
        <v>3940</v>
      </c>
      <c r="X81" s="142">
        <v>3940</v>
      </c>
      <c r="Y81" s="14" t="s">
        <v>2898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40647</v>
      </c>
      <c r="AH81" s="142">
        <v>4064.7</v>
      </c>
      <c r="AI81" s="142">
        <v>4031.5</v>
      </c>
      <c r="AJ81" s="14" t="s">
        <v>2897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38708</v>
      </c>
      <c r="AS81" s="142">
        <v>3870.8</v>
      </c>
      <c r="AT81" s="142">
        <v>3856.5</v>
      </c>
      <c r="AU81" s="4" t="s">
        <v>103</v>
      </c>
    </row>
    <row r="82" spans="1:47" x14ac:dyDescent="0.2">
      <c r="A82" s="174"/>
      <c r="B82" s="9" t="s">
        <v>79</v>
      </c>
      <c r="C82" s="1" t="s">
        <v>2896</v>
      </c>
      <c r="D82" s="142" t="s">
        <v>106</v>
      </c>
      <c r="E82" s="80">
        <v>0</v>
      </c>
      <c r="F82" s="1" t="s">
        <v>169</v>
      </c>
      <c r="G82" s="80">
        <v>0</v>
      </c>
      <c r="H82" s="1" t="s">
        <v>163</v>
      </c>
      <c r="I82" s="143">
        <v>0</v>
      </c>
      <c r="J82" s="1" t="s">
        <v>163</v>
      </c>
      <c r="K82" s="142">
        <v>0</v>
      </c>
      <c r="L82" s="142">
        <v>0</v>
      </c>
      <c r="M82" s="142">
        <v>0</v>
      </c>
      <c r="N82" s="14" t="s">
        <v>2895</v>
      </c>
      <c r="O82" s="142" t="s">
        <v>107</v>
      </c>
      <c r="P82" s="1" t="s">
        <v>164</v>
      </c>
      <c r="Q82" s="1" t="s">
        <v>164</v>
      </c>
      <c r="R82" s="1" t="s">
        <v>164</v>
      </c>
      <c r="S82" s="1" t="s">
        <v>164</v>
      </c>
      <c r="T82" s="143">
        <v>0</v>
      </c>
      <c r="U82" s="1" t="s">
        <v>163</v>
      </c>
      <c r="V82" s="142">
        <v>0</v>
      </c>
      <c r="W82" s="142">
        <v>0</v>
      </c>
      <c r="X82" s="142">
        <v>0</v>
      </c>
      <c r="Y82" s="14" t="s">
        <v>2894</v>
      </c>
      <c r="Z82" s="142" t="s">
        <v>106</v>
      </c>
      <c r="AA82" s="80">
        <v>1</v>
      </c>
      <c r="AB82" s="1" t="s">
        <v>516</v>
      </c>
      <c r="AC82" s="80">
        <v>0</v>
      </c>
      <c r="AD82" s="1" t="s">
        <v>218</v>
      </c>
      <c r="AE82" s="143">
        <v>0.5</v>
      </c>
      <c r="AF82" s="1" t="s">
        <v>511</v>
      </c>
      <c r="AG82" s="142">
        <v>21146</v>
      </c>
      <c r="AH82" s="142">
        <v>4229.2</v>
      </c>
      <c r="AI82" s="142">
        <v>4947</v>
      </c>
      <c r="AJ82" s="14" t="s">
        <v>2893</v>
      </c>
      <c r="AK82" s="142" t="s">
        <v>106</v>
      </c>
      <c r="AL82" s="80">
        <v>1</v>
      </c>
      <c r="AM82" s="1" t="s">
        <v>516</v>
      </c>
      <c r="AN82" s="80">
        <v>0</v>
      </c>
      <c r="AO82" s="1" t="s">
        <v>218</v>
      </c>
      <c r="AP82" s="143">
        <v>0.5</v>
      </c>
      <c r="AQ82" s="1" t="s">
        <v>511</v>
      </c>
      <c r="AR82" s="142">
        <v>19094</v>
      </c>
      <c r="AS82" s="142">
        <v>3818.8</v>
      </c>
      <c r="AT82" s="142">
        <v>4406</v>
      </c>
      <c r="AU82" s="4" t="s">
        <v>102</v>
      </c>
    </row>
    <row r="83" spans="1:47" x14ac:dyDescent="0.2">
      <c r="A83" s="174"/>
      <c r="B83" s="9" t="s">
        <v>80</v>
      </c>
      <c r="C83" s="1" t="s">
        <v>2892</v>
      </c>
      <c r="D83" s="142" t="s">
        <v>106</v>
      </c>
      <c r="E83" s="80">
        <v>0</v>
      </c>
      <c r="F83" s="1" t="s">
        <v>163</v>
      </c>
      <c r="G83" s="1" t="s">
        <v>164</v>
      </c>
      <c r="H83" s="1" t="s">
        <v>164</v>
      </c>
      <c r="I83" s="143">
        <v>0</v>
      </c>
      <c r="J83" s="1" t="s">
        <v>163</v>
      </c>
      <c r="K83" s="142">
        <v>0</v>
      </c>
      <c r="L83" s="142">
        <v>0</v>
      </c>
      <c r="M83" s="142">
        <v>0</v>
      </c>
      <c r="N83" s="14" t="s">
        <v>2891</v>
      </c>
      <c r="O83" s="142" t="s">
        <v>106</v>
      </c>
      <c r="P83" s="80">
        <v>0</v>
      </c>
      <c r="Q83" s="1" t="s">
        <v>163</v>
      </c>
      <c r="R83" s="1" t="s">
        <v>164</v>
      </c>
      <c r="S83" s="1" t="s">
        <v>164</v>
      </c>
      <c r="T83" s="143">
        <v>0</v>
      </c>
      <c r="U83" s="1" t="s">
        <v>163</v>
      </c>
      <c r="V83" s="142">
        <v>0</v>
      </c>
      <c r="W83" s="142">
        <v>0</v>
      </c>
      <c r="X83" s="142">
        <v>0</v>
      </c>
      <c r="Y83" s="14" t="s">
        <v>2890</v>
      </c>
      <c r="Z83" s="142" t="s">
        <v>106</v>
      </c>
      <c r="AA83" s="80">
        <v>0.5</v>
      </c>
      <c r="AB83" s="1" t="s">
        <v>511</v>
      </c>
      <c r="AC83" s="1" t="s">
        <v>164</v>
      </c>
      <c r="AD83" s="1" t="s">
        <v>164</v>
      </c>
      <c r="AE83" s="143">
        <v>0.5</v>
      </c>
      <c r="AF83" s="1" t="s">
        <v>511</v>
      </c>
      <c r="AG83" s="142">
        <v>21293</v>
      </c>
      <c r="AH83" s="142">
        <v>4258.6000000000004</v>
      </c>
      <c r="AI83" s="142">
        <v>5023</v>
      </c>
      <c r="AJ83" s="14" t="s">
        <v>2889</v>
      </c>
      <c r="AK83" s="142" t="s">
        <v>106</v>
      </c>
      <c r="AL83" s="80">
        <v>0.5</v>
      </c>
      <c r="AM83" s="1" t="s">
        <v>511</v>
      </c>
      <c r="AN83" s="1" t="s">
        <v>164</v>
      </c>
      <c r="AO83" s="1" t="s">
        <v>164</v>
      </c>
      <c r="AP83" s="143">
        <v>0.5</v>
      </c>
      <c r="AQ83" s="1" t="s">
        <v>511</v>
      </c>
      <c r="AR83" s="142">
        <v>20445</v>
      </c>
      <c r="AS83" s="142">
        <v>4089</v>
      </c>
      <c r="AT83" s="142">
        <v>4788</v>
      </c>
      <c r="AU83" s="4" t="s">
        <v>102</v>
      </c>
    </row>
    <row r="84" spans="1:47" x14ac:dyDescent="0.2">
      <c r="A84" s="174"/>
      <c r="B84" s="9" t="s">
        <v>81</v>
      </c>
      <c r="C84" s="1" t="s">
        <v>2888</v>
      </c>
      <c r="D84" s="142" t="s">
        <v>107</v>
      </c>
      <c r="E84" s="1" t="s">
        <v>164</v>
      </c>
      <c r="F84" s="1" t="s">
        <v>164</v>
      </c>
      <c r="G84" s="1" t="s">
        <v>164</v>
      </c>
      <c r="H84" s="1" t="s">
        <v>164</v>
      </c>
      <c r="I84" s="143">
        <v>0</v>
      </c>
      <c r="J84" s="1" t="s">
        <v>163</v>
      </c>
      <c r="K84" s="142">
        <v>0</v>
      </c>
      <c r="L84" s="142">
        <v>0</v>
      </c>
      <c r="M84" s="142">
        <v>0</v>
      </c>
      <c r="N84" s="14" t="s">
        <v>2887</v>
      </c>
      <c r="O84" s="142" t="s">
        <v>107</v>
      </c>
      <c r="P84" s="1" t="s">
        <v>164</v>
      </c>
      <c r="Q84" s="1" t="s">
        <v>164</v>
      </c>
      <c r="R84" s="1" t="s">
        <v>164</v>
      </c>
      <c r="S84" s="1" t="s">
        <v>164</v>
      </c>
      <c r="T84" s="143">
        <v>0</v>
      </c>
      <c r="U84" s="1" t="s">
        <v>163</v>
      </c>
      <c r="V84" s="142">
        <v>0</v>
      </c>
      <c r="W84" s="142">
        <v>0</v>
      </c>
      <c r="X84" s="142">
        <v>0</v>
      </c>
      <c r="Y84" s="14" t="s">
        <v>2886</v>
      </c>
      <c r="Z84" s="142" t="s">
        <v>106</v>
      </c>
      <c r="AA84" s="80">
        <v>0.8</v>
      </c>
      <c r="AB84" s="1" t="s">
        <v>506</v>
      </c>
      <c r="AC84" s="80">
        <v>0</v>
      </c>
      <c r="AD84" s="1" t="s">
        <v>218</v>
      </c>
      <c r="AE84" s="143">
        <v>0.4</v>
      </c>
      <c r="AF84" s="1" t="s">
        <v>501</v>
      </c>
      <c r="AG84" s="142">
        <v>16076</v>
      </c>
      <c r="AH84" s="142">
        <v>4019</v>
      </c>
      <c r="AI84" s="142">
        <v>4405</v>
      </c>
      <c r="AJ84" s="14" t="s">
        <v>2885</v>
      </c>
      <c r="AK84" s="142" t="s">
        <v>106</v>
      </c>
      <c r="AL84" s="80">
        <v>0.8</v>
      </c>
      <c r="AM84" s="1" t="s">
        <v>506</v>
      </c>
      <c r="AN84" s="80">
        <v>0</v>
      </c>
      <c r="AO84" s="1" t="s">
        <v>218</v>
      </c>
      <c r="AP84" s="143">
        <v>0.4</v>
      </c>
      <c r="AQ84" s="1" t="s">
        <v>501</v>
      </c>
      <c r="AR84" s="142">
        <v>15345</v>
      </c>
      <c r="AS84" s="142">
        <v>3836.25</v>
      </c>
      <c r="AT84" s="142">
        <v>4193.5</v>
      </c>
      <c r="AU84" s="4" t="s">
        <v>102</v>
      </c>
    </row>
    <row r="85" spans="1:47" x14ac:dyDescent="0.2">
      <c r="A85" s="174"/>
      <c r="B85" s="9" t="s">
        <v>82</v>
      </c>
      <c r="C85" s="1" t="s">
        <v>2884</v>
      </c>
      <c r="D85" s="142" t="s">
        <v>106</v>
      </c>
      <c r="E85" s="80">
        <v>0</v>
      </c>
      <c r="F85" s="1" t="s">
        <v>163</v>
      </c>
      <c r="G85" s="1" t="s">
        <v>164</v>
      </c>
      <c r="H85" s="1" t="s">
        <v>164</v>
      </c>
      <c r="I85" s="143">
        <v>0</v>
      </c>
      <c r="J85" s="1" t="s">
        <v>163</v>
      </c>
      <c r="K85" s="142">
        <v>0</v>
      </c>
      <c r="L85" s="142">
        <v>0</v>
      </c>
      <c r="M85" s="142">
        <v>0</v>
      </c>
      <c r="N85" s="14" t="s">
        <v>2883</v>
      </c>
      <c r="O85" s="142" t="s">
        <v>106</v>
      </c>
      <c r="P85" s="80">
        <v>0</v>
      </c>
      <c r="Q85" s="1" t="s">
        <v>163</v>
      </c>
      <c r="R85" s="1" t="s">
        <v>164</v>
      </c>
      <c r="S85" s="1" t="s">
        <v>164</v>
      </c>
      <c r="T85" s="143">
        <v>0</v>
      </c>
      <c r="U85" s="1" t="s">
        <v>163</v>
      </c>
      <c r="V85" s="142">
        <v>0</v>
      </c>
      <c r="W85" s="142">
        <v>0</v>
      </c>
      <c r="X85" s="142">
        <v>0</v>
      </c>
      <c r="Y85" s="14" t="s">
        <v>2882</v>
      </c>
      <c r="Z85" s="142" t="s">
        <v>106</v>
      </c>
      <c r="AA85" s="80">
        <v>0.1</v>
      </c>
      <c r="AB85" s="1" t="s">
        <v>1235</v>
      </c>
      <c r="AC85" s="1" t="s">
        <v>164</v>
      </c>
      <c r="AD85" s="1" t="s">
        <v>164</v>
      </c>
      <c r="AE85" s="143">
        <v>0.1</v>
      </c>
      <c r="AF85" s="1" t="s">
        <v>1235</v>
      </c>
      <c r="AG85" s="142">
        <v>2759</v>
      </c>
      <c r="AH85" s="142">
        <v>2759</v>
      </c>
      <c r="AI85" s="142">
        <v>2759</v>
      </c>
      <c r="AJ85" s="14" t="s">
        <v>2881</v>
      </c>
      <c r="AK85" s="142" t="s">
        <v>106</v>
      </c>
      <c r="AL85" s="80">
        <v>0.1</v>
      </c>
      <c r="AM85" s="1" t="s">
        <v>1235</v>
      </c>
      <c r="AN85" s="1" t="s">
        <v>164</v>
      </c>
      <c r="AO85" s="1" t="s">
        <v>164</v>
      </c>
      <c r="AP85" s="143">
        <v>0.1</v>
      </c>
      <c r="AQ85" s="1" t="s">
        <v>1235</v>
      </c>
      <c r="AR85" s="142">
        <v>2746</v>
      </c>
      <c r="AS85" s="142">
        <v>2746</v>
      </c>
      <c r="AT85" s="142">
        <v>2746</v>
      </c>
      <c r="AU85" s="4" t="s">
        <v>102</v>
      </c>
    </row>
    <row r="86" spans="1:47" x14ac:dyDescent="0.2">
      <c r="A86" s="174"/>
      <c r="B86" s="9" t="s">
        <v>83</v>
      </c>
      <c r="C86" s="1" t="s">
        <v>2880</v>
      </c>
      <c r="D86" s="142" t="s">
        <v>107</v>
      </c>
      <c r="E86" s="1" t="s">
        <v>164</v>
      </c>
      <c r="F86" s="1" t="s">
        <v>164</v>
      </c>
      <c r="G86" s="1" t="s">
        <v>164</v>
      </c>
      <c r="H86" s="1" t="s">
        <v>164</v>
      </c>
      <c r="I86" s="143">
        <v>0</v>
      </c>
      <c r="J86" s="1" t="s">
        <v>163</v>
      </c>
      <c r="K86" s="142">
        <v>0</v>
      </c>
      <c r="L86" s="142">
        <v>0</v>
      </c>
      <c r="M86" s="142">
        <v>0</v>
      </c>
      <c r="N86" s="14" t="s">
        <v>2879</v>
      </c>
      <c r="O86" s="142" t="s">
        <v>107</v>
      </c>
      <c r="P86" s="1" t="s">
        <v>164</v>
      </c>
      <c r="Q86" s="1" t="s">
        <v>164</v>
      </c>
      <c r="R86" s="1" t="s">
        <v>164</v>
      </c>
      <c r="S86" s="1" t="s">
        <v>164</v>
      </c>
      <c r="T86" s="143">
        <v>0</v>
      </c>
      <c r="U86" s="1" t="s">
        <v>163</v>
      </c>
      <c r="V86" s="142">
        <v>0</v>
      </c>
      <c r="W86" s="142">
        <v>0</v>
      </c>
      <c r="X86" s="142">
        <v>0</v>
      </c>
      <c r="Y86" s="14" t="s">
        <v>2878</v>
      </c>
      <c r="Z86" s="142" t="s">
        <v>106</v>
      </c>
      <c r="AA86" s="80">
        <v>1</v>
      </c>
      <c r="AB86" s="1" t="s">
        <v>516</v>
      </c>
      <c r="AC86" s="80">
        <v>0</v>
      </c>
      <c r="AD86" s="1" t="s">
        <v>218</v>
      </c>
      <c r="AE86" s="143">
        <v>0.5</v>
      </c>
      <c r="AF86" s="1" t="s">
        <v>511</v>
      </c>
      <c r="AG86" s="142">
        <v>16720</v>
      </c>
      <c r="AH86" s="142">
        <v>3344</v>
      </c>
      <c r="AI86" s="142">
        <v>2811</v>
      </c>
      <c r="AJ86" s="14" t="s">
        <v>2877</v>
      </c>
      <c r="AK86" s="142" t="s">
        <v>106</v>
      </c>
      <c r="AL86" s="80">
        <v>1</v>
      </c>
      <c r="AM86" s="1" t="s">
        <v>516</v>
      </c>
      <c r="AN86" s="80">
        <v>0</v>
      </c>
      <c r="AO86" s="1" t="s">
        <v>218</v>
      </c>
      <c r="AP86" s="143">
        <v>0.5</v>
      </c>
      <c r="AQ86" s="1" t="s">
        <v>511</v>
      </c>
      <c r="AR86" s="142">
        <v>16850</v>
      </c>
      <c r="AS86" s="142">
        <v>3370</v>
      </c>
      <c r="AT86" s="142">
        <v>2864</v>
      </c>
      <c r="AU86" s="4" t="s">
        <v>102</v>
      </c>
    </row>
    <row r="87" spans="1:47" x14ac:dyDescent="0.2">
      <c r="A87" s="174"/>
      <c r="B87" s="9" t="s">
        <v>84</v>
      </c>
      <c r="C87" s="1" t="s">
        <v>2876</v>
      </c>
      <c r="D87" s="142" t="s">
        <v>106</v>
      </c>
      <c r="E87" s="80">
        <v>0</v>
      </c>
      <c r="F87" s="1" t="s">
        <v>163</v>
      </c>
      <c r="G87" s="1" t="s">
        <v>164</v>
      </c>
      <c r="H87" s="1" t="s">
        <v>164</v>
      </c>
      <c r="I87" s="143">
        <v>0</v>
      </c>
      <c r="J87" s="1" t="s">
        <v>163</v>
      </c>
      <c r="K87" s="142">
        <v>0</v>
      </c>
      <c r="L87" s="142">
        <v>0</v>
      </c>
      <c r="M87" s="142">
        <v>0</v>
      </c>
      <c r="N87" s="14" t="s">
        <v>2875</v>
      </c>
      <c r="O87" s="142" t="s">
        <v>106</v>
      </c>
      <c r="P87" s="80">
        <v>0</v>
      </c>
      <c r="Q87" s="1" t="s">
        <v>163</v>
      </c>
      <c r="R87" s="1" t="s">
        <v>164</v>
      </c>
      <c r="S87" s="1" t="s">
        <v>164</v>
      </c>
      <c r="T87" s="143">
        <v>0</v>
      </c>
      <c r="U87" s="1" t="s">
        <v>163</v>
      </c>
      <c r="V87" s="142">
        <v>0</v>
      </c>
      <c r="W87" s="142">
        <v>0</v>
      </c>
      <c r="X87" s="142">
        <v>0</v>
      </c>
      <c r="Y87" s="14" t="s">
        <v>2874</v>
      </c>
      <c r="Z87" s="142" t="s">
        <v>106</v>
      </c>
      <c r="AA87" s="80">
        <v>0.3</v>
      </c>
      <c r="AB87" s="1" t="s">
        <v>1004</v>
      </c>
      <c r="AC87" s="1" t="s">
        <v>164</v>
      </c>
      <c r="AD87" s="1" t="s">
        <v>164</v>
      </c>
      <c r="AE87" s="143">
        <v>0.3</v>
      </c>
      <c r="AF87" s="1" t="s">
        <v>1004</v>
      </c>
      <c r="AG87" s="142">
        <v>8507</v>
      </c>
      <c r="AH87" s="142">
        <v>2835.67</v>
      </c>
      <c r="AI87" s="142">
        <v>2849</v>
      </c>
      <c r="AJ87" s="14" t="s">
        <v>2873</v>
      </c>
      <c r="AK87" s="142" t="s">
        <v>106</v>
      </c>
      <c r="AL87" s="80">
        <v>0.3</v>
      </c>
      <c r="AM87" s="1" t="s">
        <v>1004</v>
      </c>
      <c r="AN87" s="1" t="s">
        <v>164</v>
      </c>
      <c r="AO87" s="1" t="s">
        <v>164</v>
      </c>
      <c r="AP87" s="143">
        <v>0.3</v>
      </c>
      <c r="AQ87" s="1" t="s">
        <v>1004</v>
      </c>
      <c r="AR87" s="142">
        <v>8406</v>
      </c>
      <c r="AS87" s="142">
        <v>2802</v>
      </c>
      <c r="AT87" s="142">
        <v>2808</v>
      </c>
      <c r="AU87" s="4" t="s">
        <v>102</v>
      </c>
    </row>
    <row r="88" spans="1:47" x14ac:dyDescent="0.2">
      <c r="A88" s="174"/>
      <c r="B88" s="9" t="s">
        <v>85</v>
      </c>
      <c r="C88" s="1" t="s">
        <v>2872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2871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2870</v>
      </c>
      <c r="Z88" s="142" t="s">
        <v>106</v>
      </c>
      <c r="AA88" s="80">
        <v>0.4</v>
      </c>
      <c r="AB88" s="1" t="s">
        <v>974</v>
      </c>
      <c r="AC88" s="80">
        <v>0</v>
      </c>
      <c r="AD88" s="1" t="s">
        <v>218</v>
      </c>
      <c r="AE88" s="143">
        <v>0.2</v>
      </c>
      <c r="AF88" s="1" t="s">
        <v>930</v>
      </c>
      <c r="AG88" s="142">
        <v>5368</v>
      </c>
      <c r="AH88" s="142">
        <v>2684</v>
      </c>
      <c r="AI88" s="142">
        <v>2684</v>
      </c>
      <c r="AJ88" s="14" t="s">
        <v>2869</v>
      </c>
      <c r="AK88" s="142" t="s">
        <v>106</v>
      </c>
      <c r="AL88" s="80">
        <v>0.4</v>
      </c>
      <c r="AM88" s="1" t="s">
        <v>974</v>
      </c>
      <c r="AN88" s="80">
        <v>0</v>
      </c>
      <c r="AO88" s="1" t="s">
        <v>218</v>
      </c>
      <c r="AP88" s="143">
        <v>0.2</v>
      </c>
      <c r="AQ88" s="1" t="s">
        <v>930</v>
      </c>
      <c r="AR88" s="142">
        <v>5329</v>
      </c>
      <c r="AS88" s="142">
        <v>2664.5</v>
      </c>
      <c r="AT88" s="142">
        <v>2664.5</v>
      </c>
      <c r="AU88" s="4" t="s">
        <v>102</v>
      </c>
    </row>
    <row r="89" spans="1:47" x14ac:dyDescent="0.2">
      <c r="A89" s="174"/>
      <c r="B89" s="9" t="s">
        <v>86</v>
      </c>
      <c r="C89" s="1" t="s">
        <v>2868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4686</v>
      </c>
      <c r="L89" s="142">
        <v>4686</v>
      </c>
      <c r="M89" s="142">
        <v>4686</v>
      </c>
      <c r="N89" s="14" t="s">
        <v>2867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4385</v>
      </c>
      <c r="W89" s="142">
        <v>4385</v>
      </c>
      <c r="X89" s="142">
        <v>4385</v>
      </c>
      <c r="Y89" s="14" t="s">
        <v>2866</v>
      </c>
      <c r="Z89" s="142" t="s">
        <v>106</v>
      </c>
      <c r="AA89" s="80">
        <v>0.9</v>
      </c>
      <c r="AB89" s="1" t="s">
        <v>951</v>
      </c>
      <c r="AC89" s="1" t="s">
        <v>164</v>
      </c>
      <c r="AD89" s="1" t="s">
        <v>164</v>
      </c>
      <c r="AE89" s="143">
        <v>0.9</v>
      </c>
      <c r="AF89" s="1" t="s">
        <v>951</v>
      </c>
      <c r="AG89" s="142">
        <v>33256</v>
      </c>
      <c r="AH89" s="142">
        <v>3695.11</v>
      </c>
      <c r="AI89" s="142">
        <v>4415</v>
      </c>
      <c r="AJ89" s="14" t="s">
        <v>2865</v>
      </c>
      <c r="AK89" s="142" t="s">
        <v>106</v>
      </c>
      <c r="AL89" s="80">
        <v>0.9</v>
      </c>
      <c r="AM89" s="1" t="s">
        <v>951</v>
      </c>
      <c r="AN89" s="1" t="s">
        <v>164</v>
      </c>
      <c r="AO89" s="1" t="s">
        <v>164</v>
      </c>
      <c r="AP89" s="143">
        <v>0.9</v>
      </c>
      <c r="AQ89" s="1" t="s">
        <v>951</v>
      </c>
      <c r="AR89" s="142">
        <v>31655</v>
      </c>
      <c r="AS89" s="142">
        <v>3517.22</v>
      </c>
      <c r="AT89" s="142">
        <v>4139</v>
      </c>
      <c r="AU89" s="4" t="s">
        <v>102</v>
      </c>
    </row>
    <row r="90" spans="1:47" x14ac:dyDescent="0.2">
      <c r="A90" s="174"/>
      <c r="B90" s="9" t="s">
        <v>87</v>
      </c>
      <c r="C90" s="1" t="s">
        <v>2864</v>
      </c>
      <c r="D90" s="142" t="s">
        <v>106</v>
      </c>
      <c r="E90" s="80">
        <v>0</v>
      </c>
      <c r="F90" s="1" t="s">
        <v>169</v>
      </c>
      <c r="G90" s="80">
        <v>0</v>
      </c>
      <c r="H90" s="1" t="s">
        <v>163</v>
      </c>
      <c r="I90" s="143">
        <v>0</v>
      </c>
      <c r="J90" s="1" t="s">
        <v>163</v>
      </c>
      <c r="K90" s="142">
        <v>0</v>
      </c>
      <c r="L90" s="142">
        <v>0</v>
      </c>
      <c r="M90" s="142">
        <v>0</v>
      </c>
      <c r="N90" s="14" t="s">
        <v>2863</v>
      </c>
      <c r="O90" s="142" t="s">
        <v>106</v>
      </c>
      <c r="P90" s="80">
        <v>0</v>
      </c>
      <c r="Q90" s="1" t="s">
        <v>169</v>
      </c>
      <c r="R90" s="80">
        <v>0</v>
      </c>
      <c r="S90" s="1" t="s">
        <v>163</v>
      </c>
      <c r="T90" s="143">
        <v>0</v>
      </c>
      <c r="U90" s="1" t="s">
        <v>163</v>
      </c>
      <c r="V90" s="142">
        <v>0</v>
      </c>
      <c r="W90" s="142">
        <v>0</v>
      </c>
      <c r="X90" s="142">
        <v>0</v>
      </c>
      <c r="Y90" s="14" t="s">
        <v>2862</v>
      </c>
      <c r="Z90" s="142" t="s">
        <v>106</v>
      </c>
      <c r="AA90" s="80">
        <v>0</v>
      </c>
      <c r="AB90" s="1" t="s">
        <v>218</v>
      </c>
      <c r="AC90" s="80">
        <v>0</v>
      </c>
      <c r="AD90" s="1" t="s">
        <v>218</v>
      </c>
      <c r="AE90" s="143">
        <v>0</v>
      </c>
      <c r="AF90" s="1" t="s">
        <v>213</v>
      </c>
      <c r="AG90" s="142">
        <v>0</v>
      </c>
      <c r="AH90" s="142">
        <v>0</v>
      </c>
      <c r="AI90" s="142">
        <v>0</v>
      </c>
      <c r="AJ90" s="14" t="s">
        <v>2861</v>
      </c>
      <c r="AK90" s="142" t="s">
        <v>106</v>
      </c>
      <c r="AL90" s="80">
        <v>0</v>
      </c>
      <c r="AM90" s="1" t="s">
        <v>218</v>
      </c>
      <c r="AN90" s="80">
        <v>0</v>
      </c>
      <c r="AO90" s="1" t="s">
        <v>218</v>
      </c>
      <c r="AP90" s="143">
        <v>0</v>
      </c>
      <c r="AQ90" s="1" t="s">
        <v>213</v>
      </c>
      <c r="AR90" s="142">
        <v>0</v>
      </c>
      <c r="AS90" s="142">
        <v>0</v>
      </c>
      <c r="AT90" s="142">
        <v>0</v>
      </c>
      <c r="AU90" s="4" t="s">
        <v>98</v>
      </c>
    </row>
    <row r="91" spans="1:47" x14ac:dyDescent="0.2">
      <c r="A91" s="174"/>
      <c r="B91" s="9" t="s">
        <v>88</v>
      </c>
      <c r="C91" s="1" t="s">
        <v>2860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2859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2858</v>
      </c>
      <c r="Z91" s="142" t="s">
        <v>106</v>
      </c>
      <c r="AA91" s="80">
        <v>0</v>
      </c>
      <c r="AB91" s="1" t="s">
        <v>213</v>
      </c>
      <c r="AC91" s="1" t="s">
        <v>164</v>
      </c>
      <c r="AD91" s="1" t="s">
        <v>164</v>
      </c>
      <c r="AE91" s="143">
        <v>0</v>
      </c>
      <c r="AF91" s="1" t="s">
        <v>213</v>
      </c>
      <c r="AG91" s="142">
        <v>0</v>
      </c>
      <c r="AH91" s="142">
        <v>0</v>
      </c>
      <c r="AI91" s="142">
        <v>0</v>
      </c>
      <c r="AJ91" s="14" t="s">
        <v>2857</v>
      </c>
      <c r="AK91" s="142" t="s">
        <v>106</v>
      </c>
      <c r="AL91" s="80">
        <v>0</v>
      </c>
      <c r="AM91" s="1" t="s">
        <v>213</v>
      </c>
      <c r="AN91" s="1" t="s">
        <v>164</v>
      </c>
      <c r="AO91" s="1" t="s">
        <v>164</v>
      </c>
      <c r="AP91" s="143">
        <v>0</v>
      </c>
      <c r="AQ91" s="1" t="s">
        <v>213</v>
      </c>
      <c r="AR91" s="142">
        <v>0</v>
      </c>
      <c r="AS91" s="142">
        <v>0</v>
      </c>
      <c r="AT91" s="142">
        <v>0</v>
      </c>
      <c r="AU91" s="4" t="s">
        <v>98</v>
      </c>
    </row>
    <row r="92" spans="1:47" x14ac:dyDescent="0.2">
      <c r="A92" s="174"/>
      <c r="B92" s="9" t="s">
        <v>89</v>
      </c>
      <c r="C92" s="1" t="s">
        <v>2856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4895</v>
      </c>
      <c r="L92" s="142">
        <v>4895</v>
      </c>
      <c r="M92" s="142">
        <v>4895</v>
      </c>
      <c r="N92" s="14" t="s">
        <v>2855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3746</v>
      </c>
      <c r="W92" s="142">
        <v>3746</v>
      </c>
      <c r="X92" s="142">
        <v>3746</v>
      </c>
      <c r="Y92" s="14" t="s">
        <v>2854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38649</v>
      </c>
      <c r="AH92" s="142">
        <v>3864.9</v>
      </c>
      <c r="AI92" s="142">
        <v>3748</v>
      </c>
      <c r="AJ92" s="14" t="s">
        <v>2853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31895</v>
      </c>
      <c r="AS92" s="142">
        <v>3189.5</v>
      </c>
      <c r="AT92" s="142">
        <v>3209.5</v>
      </c>
    </row>
    <row r="93" spans="1:47" x14ac:dyDescent="0.2">
      <c r="A93" s="174"/>
      <c r="B93" s="9" t="s">
        <v>90</v>
      </c>
      <c r="C93" s="1" t="s">
        <v>2852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4549</v>
      </c>
      <c r="L93" s="142">
        <v>4549</v>
      </c>
      <c r="M93" s="142">
        <v>4549</v>
      </c>
      <c r="N93" s="14" t="s">
        <v>2851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4436</v>
      </c>
      <c r="W93" s="142">
        <v>4436</v>
      </c>
      <c r="X93" s="142">
        <v>4436</v>
      </c>
      <c r="Y93" s="14" t="s">
        <v>2850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32774</v>
      </c>
      <c r="AH93" s="142">
        <v>3277.4</v>
      </c>
      <c r="AI93" s="142">
        <v>2760.5</v>
      </c>
      <c r="AJ93" s="14" t="s">
        <v>2849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32317</v>
      </c>
      <c r="AS93" s="142">
        <v>3231.7</v>
      </c>
      <c r="AT93" s="142">
        <v>2735.5</v>
      </c>
    </row>
    <row r="94" spans="1:47" x14ac:dyDescent="0.2">
      <c r="A94" s="174"/>
      <c r="B94" s="9" t="s">
        <v>91</v>
      </c>
      <c r="C94" s="1" t="s">
        <v>2848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2847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5944</v>
      </c>
      <c r="W94" s="142">
        <v>5944</v>
      </c>
      <c r="X94" s="142">
        <v>5944</v>
      </c>
      <c r="Y94" s="14" t="s">
        <v>2846</v>
      </c>
      <c r="Z94" s="142" t="s">
        <v>107</v>
      </c>
      <c r="AA94" s="1" t="s">
        <v>164</v>
      </c>
      <c r="AB94" s="1" t="s">
        <v>164</v>
      </c>
      <c r="AC94" s="1" t="s">
        <v>164</v>
      </c>
      <c r="AD94" s="1" t="s">
        <v>164</v>
      </c>
      <c r="AE94" s="143">
        <v>0.1</v>
      </c>
      <c r="AF94" s="1" t="s">
        <v>1235</v>
      </c>
      <c r="AG94" s="142">
        <v>68560</v>
      </c>
      <c r="AH94" s="142">
        <v>68560</v>
      </c>
      <c r="AI94" s="142">
        <v>68560</v>
      </c>
      <c r="AJ94" s="14" t="s">
        <v>2845</v>
      </c>
      <c r="AK94" s="142" t="s">
        <v>107</v>
      </c>
      <c r="AL94" s="1" t="s">
        <v>164</v>
      </c>
      <c r="AM94" s="1" t="s">
        <v>164</v>
      </c>
      <c r="AN94" s="1" t="s">
        <v>164</v>
      </c>
      <c r="AO94" s="1" t="s">
        <v>164</v>
      </c>
      <c r="AP94" s="143">
        <v>0.4</v>
      </c>
      <c r="AQ94" s="1" t="s">
        <v>2844</v>
      </c>
      <c r="AR94" s="142">
        <v>60902</v>
      </c>
      <c r="AS94" s="142">
        <v>5075.17</v>
      </c>
      <c r="AT94" s="142">
        <v>4543.5</v>
      </c>
      <c r="AU94" s="4" t="s">
        <v>93</v>
      </c>
    </row>
    <row r="95" spans="1:47" s="5" customFormat="1" ht="21" thickBot="1" x14ac:dyDescent="0.25">
      <c r="A95" s="175"/>
      <c r="B95" s="11" t="s">
        <v>92</v>
      </c>
      <c r="C95" s="139" t="s">
        <v>2843</v>
      </c>
      <c r="D95" s="145" t="s">
        <v>106</v>
      </c>
      <c r="E95" s="146">
        <v>0</v>
      </c>
      <c r="F95" s="139" t="s">
        <v>163</v>
      </c>
      <c r="G95" s="139" t="s">
        <v>164</v>
      </c>
      <c r="H95" s="139" t="s">
        <v>164</v>
      </c>
      <c r="I95" s="147">
        <v>0</v>
      </c>
      <c r="J95" s="139" t="s">
        <v>163</v>
      </c>
      <c r="K95" s="145">
        <v>0</v>
      </c>
      <c r="L95" s="145">
        <v>0</v>
      </c>
      <c r="M95" s="145">
        <v>0</v>
      </c>
      <c r="N95" s="36" t="s">
        <v>2842</v>
      </c>
      <c r="O95" s="145" t="s">
        <v>106</v>
      </c>
      <c r="P95" s="146">
        <v>0.33329999999999999</v>
      </c>
      <c r="Q95" s="139" t="s">
        <v>932</v>
      </c>
      <c r="R95" s="139" t="s">
        <v>164</v>
      </c>
      <c r="S95" s="139" t="s">
        <v>164</v>
      </c>
      <c r="T95" s="147">
        <v>0.33329999999999999</v>
      </c>
      <c r="U95" s="139" t="s">
        <v>932</v>
      </c>
      <c r="V95" s="145">
        <v>5928</v>
      </c>
      <c r="W95" s="145">
        <v>5928</v>
      </c>
      <c r="X95" s="145">
        <v>5928</v>
      </c>
      <c r="Y95" s="36" t="s">
        <v>2841</v>
      </c>
      <c r="Z95" s="145" t="s">
        <v>106</v>
      </c>
      <c r="AA95" s="146">
        <v>1</v>
      </c>
      <c r="AB95" s="139" t="s">
        <v>529</v>
      </c>
      <c r="AC95" s="139" t="s">
        <v>164</v>
      </c>
      <c r="AD95" s="139" t="s">
        <v>164</v>
      </c>
      <c r="AE95" s="147">
        <v>1</v>
      </c>
      <c r="AF95" s="139" t="s">
        <v>529</v>
      </c>
      <c r="AG95" s="145">
        <v>200742</v>
      </c>
      <c r="AH95" s="145">
        <v>20074.2</v>
      </c>
      <c r="AI95" s="145">
        <v>7885</v>
      </c>
      <c r="AJ95" s="36" t="s">
        <v>2840</v>
      </c>
      <c r="AK95" s="145" t="s">
        <v>106</v>
      </c>
      <c r="AL95" s="146">
        <v>1</v>
      </c>
      <c r="AM95" s="139" t="s">
        <v>1724</v>
      </c>
      <c r="AN95" s="139" t="s">
        <v>164</v>
      </c>
      <c r="AO95" s="139" t="s">
        <v>164</v>
      </c>
      <c r="AP95" s="147">
        <v>1</v>
      </c>
      <c r="AQ95" s="139" t="s">
        <v>1724</v>
      </c>
      <c r="AR95" s="145">
        <v>318194</v>
      </c>
      <c r="AS95" s="145">
        <v>10606.47</v>
      </c>
      <c r="AT95" s="145">
        <v>6605.5</v>
      </c>
      <c r="AU95" s="46" t="s">
        <v>93</v>
      </c>
    </row>
    <row r="96" spans="1:47" ht="19.5" customHeight="1" x14ac:dyDescent="0.2">
      <c r="A96" s="168" t="s">
        <v>101</v>
      </c>
      <c r="B96" s="9" t="s">
        <v>10</v>
      </c>
      <c r="C96" s="1" t="s">
        <v>741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740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739</v>
      </c>
      <c r="Z96" s="142" t="s">
        <v>106</v>
      </c>
      <c r="AA96" s="80">
        <v>0</v>
      </c>
      <c r="AB96" s="1" t="s">
        <v>218</v>
      </c>
      <c r="AC96" s="80">
        <v>1</v>
      </c>
      <c r="AD96" s="1" t="s">
        <v>516</v>
      </c>
      <c r="AE96" s="143">
        <v>0.5</v>
      </c>
      <c r="AF96" s="1" t="s">
        <v>511</v>
      </c>
      <c r="AG96" s="142">
        <v>29859</v>
      </c>
      <c r="AH96" s="142">
        <v>5971.8</v>
      </c>
      <c r="AI96" s="142">
        <v>6030</v>
      </c>
      <c r="AJ96" s="14" t="s">
        <v>738</v>
      </c>
      <c r="AK96" s="142" t="s">
        <v>106</v>
      </c>
      <c r="AL96" s="80">
        <v>0</v>
      </c>
      <c r="AM96" s="1" t="s">
        <v>218</v>
      </c>
      <c r="AN96" s="80">
        <v>1</v>
      </c>
      <c r="AO96" s="1" t="s">
        <v>516</v>
      </c>
      <c r="AP96" s="143">
        <v>0.5</v>
      </c>
      <c r="AQ96" s="1" t="s">
        <v>511</v>
      </c>
      <c r="AR96" s="142">
        <v>29906</v>
      </c>
      <c r="AS96" s="142">
        <v>5981.2</v>
      </c>
      <c r="AT96" s="142">
        <v>5974</v>
      </c>
      <c r="AU96" s="4" t="s">
        <v>96</v>
      </c>
    </row>
    <row r="97" spans="1:47" x14ac:dyDescent="0.2">
      <c r="A97" s="168"/>
      <c r="B97" s="9" t="s">
        <v>11</v>
      </c>
      <c r="C97" s="1" t="s">
        <v>737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736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735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734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8"/>
      <c r="B98" s="9" t="s">
        <v>22</v>
      </c>
      <c r="C98" s="1" t="s">
        <v>733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732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731</v>
      </c>
      <c r="Z98" s="142" t="s">
        <v>106</v>
      </c>
      <c r="AA98" s="80">
        <v>1</v>
      </c>
      <c r="AB98" s="1" t="s">
        <v>516</v>
      </c>
      <c r="AC98" s="80">
        <v>1</v>
      </c>
      <c r="AD98" s="1" t="s">
        <v>516</v>
      </c>
      <c r="AE98" s="143">
        <v>1</v>
      </c>
      <c r="AF98" s="1" t="s">
        <v>529</v>
      </c>
      <c r="AG98" s="142">
        <v>51789</v>
      </c>
      <c r="AH98" s="142">
        <v>5178.8999999999996</v>
      </c>
      <c r="AI98" s="142">
        <v>4927</v>
      </c>
      <c r="AJ98" s="14" t="s">
        <v>730</v>
      </c>
      <c r="AK98" s="142" t="s">
        <v>106</v>
      </c>
      <c r="AL98" s="80">
        <v>1</v>
      </c>
      <c r="AM98" s="1" t="s">
        <v>516</v>
      </c>
      <c r="AN98" s="80">
        <v>1</v>
      </c>
      <c r="AO98" s="1" t="s">
        <v>516</v>
      </c>
      <c r="AP98" s="143">
        <v>1</v>
      </c>
      <c r="AQ98" s="1" t="s">
        <v>529</v>
      </c>
      <c r="AR98" s="142">
        <v>50766</v>
      </c>
      <c r="AS98" s="142">
        <v>5076.6000000000004</v>
      </c>
      <c r="AT98" s="142">
        <v>4794.5</v>
      </c>
      <c r="AU98" s="4" t="s">
        <v>96</v>
      </c>
    </row>
    <row r="99" spans="1:47" x14ac:dyDescent="0.2">
      <c r="A99" s="168"/>
      <c r="B99" s="9" t="s">
        <v>23</v>
      </c>
      <c r="C99" s="1" t="s">
        <v>729</v>
      </c>
      <c r="D99" s="142" t="s">
        <v>106</v>
      </c>
      <c r="E99" s="80">
        <v>1</v>
      </c>
      <c r="F99" s="1" t="s">
        <v>452</v>
      </c>
      <c r="G99" s="1" t="s">
        <v>164</v>
      </c>
      <c r="H99" s="1" t="s">
        <v>164</v>
      </c>
      <c r="I99" s="143">
        <v>1</v>
      </c>
      <c r="J99" s="1" t="s">
        <v>452</v>
      </c>
      <c r="K99" s="142">
        <v>4456</v>
      </c>
      <c r="L99" s="142">
        <v>4456</v>
      </c>
      <c r="M99" s="142">
        <v>4456</v>
      </c>
      <c r="N99" s="14" t="s">
        <v>728</v>
      </c>
      <c r="O99" s="142" t="s">
        <v>106</v>
      </c>
      <c r="P99" s="80">
        <v>1</v>
      </c>
      <c r="Q99" s="1" t="s">
        <v>452</v>
      </c>
      <c r="R99" s="1" t="s">
        <v>164</v>
      </c>
      <c r="S99" s="1" t="s">
        <v>164</v>
      </c>
      <c r="T99" s="143">
        <v>1</v>
      </c>
      <c r="U99" s="1" t="s">
        <v>452</v>
      </c>
      <c r="V99" s="142">
        <v>4468</v>
      </c>
      <c r="W99" s="142">
        <v>4468</v>
      </c>
      <c r="X99" s="142">
        <v>4468</v>
      </c>
      <c r="Y99" s="14" t="s">
        <v>727</v>
      </c>
      <c r="Z99" s="142" t="s">
        <v>106</v>
      </c>
      <c r="AA99" s="80">
        <v>1</v>
      </c>
      <c r="AB99" s="1" t="s">
        <v>529</v>
      </c>
      <c r="AC99" s="1" t="s">
        <v>164</v>
      </c>
      <c r="AD99" s="1" t="s">
        <v>164</v>
      </c>
      <c r="AE99" s="143">
        <v>1</v>
      </c>
      <c r="AF99" s="1" t="s">
        <v>529</v>
      </c>
      <c r="AG99" s="142">
        <v>39400</v>
      </c>
      <c r="AH99" s="142">
        <v>3940</v>
      </c>
      <c r="AI99" s="142">
        <v>3957.5</v>
      </c>
      <c r="AJ99" s="14" t="s">
        <v>726</v>
      </c>
      <c r="AK99" s="142" t="s">
        <v>106</v>
      </c>
      <c r="AL99" s="80">
        <v>1</v>
      </c>
      <c r="AM99" s="1" t="s">
        <v>529</v>
      </c>
      <c r="AN99" s="1" t="s">
        <v>164</v>
      </c>
      <c r="AO99" s="1" t="s">
        <v>164</v>
      </c>
      <c r="AP99" s="143">
        <v>1</v>
      </c>
      <c r="AQ99" s="1" t="s">
        <v>529</v>
      </c>
      <c r="AR99" s="142">
        <v>39465</v>
      </c>
      <c r="AS99" s="142">
        <v>3946.5</v>
      </c>
      <c r="AT99" s="142">
        <v>3928</v>
      </c>
      <c r="AU99" s="4" t="s">
        <v>96</v>
      </c>
    </row>
    <row r="100" spans="1:47" x14ac:dyDescent="0.2">
      <c r="A100" s="168"/>
      <c r="B100" s="9" t="s">
        <v>24</v>
      </c>
      <c r="C100" s="1" t="s">
        <v>725</v>
      </c>
      <c r="D100" s="142" t="s">
        <v>106</v>
      </c>
      <c r="E100" s="80">
        <v>0</v>
      </c>
      <c r="F100" s="1" t="s">
        <v>169</v>
      </c>
      <c r="G100" s="80">
        <v>1</v>
      </c>
      <c r="H100" s="1" t="s">
        <v>452</v>
      </c>
      <c r="I100" s="143">
        <v>1</v>
      </c>
      <c r="J100" s="1" t="s">
        <v>452</v>
      </c>
      <c r="K100" s="142">
        <v>10956</v>
      </c>
      <c r="L100" s="142">
        <v>10956</v>
      </c>
      <c r="M100" s="142">
        <v>10956</v>
      </c>
      <c r="N100" s="14" t="s">
        <v>724</v>
      </c>
      <c r="O100" s="142" t="s">
        <v>106</v>
      </c>
      <c r="P100" s="80">
        <v>0</v>
      </c>
      <c r="Q100" s="1" t="s">
        <v>169</v>
      </c>
      <c r="R100" s="80">
        <v>1</v>
      </c>
      <c r="S100" s="1" t="s">
        <v>452</v>
      </c>
      <c r="T100" s="143">
        <v>1</v>
      </c>
      <c r="U100" s="1" t="s">
        <v>452</v>
      </c>
      <c r="V100" s="142">
        <v>10587</v>
      </c>
      <c r="W100" s="142">
        <v>10587</v>
      </c>
      <c r="X100" s="142">
        <v>10587</v>
      </c>
      <c r="Y100" s="14" t="s">
        <v>723</v>
      </c>
      <c r="Z100" s="142" t="s">
        <v>106</v>
      </c>
      <c r="AA100" s="80">
        <v>0</v>
      </c>
      <c r="AB100" s="1" t="s">
        <v>169</v>
      </c>
      <c r="AC100" s="80">
        <v>1</v>
      </c>
      <c r="AD100" s="1" t="s">
        <v>529</v>
      </c>
      <c r="AE100" s="143">
        <v>1</v>
      </c>
      <c r="AF100" s="1" t="s">
        <v>529</v>
      </c>
      <c r="AG100" s="142">
        <v>101525</v>
      </c>
      <c r="AH100" s="142">
        <v>10152.5</v>
      </c>
      <c r="AI100" s="142">
        <v>10118</v>
      </c>
      <c r="AJ100" s="14" t="s">
        <v>722</v>
      </c>
      <c r="AK100" s="142" t="s">
        <v>106</v>
      </c>
      <c r="AL100" s="80">
        <v>0</v>
      </c>
      <c r="AM100" s="1" t="s">
        <v>169</v>
      </c>
      <c r="AN100" s="80">
        <v>1</v>
      </c>
      <c r="AO100" s="1" t="s">
        <v>529</v>
      </c>
      <c r="AP100" s="143">
        <v>1</v>
      </c>
      <c r="AQ100" s="1" t="s">
        <v>529</v>
      </c>
      <c r="AR100" s="142">
        <v>102576</v>
      </c>
      <c r="AS100" s="142">
        <v>10257.6</v>
      </c>
      <c r="AT100" s="142">
        <v>10287.5</v>
      </c>
      <c r="AU100" s="4" t="s">
        <v>96</v>
      </c>
    </row>
    <row r="101" spans="1:47" x14ac:dyDescent="0.2">
      <c r="A101" s="168"/>
      <c r="B101" s="9" t="s">
        <v>25</v>
      </c>
      <c r="C101" s="1" t="s">
        <v>721</v>
      </c>
      <c r="D101" s="142" t="s">
        <v>106</v>
      </c>
      <c r="E101" s="80">
        <v>0</v>
      </c>
      <c r="F101" s="1" t="s">
        <v>163</v>
      </c>
      <c r="G101" s="1" t="s">
        <v>164</v>
      </c>
      <c r="H101" s="1" t="s">
        <v>164</v>
      </c>
      <c r="I101" s="143">
        <v>0</v>
      </c>
      <c r="J101" s="1" t="s">
        <v>163</v>
      </c>
      <c r="K101" s="142">
        <v>0</v>
      </c>
      <c r="L101" s="142">
        <v>0</v>
      </c>
      <c r="M101" s="142">
        <v>0</v>
      </c>
      <c r="N101" s="14" t="s">
        <v>720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719</v>
      </c>
      <c r="Z101" s="142" t="s">
        <v>106</v>
      </c>
      <c r="AA101" s="80">
        <v>0</v>
      </c>
      <c r="AB101" s="1" t="s">
        <v>213</v>
      </c>
      <c r="AC101" s="1" t="s">
        <v>164</v>
      </c>
      <c r="AD101" s="1" t="s">
        <v>164</v>
      </c>
      <c r="AE101" s="143">
        <v>0</v>
      </c>
      <c r="AF101" s="1" t="s">
        <v>213</v>
      </c>
      <c r="AG101" s="142">
        <v>0</v>
      </c>
      <c r="AH101" s="142">
        <v>0</v>
      </c>
      <c r="AI101" s="142">
        <v>0</v>
      </c>
      <c r="AJ101" s="14" t="s">
        <v>718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2">
        <v>0</v>
      </c>
      <c r="AU101" s="4" t="s">
        <v>96</v>
      </c>
    </row>
    <row r="102" spans="1:47" x14ac:dyDescent="0.2">
      <c r="A102" s="168"/>
      <c r="B102" s="9" t="s">
        <v>130</v>
      </c>
      <c r="C102" s="1" t="s">
        <v>717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716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715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714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8"/>
      <c r="B103" s="9" t="s">
        <v>131</v>
      </c>
      <c r="C103" s="1" t="s">
        <v>713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712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711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710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8"/>
      <c r="B104" s="9" t="s">
        <v>33</v>
      </c>
      <c r="C104" s="1" t="s">
        <v>709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708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707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706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2">
        <v>0</v>
      </c>
      <c r="AU104" s="4" t="s">
        <v>96</v>
      </c>
    </row>
    <row r="105" spans="1:47" x14ac:dyDescent="0.2">
      <c r="A105" s="168"/>
      <c r="B105" s="9" t="s">
        <v>34</v>
      </c>
      <c r="C105" s="1" t="s">
        <v>705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704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703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702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2">
        <v>0</v>
      </c>
      <c r="AU105" s="4" t="s">
        <v>96</v>
      </c>
    </row>
    <row r="106" spans="1:47" x14ac:dyDescent="0.2">
      <c r="A106" s="168"/>
      <c r="B106" s="9" t="s">
        <v>132</v>
      </c>
      <c r="C106" s="1" t="s">
        <v>701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700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699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698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8"/>
      <c r="B107" s="9" t="s">
        <v>133</v>
      </c>
      <c r="C107" s="1" t="s">
        <v>697</v>
      </c>
      <c r="D107" s="142" t="s">
        <v>106</v>
      </c>
      <c r="E107" s="80">
        <v>1</v>
      </c>
      <c r="F107" s="1" t="s">
        <v>452</v>
      </c>
      <c r="G107" s="1" t="s">
        <v>164</v>
      </c>
      <c r="H107" s="1" t="s">
        <v>164</v>
      </c>
      <c r="I107" s="143">
        <v>1</v>
      </c>
      <c r="J107" s="1" t="s">
        <v>452</v>
      </c>
      <c r="K107" s="142">
        <v>7424</v>
      </c>
      <c r="L107" s="142">
        <v>7424</v>
      </c>
      <c r="M107" s="142">
        <v>7424</v>
      </c>
      <c r="N107" s="14" t="s">
        <v>696</v>
      </c>
      <c r="O107" s="142" t="s">
        <v>106</v>
      </c>
      <c r="P107" s="80">
        <v>1</v>
      </c>
      <c r="Q107" s="1" t="s">
        <v>452</v>
      </c>
      <c r="R107" s="1" t="s">
        <v>164</v>
      </c>
      <c r="S107" s="1" t="s">
        <v>164</v>
      </c>
      <c r="T107" s="143">
        <v>1</v>
      </c>
      <c r="U107" s="1" t="s">
        <v>452</v>
      </c>
      <c r="V107" s="142">
        <v>7466</v>
      </c>
      <c r="W107" s="142">
        <v>7466</v>
      </c>
      <c r="X107" s="142">
        <v>7466</v>
      </c>
      <c r="Y107" s="14" t="s">
        <v>695</v>
      </c>
      <c r="Z107" s="142" t="s">
        <v>106</v>
      </c>
      <c r="AA107" s="80">
        <v>1</v>
      </c>
      <c r="AB107" s="1" t="s">
        <v>529</v>
      </c>
      <c r="AC107" s="1" t="s">
        <v>164</v>
      </c>
      <c r="AD107" s="1" t="s">
        <v>164</v>
      </c>
      <c r="AE107" s="143">
        <v>1</v>
      </c>
      <c r="AF107" s="1" t="s">
        <v>529</v>
      </c>
      <c r="AG107" s="142">
        <v>52994</v>
      </c>
      <c r="AH107" s="142">
        <v>5299.4</v>
      </c>
      <c r="AI107" s="142">
        <v>5210</v>
      </c>
      <c r="AJ107" s="14" t="s">
        <v>694</v>
      </c>
      <c r="AK107" s="142" t="s">
        <v>106</v>
      </c>
      <c r="AL107" s="80">
        <v>1</v>
      </c>
      <c r="AM107" s="1" t="s">
        <v>529</v>
      </c>
      <c r="AN107" s="1" t="s">
        <v>164</v>
      </c>
      <c r="AO107" s="1" t="s">
        <v>164</v>
      </c>
      <c r="AP107" s="143">
        <v>1</v>
      </c>
      <c r="AQ107" s="1" t="s">
        <v>529</v>
      </c>
      <c r="AR107" s="142">
        <v>52157</v>
      </c>
      <c r="AS107" s="142">
        <v>5215.7</v>
      </c>
      <c r="AT107" s="142">
        <v>5251</v>
      </c>
      <c r="AU107" s="4" t="s">
        <v>96</v>
      </c>
    </row>
    <row r="108" spans="1:47" x14ac:dyDescent="0.2">
      <c r="A108" s="168"/>
      <c r="B108" s="9" t="s">
        <v>134</v>
      </c>
      <c r="C108" s="1" t="s">
        <v>693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692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691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690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8"/>
      <c r="B109" s="9" t="s">
        <v>135</v>
      </c>
      <c r="C109" s="1" t="s">
        <v>689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688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687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686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8"/>
      <c r="B110" s="9" t="s">
        <v>60</v>
      </c>
      <c r="C110" s="1" t="s">
        <v>685</v>
      </c>
      <c r="D110" s="142" t="s">
        <v>106</v>
      </c>
      <c r="E110" s="80">
        <v>0</v>
      </c>
      <c r="F110" s="1" t="s">
        <v>169</v>
      </c>
      <c r="G110" s="80">
        <v>1</v>
      </c>
      <c r="H110" s="1" t="s">
        <v>452</v>
      </c>
      <c r="I110" s="143">
        <v>1</v>
      </c>
      <c r="J110" s="1" t="s">
        <v>452</v>
      </c>
      <c r="K110" s="142">
        <v>5145</v>
      </c>
      <c r="L110" s="142">
        <v>5145</v>
      </c>
      <c r="M110" s="142">
        <v>5145</v>
      </c>
      <c r="N110" s="14" t="s">
        <v>684</v>
      </c>
      <c r="O110" s="142" t="s">
        <v>106</v>
      </c>
      <c r="P110" s="80">
        <v>0</v>
      </c>
      <c r="Q110" s="1" t="s">
        <v>169</v>
      </c>
      <c r="R110" s="80">
        <v>1</v>
      </c>
      <c r="S110" s="1" t="s">
        <v>452</v>
      </c>
      <c r="T110" s="143">
        <v>1</v>
      </c>
      <c r="U110" s="1" t="s">
        <v>452</v>
      </c>
      <c r="V110" s="142">
        <v>4849</v>
      </c>
      <c r="W110" s="142">
        <v>4849</v>
      </c>
      <c r="X110" s="142">
        <v>4849</v>
      </c>
      <c r="Y110" s="14" t="s">
        <v>683</v>
      </c>
      <c r="Z110" s="142" t="s">
        <v>106</v>
      </c>
      <c r="AA110" s="80">
        <v>0</v>
      </c>
      <c r="AB110" s="1" t="s">
        <v>169</v>
      </c>
      <c r="AC110" s="80">
        <v>1</v>
      </c>
      <c r="AD110" s="1" t="s">
        <v>452</v>
      </c>
      <c r="AE110" s="143">
        <v>1</v>
      </c>
      <c r="AF110" s="1" t="s">
        <v>452</v>
      </c>
      <c r="AG110" s="142">
        <v>4518</v>
      </c>
      <c r="AH110" s="142">
        <v>4518</v>
      </c>
      <c r="AI110" s="142">
        <v>4518</v>
      </c>
      <c r="AJ110" s="14" t="s">
        <v>682</v>
      </c>
      <c r="AK110" s="142" t="s">
        <v>106</v>
      </c>
      <c r="AL110" s="80">
        <v>0</v>
      </c>
      <c r="AM110" s="1" t="s">
        <v>169</v>
      </c>
      <c r="AN110" s="80">
        <v>1</v>
      </c>
      <c r="AO110" s="1" t="s">
        <v>452</v>
      </c>
      <c r="AP110" s="143">
        <v>1</v>
      </c>
      <c r="AQ110" s="1" t="s">
        <v>452</v>
      </c>
      <c r="AR110" s="142">
        <v>4957</v>
      </c>
      <c r="AS110" s="142">
        <v>4957</v>
      </c>
      <c r="AT110" s="142">
        <v>4957</v>
      </c>
      <c r="AU110" s="4" t="s">
        <v>96</v>
      </c>
    </row>
    <row r="111" spans="1:47" x14ac:dyDescent="0.2">
      <c r="A111" s="168"/>
      <c r="B111" s="9" t="s">
        <v>61</v>
      </c>
      <c r="C111" s="1" t="s">
        <v>681</v>
      </c>
      <c r="D111" s="142" t="s">
        <v>106</v>
      </c>
      <c r="E111" s="80">
        <v>1</v>
      </c>
      <c r="F111" s="1" t="s">
        <v>452</v>
      </c>
      <c r="G111" s="1" t="s">
        <v>164</v>
      </c>
      <c r="H111" s="1" t="s">
        <v>164</v>
      </c>
      <c r="I111" s="143">
        <v>1</v>
      </c>
      <c r="J111" s="1" t="s">
        <v>452</v>
      </c>
      <c r="K111" s="142">
        <v>3119</v>
      </c>
      <c r="L111" s="142">
        <v>3119</v>
      </c>
      <c r="M111" s="142">
        <v>3119</v>
      </c>
      <c r="N111" s="14" t="s">
        <v>680</v>
      </c>
      <c r="O111" s="142" t="s">
        <v>106</v>
      </c>
      <c r="P111" s="80">
        <v>1</v>
      </c>
      <c r="Q111" s="1" t="s">
        <v>452</v>
      </c>
      <c r="R111" s="1" t="s">
        <v>164</v>
      </c>
      <c r="S111" s="1" t="s">
        <v>164</v>
      </c>
      <c r="T111" s="143">
        <v>1</v>
      </c>
      <c r="U111" s="1" t="s">
        <v>452</v>
      </c>
      <c r="V111" s="142">
        <v>3179</v>
      </c>
      <c r="W111" s="142">
        <v>3179</v>
      </c>
      <c r="X111" s="142">
        <v>3179</v>
      </c>
      <c r="Y111" s="14" t="s">
        <v>679</v>
      </c>
      <c r="Z111" s="142" t="s">
        <v>106</v>
      </c>
      <c r="AA111" s="80">
        <v>1</v>
      </c>
      <c r="AB111" s="1" t="s">
        <v>452</v>
      </c>
      <c r="AC111" s="1" t="s">
        <v>164</v>
      </c>
      <c r="AD111" s="1" t="s">
        <v>164</v>
      </c>
      <c r="AE111" s="143">
        <v>1</v>
      </c>
      <c r="AF111" s="1" t="s">
        <v>452</v>
      </c>
      <c r="AG111" s="142">
        <v>3037</v>
      </c>
      <c r="AH111" s="142">
        <v>3037</v>
      </c>
      <c r="AI111" s="142">
        <v>3037</v>
      </c>
      <c r="AJ111" s="14" t="s">
        <v>678</v>
      </c>
      <c r="AK111" s="142" t="s">
        <v>106</v>
      </c>
      <c r="AL111" s="80">
        <v>1</v>
      </c>
      <c r="AM111" s="1" t="s">
        <v>452</v>
      </c>
      <c r="AN111" s="1" t="s">
        <v>164</v>
      </c>
      <c r="AO111" s="1" t="s">
        <v>164</v>
      </c>
      <c r="AP111" s="143">
        <v>1</v>
      </c>
      <c r="AQ111" s="1" t="s">
        <v>452</v>
      </c>
      <c r="AR111" s="142">
        <v>3087</v>
      </c>
      <c r="AS111" s="142">
        <v>3087</v>
      </c>
      <c r="AT111" s="142">
        <v>3087</v>
      </c>
      <c r="AU111" s="4" t="s">
        <v>96</v>
      </c>
    </row>
    <row r="112" spans="1:47" x14ac:dyDescent="0.2">
      <c r="A112" s="168"/>
      <c r="B112" s="9" t="s">
        <v>136</v>
      </c>
      <c r="C112" s="1" t="s">
        <v>677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676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675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674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8"/>
      <c r="B113" s="9" t="s">
        <v>137</v>
      </c>
      <c r="C113" s="1" t="s">
        <v>673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672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671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670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8"/>
      <c r="B114" s="9" t="s">
        <v>138</v>
      </c>
      <c r="C114" s="1" t="s">
        <v>669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668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667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666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8"/>
      <c r="B115" s="9" t="s">
        <v>139</v>
      </c>
      <c r="C115" s="1" t="s">
        <v>665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664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663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662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8"/>
      <c r="B116" s="9" t="s">
        <v>140</v>
      </c>
      <c r="C116" s="1" t="s">
        <v>661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660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659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658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8"/>
      <c r="B117" s="9" t="s">
        <v>141</v>
      </c>
      <c r="C117" s="1" t="s">
        <v>657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656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655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654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8"/>
      <c r="B118" s="9" t="s">
        <v>142</v>
      </c>
      <c r="C118" s="1" t="s">
        <v>653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652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651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650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8"/>
      <c r="B119" s="9" t="s">
        <v>143</v>
      </c>
      <c r="C119" s="1" t="s">
        <v>649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648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647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646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A96:A119"/>
    <mergeCell ref="A1:A2"/>
    <mergeCell ref="B1:B2"/>
    <mergeCell ref="C1:M1"/>
    <mergeCell ref="N1:X1"/>
    <mergeCell ref="A3:A95"/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2DB3-50AD-4497-B6BA-4C6DFAAA2F34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9"/>
      <c r="B1" s="171" t="s">
        <v>95</v>
      </c>
      <c r="C1" s="163" t="s">
        <v>114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3" t="s">
        <v>115</v>
      </c>
      <c r="O1" s="164"/>
      <c r="P1" s="164"/>
      <c r="Q1" s="164"/>
      <c r="R1" s="164"/>
      <c r="S1" s="164"/>
      <c r="T1" s="164"/>
      <c r="U1" s="164"/>
      <c r="V1" s="164"/>
      <c r="W1" s="164"/>
      <c r="X1" s="165"/>
      <c r="Y1" s="163" t="s">
        <v>152</v>
      </c>
      <c r="Z1" s="164"/>
      <c r="AA1" s="164"/>
      <c r="AB1" s="164"/>
      <c r="AC1" s="164"/>
      <c r="AD1" s="164"/>
      <c r="AE1" s="164"/>
      <c r="AF1" s="164"/>
      <c r="AG1" s="164"/>
      <c r="AH1" s="164"/>
      <c r="AI1" s="165"/>
      <c r="AJ1" s="163" t="s">
        <v>153</v>
      </c>
      <c r="AK1" s="164"/>
      <c r="AL1" s="164"/>
      <c r="AM1" s="164"/>
      <c r="AN1" s="164"/>
      <c r="AO1" s="164"/>
      <c r="AP1" s="164"/>
      <c r="AQ1" s="164"/>
      <c r="AR1" s="164"/>
      <c r="AS1" s="164"/>
      <c r="AT1" s="165"/>
      <c r="AU1" s="66"/>
    </row>
    <row r="2" spans="1:47" s="5" customFormat="1" ht="21" thickBot="1" x14ac:dyDescent="0.25">
      <c r="A2" s="170"/>
      <c r="B2" s="172"/>
      <c r="C2" s="66" t="s">
        <v>154</v>
      </c>
      <c r="D2" s="166" t="s">
        <v>158</v>
      </c>
      <c r="E2" s="167"/>
      <c r="F2" s="167"/>
      <c r="G2" s="167"/>
      <c r="H2" s="167"/>
      <c r="I2" s="166" t="s">
        <v>159</v>
      </c>
      <c r="J2" s="167"/>
      <c r="K2" s="68" t="s">
        <v>157</v>
      </c>
      <c r="L2" s="77" t="s">
        <v>156</v>
      </c>
      <c r="M2" s="68" t="s">
        <v>155</v>
      </c>
      <c r="N2" s="66" t="s">
        <v>154</v>
      </c>
      <c r="O2" s="166" t="s">
        <v>158</v>
      </c>
      <c r="P2" s="167"/>
      <c r="Q2" s="167"/>
      <c r="R2" s="167"/>
      <c r="S2" s="167"/>
      <c r="T2" s="166" t="s">
        <v>159</v>
      </c>
      <c r="U2" s="167"/>
      <c r="V2" s="68" t="s">
        <v>157</v>
      </c>
      <c r="W2" s="68" t="s">
        <v>156</v>
      </c>
      <c r="X2" s="68" t="s">
        <v>155</v>
      </c>
      <c r="Y2" s="66" t="s">
        <v>154</v>
      </c>
      <c r="Z2" s="166" t="s">
        <v>158</v>
      </c>
      <c r="AA2" s="167"/>
      <c r="AB2" s="167"/>
      <c r="AC2" s="167"/>
      <c r="AD2" s="167"/>
      <c r="AE2" s="166" t="s">
        <v>159</v>
      </c>
      <c r="AF2" s="167"/>
      <c r="AG2" s="68" t="s">
        <v>157</v>
      </c>
      <c r="AH2" s="68" t="s">
        <v>156</v>
      </c>
      <c r="AI2" s="68" t="s">
        <v>155</v>
      </c>
      <c r="AJ2" s="66" t="s">
        <v>154</v>
      </c>
      <c r="AK2" s="166" t="s">
        <v>158</v>
      </c>
      <c r="AL2" s="167"/>
      <c r="AM2" s="167"/>
      <c r="AN2" s="167"/>
      <c r="AO2" s="167"/>
      <c r="AP2" s="166" t="s">
        <v>159</v>
      </c>
      <c r="AQ2" s="167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3" t="s">
        <v>100</v>
      </c>
      <c r="B3" s="9" t="s">
        <v>0</v>
      </c>
      <c r="C3" s="1" t="s">
        <v>3591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5279</v>
      </c>
      <c r="L3" s="142">
        <v>5279</v>
      </c>
      <c r="M3" s="142">
        <v>5279</v>
      </c>
      <c r="N3" s="14" t="s">
        <v>3590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4803</v>
      </c>
      <c r="W3" s="142">
        <v>4803</v>
      </c>
      <c r="X3" s="142">
        <v>4803</v>
      </c>
      <c r="Y3" s="14" t="s">
        <v>3589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48385</v>
      </c>
      <c r="AH3" s="142">
        <v>4838.5</v>
      </c>
      <c r="AI3" s="142">
        <v>4844.5</v>
      </c>
      <c r="AJ3" s="14" t="s">
        <v>3588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48744</v>
      </c>
      <c r="AS3" s="142">
        <v>4874.3999999999996</v>
      </c>
      <c r="AT3" s="142">
        <v>4867</v>
      </c>
    </row>
    <row r="4" spans="1:47" x14ac:dyDescent="0.2">
      <c r="A4" s="174"/>
      <c r="B4" s="9" t="s">
        <v>1</v>
      </c>
      <c r="C4" s="1" t="s">
        <v>3587</v>
      </c>
      <c r="D4" s="142" t="s">
        <v>106</v>
      </c>
      <c r="E4" s="80">
        <v>0</v>
      </c>
      <c r="F4" s="1" t="s">
        <v>163</v>
      </c>
      <c r="G4" s="1" t="s">
        <v>164</v>
      </c>
      <c r="H4" s="1" t="s">
        <v>164</v>
      </c>
      <c r="I4" s="143">
        <v>0</v>
      </c>
      <c r="J4" s="1" t="s">
        <v>163</v>
      </c>
      <c r="K4" s="142">
        <v>0</v>
      </c>
      <c r="L4" s="142">
        <v>0</v>
      </c>
      <c r="M4" s="142">
        <v>0</v>
      </c>
      <c r="N4" s="14" t="s">
        <v>3586</v>
      </c>
      <c r="O4" s="142" t="s">
        <v>106</v>
      </c>
      <c r="P4" s="80">
        <v>0</v>
      </c>
      <c r="Q4" s="1" t="s">
        <v>163</v>
      </c>
      <c r="R4" s="1" t="s">
        <v>164</v>
      </c>
      <c r="S4" s="1" t="s">
        <v>164</v>
      </c>
      <c r="T4" s="143">
        <v>0</v>
      </c>
      <c r="U4" s="1" t="s">
        <v>163</v>
      </c>
      <c r="V4" s="142">
        <v>0</v>
      </c>
      <c r="W4" s="142">
        <v>0</v>
      </c>
      <c r="X4" s="142">
        <v>0</v>
      </c>
      <c r="Y4" s="14" t="s">
        <v>3585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47879</v>
      </c>
      <c r="AH4" s="142">
        <v>4787.8999999999996</v>
      </c>
      <c r="AI4" s="142">
        <v>4755</v>
      </c>
      <c r="AJ4" s="14" t="s">
        <v>3584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48489</v>
      </c>
      <c r="AS4" s="142">
        <v>4848.8999999999996</v>
      </c>
      <c r="AT4" s="142">
        <v>4832</v>
      </c>
    </row>
    <row r="5" spans="1:47" x14ac:dyDescent="0.2">
      <c r="A5" s="174"/>
      <c r="B5" s="9" t="s">
        <v>2</v>
      </c>
      <c r="C5" s="1" t="s">
        <v>3583</v>
      </c>
      <c r="D5" s="142" t="s">
        <v>106</v>
      </c>
      <c r="E5" s="80">
        <v>0</v>
      </c>
      <c r="F5" s="1" t="s">
        <v>169</v>
      </c>
      <c r="G5" s="80">
        <v>0</v>
      </c>
      <c r="H5" s="1" t="s">
        <v>163</v>
      </c>
      <c r="I5" s="143">
        <v>0</v>
      </c>
      <c r="J5" s="1" t="s">
        <v>163</v>
      </c>
      <c r="K5" s="142">
        <v>0</v>
      </c>
      <c r="L5" s="142">
        <v>0</v>
      </c>
      <c r="M5" s="142">
        <v>0</v>
      </c>
      <c r="N5" s="14" t="s">
        <v>3582</v>
      </c>
      <c r="O5" s="142" t="s">
        <v>106</v>
      </c>
      <c r="P5" s="80">
        <v>0</v>
      </c>
      <c r="Q5" s="1" t="s">
        <v>169</v>
      </c>
      <c r="R5" s="80">
        <v>0</v>
      </c>
      <c r="S5" s="1" t="s">
        <v>163</v>
      </c>
      <c r="T5" s="143">
        <v>0</v>
      </c>
      <c r="U5" s="1" t="s">
        <v>163</v>
      </c>
      <c r="V5" s="142">
        <v>0</v>
      </c>
      <c r="W5" s="142">
        <v>0</v>
      </c>
      <c r="X5" s="142">
        <v>0</v>
      </c>
      <c r="Y5" s="14" t="s">
        <v>3581</v>
      </c>
      <c r="Z5" s="142" t="s">
        <v>106</v>
      </c>
      <c r="AA5" s="80">
        <v>0.6</v>
      </c>
      <c r="AB5" s="1" t="s">
        <v>964</v>
      </c>
      <c r="AC5" s="80">
        <v>0</v>
      </c>
      <c r="AD5" s="1" t="s">
        <v>218</v>
      </c>
      <c r="AE5" s="143">
        <v>0.3</v>
      </c>
      <c r="AF5" s="1" t="s">
        <v>1004</v>
      </c>
      <c r="AG5" s="142">
        <v>14529</v>
      </c>
      <c r="AH5" s="142">
        <v>4843</v>
      </c>
      <c r="AI5" s="142">
        <v>4829</v>
      </c>
      <c r="AJ5" s="14" t="s">
        <v>3580</v>
      </c>
      <c r="AK5" s="142" t="s">
        <v>106</v>
      </c>
      <c r="AL5" s="80">
        <v>0.6</v>
      </c>
      <c r="AM5" s="1" t="s">
        <v>964</v>
      </c>
      <c r="AN5" s="80">
        <v>0</v>
      </c>
      <c r="AO5" s="1" t="s">
        <v>218</v>
      </c>
      <c r="AP5" s="143">
        <v>0.3</v>
      </c>
      <c r="AQ5" s="1" t="s">
        <v>1004</v>
      </c>
      <c r="AR5" s="142">
        <v>14726</v>
      </c>
      <c r="AS5" s="142">
        <v>4908.67</v>
      </c>
      <c r="AT5" s="142">
        <v>4886</v>
      </c>
    </row>
    <row r="6" spans="1:47" x14ac:dyDescent="0.2">
      <c r="A6" s="174"/>
      <c r="B6" s="9" t="s">
        <v>3</v>
      </c>
      <c r="C6" s="1" t="s">
        <v>3579</v>
      </c>
      <c r="D6" s="142" t="s">
        <v>106</v>
      </c>
      <c r="E6" s="80">
        <v>0</v>
      </c>
      <c r="F6" s="1" t="s">
        <v>163</v>
      </c>
      <c r="G6" s="1" t="s">
        <v>164</v>
      </c>
      <c r="H6" s="1" t="s">
        <v>164</v>
      </c>
      <c r="I6" s="143">
        <v>0</v>
      </c>
      <c r="J6" s="1" t="s">
        <v>163</v>
      </c>
      <c r="K6" s="142">
        <v>0</v>
      </c>
      <c r="L6" s="142">
        <v>0</v>
      </c>
      <c r="M6" s="142">
        <v>0</v>
      </c>
      <c r="N6" s="14" t="s">
        <v>3578</v>
      </c>
      <c r="O6" s="142" t="s">
        <v>106</v>
      </c>
      <c r="P6" s="80">
        <v>0</v>
      </c>
      <c r="Q6" s="1" t="s">
        <v>163</v>
      </c>
      <c r="R6" s="1" t="s">
        <v>164</v>
      </c>
      <c r="S6" s="1" t="s">
        <v>164</v>
      </c>
      <c r="T6" s="143">
        <v>0</v>
      </c>
      <c r="U6" s="1" t="s">
        <v>163</v>
      </c>
      <c r="V6" s="142">
        <v>0</v>
      </c>
      <c r="W6" s="142">
        <v>0</v>
      </c>
      <c r="X6" s="142">
        <v>0</v>
      </c>
      <c r="Y6" s="14" t="s">
        <v>3577</v>
      </c>
      <c r="Z6" s="142" t="s">
        <v>106</v>
      </c>
      <c r="AA6" s="80">
        <v>0.4</v>
      </c>
      <c r="AB6" s="1" t="s">
        <v>501</v>
      </c>
      <c r="AC6" s="1" t="s">
        <v>164</v>
      </c>
      <c r="AD6" s="1" t="s">
        <v>164</v>
      </c>
      <c r="AE6" s="143">
        <v>0.4</v>
      </c>
      <c r="AF6" s="1" t="s">
        <v>501</v>
      </c>
      <c r="AG6" s="142">
        <v>19467</v>
      </c>
      <c r="AH6" s="142">
        <v>4866.75</v>
      </c>
      <c r="AI6" s="142">
        <v>4860.5</v>
      </c>
      <c r="AJ6" s="14" t="s">
        <v>3576</v>
      </c>
      <c r="AK6" s="142" t="s">
        <v>106</v>
      </c>
      <c r="AL6" s="80">
        <v>0.7</v>
      </c>
      <c r="AM6" s="1" t="s">
        <v>973</v>
      </c>
      <c r="AN6" s="1" t="s">
        <v>164</v>
      </c>
      <c r="AO6" s="1" t="s">
        <v>164</v>
      </c>
      <c r="AP6" s="143">
        <v>0.7</v>
      </c>
      <c r="AQ6" s="1" t="s">
        <v>973</v>
      </c>
      <c r="AR6" s="142">
        <v>34772</v>
      </c>
      <c r="AS6" s="142">
        <v>4967.43</v>
      </c>
      <c r="AT6" s="142">
        <v>4966</v>
      </c>
    </row>
    <row r="7" spans="1:47" x14ac:dyDescent="0.2">
      <c r="A7" s="174"/>
      <c r="B7" s="9" t="s">
        <v>4</v>
      </c>
      <c r="C7" s="1" t="s">
        <v>3575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3574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3573</v>
      </c>
      <c r="Z7" s="142" t="s">
        <v>106</v>
      </c>
      <c r="AA7" s="80">
        <v>0.4</v>
      </c>
      <c r="AB7" s="1" t="s">
        <v>974</v>
      </c>
      <c r="AC7" s="80">
        <v>0</v>
      </c>
      <c r="AD7" s="1" t="s">
        <v>218</v>
      </c>
      <c r="AE7" s="143">
        <v>0.2</v>
      </c>
      <c r="AF7" s="1" t="s">
        <v>930</v>
      </c>
      <c r="AG7" s="142">
        <v>9850</v>
      </c>
      <c r="AH7" s="142">
        <v>4925</v>
      </c>
      <c r="AI7" s="142">
        <v>4925</v>
      </c>
      <c r="AJ7" s="14" t="s">
        <v>3572</v>
      </c>
      <c r="AK7" s="142" t="s">
        <v>106</v>
      </c>
      <c r="AL7" s="80">
        <v>0.4</v>
      </c>
      <c r="AM7" s="1" t="s">
        <v>501</v>
      </c>
      <c r="AN7" s="80">
        <v>0</v>
      </c>
      <c r="AO7" s="1" t="s">
        <v>1253</v>
      </c>
      <c r="AP7" s="143">
        <v>0.2</v>
      </c>
      <c r="AQ7" s="1" t="s">
        <v>2702</v>
      </c>
      <c r="AR7" s="142">
        <v>19776</v>
      </c>
      <c r="AS7" s="142">
        <v>4944</v>
      </c>
      <c r="AT7" s="142">
        <v>4944</v>
      </c>
    </row>
    <row r="8" spans="1:47" x14ac:dyDescent="0.2">
      <c r="A8" s="174"/>
      <c r="B8" s="9" t="s">
        <v>5</v>
      </c>
      <c r="C8" s="1" t="s">
        <v>3571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3570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3569</v>
      </c>
      <c r="Z8" s="142" t="s">
        <v>106</v>
      </c>
      <c r="AA8" s="80">
        <v>0.2</v>
      </c>
      <c r="AB8" s="1" t="s">
        <v>930</v>
      </c>
      <c r="AC8" s="1" t="s">
        <v>164</v>
      </c>
      <c r="AD8" s="1" t="s">
        <v>164</v>
      </c>
      <c r="AE8" s="143">
        <v>0.2</v>
      </c>
      <c r="AF8" s="1" t="s">
        <v>930</v>
      </c>
      <c r="AG8" s="142">
        <v>9954</v>
      </c>
      <c r="AH8" s="142">
        <v>4977</v>
      </c>
      <c r="AI8" s="142">
        <v>4977</v>
      </c>
      <c r="AJ8" s="14" t="s">
        <v>3568</v>
      </c>
      <c r="AK8" s="142" t="s">
        <v>106</v>
      </c>
      <c r="AL8" s="80">
        <v>0.2</v>
      </c>
      <c r="AM8" s="1" t="s">
        <v>2702</v>
      </c>
      <c r="AN8" s="1" t="s">
        <v>164</v>
      </c>
      <c r="AO8" s="1" t="s">
        <v>164</v>
      </c>
      <c r="AP8" s="143">
        <v>0.2</v>
      </c>
      <c r="AQ8" s="1" t="s">
        <v>2702</v>
      </c>
      <c r="AR8" s="142">
        <v>19881</v>
      </c>
      <c r="AS8" s="142">
        <v>4970.25</v>
      </c>
      <c r="AT8" s="142">
        <v>4972.5</v>
      </c>
    </row>
    <row r="9" spans="1:47" x14ac:dyDescent="0.2">
      <c r="A9" s="174"/>
      <c r="B9" s="9" t="s">
        <v>6</v>
      </c>
      <c r="C9" s="1" t="s">
        <v>3567</v>
      </c>
      <c r="D9" s="142" t="s">
        <v>106</v>
      </c>
      <c r="E9" s="80">
        <v>0</v>
      </c>
      <c r="F9" s="1" t="s">
        <v>169</v>
      </c>
      <c r="G9" s="80">
        <v>0</v>
      </c>
      <c r="H9" s="1" t="s">
        <v>163</v>
      </c>
      <c r="I9" s="143">
        <v>0</v>
      </c>
      <c r="J9" s="1" t="s">
        <v>163</v>
      </c>
      <c r="K9" s="142">
        <v>0</v>
      </c>
      <c r="L9" s="142">
        <v>0</v>
      </c>
      <c r="M9" s="142">
        <v>0</v>
      </c>
      <c r="N9" s="14" t="s">
        <v>3566</v>
      </c>
      <c r="O9" s="142" t="s">
        <v>106</v>
      </c>
      <c r="P9" s="80">
        <v>0</v>
      </c>
      <c r="Q9" s="1" t="s">
        <v>169</v>
      </c>
      <c r="R9" s="80">
        <v>0</v>
      </c>
      <c r="S9" s="1" t="s">
        <v>939</v>
      </c>
      <c r="T9" s="143">
        <v>0</v>
      </c>
      <c r="U9" s="1" t="s">
        <v>939</v>
      </c>
      <c r="V9" s="142">
        <v>0</v>
      </c>
      <c r="W9" s="142">
        <v>0</v>
      </c>
      <c r="X9" s="142">
        <v>0</v>
      </c>
      <c r="Y9" s="14" t="s">
        <v>3565</v>
      </c>
      <c r="Z9" s="142" t="s">
        <v>106</v>
      </c>
      <c r="AA9" s="80">
        <v>0.4</v>
      </c>
      <c r="AB9" s="1" t="s">
        <v>974</v>
      </c>
      <c r="AC9" s="80">
        <v>0</v>
      </c>
      <c r="AD9" s="1" t="s">
        <v>218</v>
      </c>
      <c r="AE9" s="143">
        <v>0.2</v>
      </c>
      <c r="AF9" s="1" t="s">
        <v>930</v>
      </c>
      <c r="AG9" s="142">
        <v>9846</v>
      </c>
      <c r="AH9" s="142">
        <v>4923</v>
      </c>
      <c r="AI9" s="142">
        <v>4923</v>
      </c>
      <c r="AJ9" s="14" t="s">
        <v>3564</v>
      </c>
      <c r="AK9" s="142" t="s">
        <v>106</v>
      </c>
      <c r="AL9" s="80">
        <v>0.4</v>
      </c>
      <c r="AM9" s="1" t="s">
        <v>501</v>
      </c>
      <c r="AN9" s="80">
        <v>0</v>
      </c>
      <c r="AO9" s="1" t="s">
        <v>213</v>
      </c>
      <c r="AP9" s="143">
        <v>0.2</v>
      </c>
      <c r="AQ9" s="1" t="s">
        <v>2702</v>
      </c>
      <c r="AR9" s="142">
        <v>19914</v>
      </c>
      <c r="AS9" s="142">
        <v>4978.5</v>
      </c>
      <c r="AT9" s="142">
        <v>4973.5</v>
      </c>
    </row>
    <row r="10" spans="1:47" x14ac:dyDescent="0.2">
      <c r="A10" s="174"/>
      <c r="B10" s="9" t="s">
        <v>7</v>
      </c>
      <c r="C10" s="1" t="s">
        <v>3563</v>
      </c>
      <c r="D10" s="142" t="s">
        <v>106</v>
      </c>
      <c r="E10" s="80">
        <v>0</v>
      </c>
      <c r="F10" s="1" t="s">
        <v>163</v>
      </c>
      <c r="G10" s="1" t="s">
        <v>164</v>
      </c>
      <c r="H10" s="1" t="s">
        <v>164</v>
      </c>
      <c r="I10" s="143">
        <v>0</v>
      </c>
      <c r="J10" s="1" t="s">
        <v>163</v>
      </c>
      <c r="K10" s="142">
        <v>0</v>
      </c>
      <c r="L10" s="142">
        <v>0</v>
      </c>
      <c r="M10" s="142">
        <v>0</v>
      </c>
      <c r="N10" s="14" t="s">
        <v>3562</v>
      </c>
      <c r="O10" s="142" t="s">
        <v>106</v>
      </c>
      <c r="P10" s="80">
        <v>0</v>
      </c>
      <c r="Q10" s="1" t="s">
        <v>939</v>
      </c>
      <c r="R10" s="1" t="s">
        <v>164</v>
      </c>
      <c r="S10" s="1" t="s">
        <v>164</v>
      </c>
      <c r="T10" s="143">
        <v>0</v>
      </c>
      <c r="U10" s="1" t="s">
        <v>939</v>
      </c>
      <c r="V10" s="142">
        <v>0</v>
      </c>
      <c r="W10" s="142">
        <v>0</v>
      </c>
      <c r="X10" s="142">
        <v>0</v>
      </c>
      <c r="Y10" s="14" t="s">
        <v>3561</v>
      </c>
      <c r="Z10" s="142" t="s">
        <v>106</v>
      </c>
      <c r="AA10" s="80">
        <v>0.2</v>
      </c>
      <c r="AB10" s="1" t="s">
        <v>930</v>
      </c>
      <c r="AC10" s="1" t="s">
        <v>164</v>
      </c>
      <c r="AD10" s="1" t="s">
        <v>164</v>
      </c>
      <c r="AE10" s="143">
        <v>0.2</v>
      </c>
      <c r="AF10" s="1" t="s">
        <v>930</v>
      </c>
      <c r="AG10" s="142">
        <v>9916</v>
      </c>
      <c r="AH10" s="142">
        <v>4958</v>
      </c>
      <c r="AI10" s="142">
        <v>4958</v>
      </c>
      <c r="AJ10" s="14" t="s">
        <v>3560</v>
      </c>
      <c r="AK10" s="142" t="s">
        <v>106</v>
      </c>
      <c r="AL10" s="80">
        <v>0.2</v>
      </c>
      <c r="AM10" s="1" t="s">
        <v>2702</v>
      </c>
      <c r="AN10" s="1" t="s">
        <v>164</v>
      </c>
      <c r="AO10" s="1" t="s">
        <v>164</v>
      </c>
      <c r="AP10" s="143">
        <v>0.2</v>
      </c>
      <c r="AQ10" s="1" t="s">
        <v>2702</v>
      </c>
      <c r="AR10" s="142">
        <v>19961</v>
      </c>
      <c r="AS10" s="142">
        <v>4990.25</v>
      </c>
      <c r="AT10" s="142">
        <v>4979.5</v>
      </c>
    </row>
    <row r="11" spans="1:47" x14ac:dyDescent="0.2">
      <c r="A11" s="174"/>
      <c r="B11" s="9" t="s">
        <v>8</v>
      </c>
      <c r="C11" s="1" t="s">
        <v>3559</v>
      </c>
      <c r="D11" s="142" t="s">
        <v>106</v>
      </c>
      <c r="E11" s="80">
        <v>0</v>
      </c>
      <c r="F11" s="1" t="s">
        <v>169</v>
      </c>
      <c r="G11" s="80">
        <v>0</v>
      </c>
      <c r="H11" s="1" t="s">
        <v>163</v>
      </c>
      <c r="I11" s="143">
        <v>0</v>
      </c>
      <c r="J11" s="1" t="s">
        <v>163</v>
      </c>
      <c r="K11" s="142">
        <v>0</v>
      </c>
      <c r="L11" s="142">
        <v>0</v>
      </c>
      <c r="M11" s="142">
        <v>0</v>
      </c>
      <c r="N11" s="14" t="s">
        <v>3558</v>
      </c>
      <c r="O11" s="142" t="s">
        <v>106</v>
      </c>
      <c r="P11" s="80">
        <v>0</v>
      </c>
      <c r="Q11" s="1" t="s">
        <v>163</v>
      </c>
      <c r="R11" s="80">
        <v>0</v>
      </c>
      <c r="S11" s="1" t="s">
        <v>163</v>
      </c>
      <c r="T11" s="143">
        <v>0</v>
      </c>
      <c r="U11" s="1" t="s">
        <v>939</v>
      </c>
      <c r="V11" s="142">
        <v>0</v>
      </c>
      <c r="W11" s="142">
        <v>0</v>
      </c>
      <c r="X11" s="142">
        <v>0</v>
      </c>
      <c r="Y11" s="14" t="s">
        <v>3557</v>
      </c>
      <c r="Z11" s="142" t="s">
        <v>106</v>
      </c>
      <c r="AA11" s="80">
        <v>0.6</v>
      </c>
      <c r="AB11" s="1" t="s">
        <v>964</v>
      </c>
      <c r="AC11" s="80">
        <v>0</v>
      </c>
      <c r="AD11" s="1" t="s">
        <v>218</v>
      </c>
      <c r="AE11" s="143">
        <v>0.3</v>
      </c>
      <c r="AF11" s="1" t="s">
        <v>1004</v>
      </c>
      <c r="AG11" s="142">
        <v>14534</v>
      </c>
      <c r="AH11" s="142">
        <v>4844.67</v>
      </c>
      <c r="AI11" s="142">
        <v>4835</v>
      </c>
      <c r="AJ11" s="14" t="s">
        <v>3556</v>
      </c>
      <c r="AK11" s="142" t="s">
        <v>106</v>
      </c>
      <c r="AL11" s="80">
        <v>0</v>
      </c>
      <c r="AM11" s="1" t="s">
        <v>1305</v>
      </c>
      <c r="AN11" s="80">
        <v>0</v>
      </c>
      <c r="AO11" s="1" t="s">
        <v>218</v>
      </c>
      <c r="AP11" s="143">
        <v>0</v>
      </c>
      <c r="AQ11" s="1" t="s">
        <v>1176</v>
      </c>
      <c r="AR11" s="142">
        <v>0</v>
      </c>
      <c r="AS11" s="142">
        <v>0</v>
      </c>
      <c r="AT11" s="142">
        <v>0</v>
      </c>
      <c r="AU11" s="4" t="s">
        <v>98</v>
      </c>
    </row>
    <row r="12" spans="1:47" x14ac:dyDescent="0.2">
      <c r="A12" s="174"/>
      <c r="B12" s="9" t="s">
        <v>9</v>
      </c>
      <c r="C12" s="1" t="s">
        <v>3555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3554</v>
      </c>
      <c r="O12" s="142" t="s">
        <v>106</v>
      </c>
      <c r="P12" s="80">
        <v>0</v>
      </c>
      <c r="Q12" s="1" t="s">
        <v>939</v>
      </c>
      <c r="R12" s="1" t="s">
        <v>164</v>
      </c>
      <c r="S12" s="1" t="s">
        <v>164</v>
      </c>
      <c r="T12" s="143">
        <v>0</v>
      </c>
      <c r="U12" s="1" t="s">
        <v>939</v>
      </c>
      <c r="V12" s="142">
        <v>0</v>
      </c>
      <c r="W12" s="142">
        <v>0</v>
      </c>
      <c r="X12" s="142">
        <v>0</v>
      </c>
      <c r="Y12" s="14" t="s">
        <v>3553</v>
      </c>
      <c r="Z12" s="142" t="s">
        <v>106</v>
      </c>
      <c r="AA12" s="80">
        <v>0.3</v>
      </c>
      <c r="AB12" s="1" t="s">
        <v>1004</v>
      </c>
      <c r="AC12" s="1" t="s">
        <v>164</v>
      </c>
      <c r="AD12" s="1" t="s">
        <v>164</v>
      </c>
      <c r="AE12" s="143">
        <v>0.3</v>
      </c>
      <c r="AF12" s="1" t="s">
        <v>1004</v>
      </c>
      <c r="AG12" s="142">
        <v>14553</v>
      </c>
      <c r="AH12" s="142">
        <v>4851</v>
      </c>
      <c r="AI12" s="142">
        <v>4849</v>
      </c>
      <c r="AJ12" s="14" t="s">
        <v>3552</v>
      </c>
      <c r="AK12" s="142" t="s">
        <v>106</v>
      </c>
      <c r="AL12" s="80">
        <v>0.1</v>
      </c>
      <c r="AM12" s="1" t="s">
        <v>1233</v>
      </c>
      <c r="AN12" s="1" t="s">
        <v>164</v>
      </c>
      <c r="AO12" s="1" t="s">
        <v>164</v>
      </c>
      <c r="AP12" s="143">
        <v>0.1</v>
      </c>
      <c r="AQ12" s="1" t="s">
        <v>1233</v>
      </c>
      <c r="AR12" s="142">
        <v>9735</v>
      </c>
      <c r="AS12" s="142">
        <v>4867.5</v>
      </c>
      <c r="AT12" s="142">
        <v>4867.5</v>
      </c>
      <c r="AU12" s="4" t="s">
        <v>98</v>
      </c>
    </row>
    <row r="13" spans="1:47" x14ac:dyDescent="0.2">
      <c r="A13" s="174"/>
      <c r="B13" s="9" t="s">
        <v>12</v>
      </c>
      <c r="C13" s="1" t="s">
        <v>3551</v>
      </c>
      <c r="D13" s="142" t="s">
        <v>106</v>
      </c>
      <c r="E13" s="80">
        <v>0</v>
      </c>
      <c r="F13" s="1" t="s">
        <v>169</v>
      </c>
      <c r="G13" s="80">
        <v>1</v>
      </c>
      <c r="H13" s="1" t="s">
        <v>452</v>
      </c>
      <c r="I13" s="143">
        <v>1</v>
      </c>
      <c r="J13" s="1" t="s">
        <v>452</v>
      </c>
      <c r="K13" s="142">
        <v>4948</v>
      </c>
      <c r="L13" s="142">
        <v>4948</v>
      </c>
      <c r="M13" s="142">
        <v>4948</v>
      </c>
      <c r="N13" s="14" t="s">
        <v>3550</v>
      </c>
      <c r="O13" s="142" t="s">
        <v>106</v>
      </c>
      <c r="P13" s="80">
        <v>0</v>
      </c>
      <c r="Q13" s="1" t="s">
        <v>169</v>
      </c>
      <c r="R13" s="80">
        <v>1</v>
      </c>
      <c r="S13" s="1" t="s">
        <v>452</v>
      </c>
      <c r="T13" s="143">
        <v>1</v>
      </c>
      <c r="U13" s="1" t="s">
        <v>452</v>
      </c>
      <c r="V13" s="142">
        <v>4796</v>
      </c>
      <c r="W13" s="142">
        <v>4796</v>
      </c>
      <c r="X13" s="142">
        <v>4796</v>
      </c>
      <c r="Y13" s="14" t="s">
        <v>3549</v>
      </c>
      <c r="Z13" s="142" t="s">
        <v>106</v>
      </c>
      <c r="AA13" s="80">
        <v>1</v>
      </c>
      <c r="AB13" s="1" t="s">
        <v>516</v>
      </c>
      <c r="AC13" s="80">
        <v>1</v>
      </c>
      <c r="AD13" s="1" t="s">
        <v>516</v>
      </c>
      <c r="AE13" s="143">
        <v>1</v>
      </c>
      <c r="AF13" s="1" t="s">
        <v>529</v>
      </c>
      <c r="AG13" s="142">
        <v>48160</v>
      </c>
      <c r="AH13" s="142">
        <v>4816</v>
      </c>
      <c r="AI13" s="142">
        <v>4802.5</v>
      </c>
      <c r="AJ13" s="14" t="s">
        <v>3548</v>
      </c>
      <c r="AK13" s="142" t="s">
        <v>106</v>
      </c>
      <c r="AL13" s="80">
        <v>1</v>
      </c>
      <c r="AM13" s="1" t="s">
        <v>516</v>
      </c>
      <c r="AN13" s="80">
        <v>1</v>
      </c>
      <c r="AO13" s="1" t="s">
        <v>516</v>
      </c>
      <c r="AP13" s="143">
        <v>1</v>
      </c>
      <c r="AQ13" s="1" t="s">
        <v>529</v>
      </c>
      <c r="AR13" s="142">
        <v>48468</v>
      </c>
      <c r="AS13" s="142">
        <v>4846.8</v>
      </c>
      <c r="AT13" s="142">
        <v>4827.5</v>
      </c>
      <c r="AU13" s="4" t="s">
        <v>97</v>
      </c>
    </row>
    <row r="14" spans="1:47" x14ac:dyDescent="0.2">
      <c r="A14" s="174"/>
      <c r="B14" s="9" t="s">
        <v>13</v>
      </c>
      <c r="C14" s="1" t="s">
        <v>3547</v>
      </c>
      <c r="D14" s="142" t="s">
        <v>107</v>
      </c>
      <c r="E14" s="1" t="s">
        <v>164</v>
      </c>
      <c r="F14" s="1" t="s">
        <v>164</v>
      </c>
      <c r="G14" s="1" t="s">
        <v>164</v>
      </c>
      <c r="H14" s="1" t="s">
        <v>164</v>
      </c>
      <c r="I14" s="143">
        <v>0</v>
      </c>
      <c r="J14" s="1" t="s">
        <v>163</v>
      </c>
      <c r="K14" s="142">
        <v>0</v>
      </c>
      <c r="L14" s="142">
        <v>0</v>
      </c>
      <c r="M14" s="142">
        <v>0</v>
      </c>
      <c r="N14" s="14" t="s">
        <v>3546</v>
      </c>
      <c r="O14" s="142" t="s">
        <v>107</v>
      </c>
      <c r="P14" s="1" t="s">
        <v>164</v>
      </c>
      <c r="Q14" s="1" t="s">
        <v>164</v>
      </c>
      <c r="R14" s="1" t="s">
        <v>164</v>
      </c>
      <c r="S14" s="1" t="s">
        <v>164</v>
      </c>
      <c r="T14" s="143">
        <v>0</v>
      </c>
      <c r="U14" s="1" t="s">
        <v>163</v>
      </c>
      <c r="V14" s="142">
        <v>0</v>
      </c>
      <c r="W14" s="142">
        <v>0</v>
      </c>
      <c r="X14" s="142">
        <v>0</v>
      </c>
      <c r="Y14" s="14" t="s">
        <v>3545</v>
      </c>
      <c r="Z14" s="142" t="s">
        <v>106</v>
      </c>
      <c r="AA14" s="80">
        <v>1</v>
      </c>
      <c r="AB14" s="1" t="s">
        <v>529</v>
      </c>
      <c r="AC14" s="1" t="s">
        <v>164</v>
      </c>
      <c r="AD14" s="1" t="s">
        <v>164</v>
      </c>
      <c r="AE14" s="143">
        <v>1</v>
      </c>
      <c r="AF14" s="1" t="s">
        <v>529</v>
      </c>
      <c r="AG14" s="142">
        <v>48202</v>
      </c>
      <c r="AH14" s="142">
        <v>4820.2</v>
      </c>
      <c r="AI14" s="142">
        <v>4825.5</v>
      </c>
      <c r="AJ14" s="14" t="s">
        <v>3544</v>
      </c>
      <c r="AK14" s="142" t="s">
        <v>106</v>
      </c>
      <c r="AL14" s="80">
        <v>1</v>
      </c>
      <c r="AM14" s="1" t="s">
        <v>529</v>
      </c>
      <c r="AN14" s="1" t="s">
        <v>164</v>
      </c>
      <c r="AO14" s="1" t="s">
        <v>164</v>
      </c>
      <c r="AP14" s="143">
        <v>1</v>
      </c>
      <c r="AQ14" s="1" t="s">
        <v>529</v>
      </c>
      <c r="AR14" s="142">
        <v>48064</v>
      </c>
      <c r="AS14" s="142">
        <v>4806.3999999999996</v>
      </c>
      <c r="AT14" s="142">
        <v>4793.5</v>
      </c>
      <c r="AU14" s="4" t="s">
        <v>97</v>
      </c>
    </row>
    <row r="15" spans="1:47" x14ac:dyDescent="0.2">
      <c r="A15" s="174"/>
      <c r="B15" s="9" t="s">
        <v>14</v>
      </c>
      <c r="C15" s="1" t="s">
        <v>3543</v>
      </c>
      <c r="D15" s="142" t="s">
        <v>106</v>
      </c>
      <c r="E15" s="80">
        <v>0</v>
      </c>
      <c r="F15" s="1" t="s">
        <v>169</v>
      </c>
      <c r="G15" s="80">
        <v>1</v>
      </c>
      <c r="H15" s="1" t="s">
        <v>452</v>
      </c>
      <c r="I15" s="143">
        <v>1</v>
      </c>
      <c r="J15" s="1" t="s">
        <v>452</v>
      </c>
      <c r="K15" s="142">
        <v>4998</v>
      </c>
      <c r="L15" s="142">
        <v>4998</v>
      </c>
      <c r="M15" s="142">
        <v>4998</v>
      </c>
      <c r="N15" s="14" t="s">
        <v>3542</v>
      </c>
      <c r="O15" s="142" t="s">
        <v>106</v>
      </c>
      <c r="P15" s="80">
        <v>0</v>
      </c>
      <c r="Q15" s="1" t="s">
        <v>169</v>
      </c>
      <c r="R15" s="80">
        <v>1</v>
      </c>
      <c r="S15" s="1" t="s">
        <v>452</v>
      </c>
      <c r="T15" s="143">
        <v>1</v>
      </c>
      <c r="U15" s="1" t="s">
        <v>452</v>
      </c>
      <c r="V15" s="142">
        <v>4793</v>
      </c>
      <c r="W15" s="142">
        <v>4793</v>
      </c>
      <c r="X15" s="142">
        <v>4793</v>
      </c>
      <c r="Y15" s="14" t="s">
        <v>3541</v>
      </c>
      <c r="Z15" s="142" t="s">
        <v>106</v>
      </c>
      <c r="AA15" s="80">
        <v>1</v>
      </c>
      <c r="AB15" s="1" t="s">
        <v>516</v>
      </c>
      <c r="AC15" s="80">
        <v>1</v>
      </c>
      <c r="AD15" s="1" t="s">
        <v>516</v>
      </c>
      <c r="AE15" s="143">
        <v>1</v>
      </c>
      <c r="AF15" s="1" t="s">
        <v>529</v>
      </c>
      <c r="AG15" s="142">
        <v>48846</v>
      </c>
      <c r="AH15" s="142">
        <v>4884.6000000000004</v>
      </c>
      <c r="AI15" s="142">
        <v>4869</v>
      </c>
      <c r="AJ15" s="14" t="s">
        <v>3540</v>
      </c>
      <c r="AK15" s="142" t="s">
        <v>106</v>
      </c>
      <c r="AL15" s="80">
        <v>1</v>
      </c>
      <c r="AM15" s="1" t="s">
        <v>516</v>
      </c>
      <c r="AN15" s="80">
        <v>1</v>
      </c>
      <c r="AO15" s="1" t="s">
        <v>516</v>
      </c>
      <c r="AP15" s="143">
        <v>1</v>
      </c>
      <c r="AQ15" s="1" t="s">
        <v>529</v>
      </c>
      <c r="AR15" s="142">
        <v>48614</v>
      </c>
      <c r="AS15" s="142">
        <v>4861.3999999999996</v>
      </c>
      <c r="AT15" s="142">
        <v>4858</v>
      </c>
      <c r="AU15" s="4" t="s">
        <v>97</v>
      </c>
    </row>
    <row r="16" spans="1:47" x14ac:dyDescent="0.2">
      <c r="A16" s="174"/>
      <c r="B16" s="9" t="s">
        <v>15</v>
      </c>
      <c r="C16" s="1" t="s">
        <v>3539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3538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3537</v>
      </c>
      <c r="Z16" s="142" t="s">
        <v>106</v>
      </c>
      <c r="AA16" s="80">
        <v>1</v>
      </c>
      <c r="AB16" s="1" t="s">
        <v>529</v>
      </c>
      <c r="AC16" s="1" t="s">
        <v>164</v>
      </c>
      <c r="AD16" s="1" t="s">
        <v>164</v>
      </c>
      <c r="AE16" s="143">
        <v>1</v>
      </c>
      <c r="AF16" s="1" t="s">
        <v>529</v>
      </c>
      <c r="AG16" s="142">
        <v>48509</v>
      </c>
      <c r="AH16" s="142">
        <v>4850.8999999999996</v>
      </c>
      <c r="AI16" s="142">
        <v>4854.5</v>
      </c>
      <c r="AJ16" s="14" t="s">
        <v>3536</v>
      </c>
      <c r="AK16" s="142" t="s">
        <v>106</v>
      </c>
      <c r="AL16" s="80">
        <v>1</v>
      </c>
      <c r="AM16" s="1" t="s">
        <v>529</v>
      </c>
      <c r="AN16" s="1" t="s">
        <v>164</v>
      </c>
      <c r="AO16" s="1" t="s">
        <v>164</v>
      </c>
      <c r="AP16" s="143">
        <v>1</v>
      </c>
      <c r="AQ16" s="1" t="s">
        <v>529</v>
      </c>
      <c r="AR16" s="142">
        <v>48318</v>
      </c>
      <c r="AS16" s="142">
        <v>4831.8</v>
      </c>
      <c r="AT16" s="142">
        <v>4824.5</v>
      </c>
      <c r="AU16" s="4" t="s">
        <v>97</v>
      </c>
    </row>
    <row r="17" spans="1:47" x14ac:dyDescent="0.2">
      <c r="A17" s="174"/>
      <c r="B17" s="9" t="s">
        <v>16</v>
      </c>
      <c r="C17" s="1" t="s">
        <v>3535</v>
      </c>
      <c r="D17" s="142" t="s">
        <v>106</v>
      </c>
      <c r="E17" s="80">
        <v>0</v>
      </c>
      <c r="F17" s="1" t="s">
        <v>169</v>
      </c>
      <c r="G17" s="80">
        <v>1</v>
      </c>
      <c r="H17" s="1" t="s">
        <v>452</v>
      </c>
      <c r="I17" s="143">
        <v>1</v>
      </c>
      <c r="J17" s="1" t="s">
        <v>452</v>
      </c>
      <c r="K17" s="142">
        <v>4949</v>
      </c>
      <c r="L17" s="142">
        <v>4949</v>
      </c>
      <c r="M17" s="142">
        <v>4949</v>
      </c>
      <c r="N17" s="14" t="s">
        <v>3534</v>
      </c>
      <c r="O17" s="142" t="s">
        <v>106</v>
      </c>
      <c r="P17" s="80">
        <v>0</v>
      </c>
      <c r="Q17" s="1" t="s">
        <v>169</v>
      </c>
      <c r="R17" s="80">
        <v>1</v>
      </c>
      <c r="S17" s="1" t="s">
        <v>452</v>
      </c>
      <c r="T17" s="143">
        <v>1</v>
      </c>
      <c r="U17" s="1" t="s">
        <v>452</v>
      </c>
      <c r="V17" s="142">
        <v>4901</v>
      </c>
      <c r="W17" s="142">
        <v>4901</v>
      </c>
      <c r="X17" s="142">
        <v>4901</v>
      </c>
      <c r="Y17" s="14" t="s">
        <v>3533</v>
      </c>
      <c r="Z17" s="142" t="s">
        <v>106</v>
      </c>
      <c r="AA17" s="80">
        <v>1</v>
      </c>
      <c r="AB17" s="1" t="s">
        <v>516</v>
      </c>
      <c r="AC17" s="80">
        <v>1</v>
      </c>
      <c r="AD17" s="1" t="s">
        <v>516</v>
      </c>
      <c r="AE17" s="143">
        <v>1</v>
      </c>
      <c r="AF17" s="1" t="s">
        <v>529</v>
      </c>
      <c r="AG17" s="142">
        <v>48899</v>
      </c>
      <c r="AH17" s="142">
        <v>4889.8999999999996</v>
      </c>
      <c r="AI17" s="142">
        <v>4850</v>
      </c>
      <c r="AJ17" s="14" t="s">
        <v>3532</v>
      </c>
      <c r="AK17" s="142" t="s">
        <v>106</v>
      </c>
      <c r="AL17" s="80">
        <v>1</v>
      </c>
      <c r="AM17" s="1" t="s">
        <v>516</v>
      </c>
      <c r="AN17" s="80">
        <v>1</v>
      </c>
      <c r="AO17" s="1" t="s">
        <v>516</v>
      </c>
      <c r="AP17" s="143">
        <v>1</v>
      </c>
      <c r="AQ17" s="1" t="s">
        <v>529</v>
      </c>
      <c r="AR17" s="142">
        <v>48106</v>
      </c>
      <c r="AS17" s="142">
        <v>4810.6000000000004</v>
      </c>
      <c r="AT17" s="142">
        <v>4810</v>
      </c>
      <c r="AU17" s="4" t="s">
        <v>97</v>
      </c>
    </row>
    <row r="18" spans="1:47" x14ac:dyDescent="0.2">
      <c r="A18" s="174"/>
      <c r="B18" s="9" t="s">
        <v>17</v>
      </c>
      <c r="C18" s="1" t="s">
        <v>3531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3530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3529</v>
      </c>
      <c r="Z18" s="142" t="s">
        <v>106</v>
      </c>
      <c r="AA18" s="80">
        <v>1</v>
      </c>
      <c r="AB18" s="1" t="s">
        <v>529</v>
      </c>
      <c r="AC18" s="1" t="s">
        <v>164</v>
      </c>
      <c r="AD18" s="1" t="s">
        <v>164</v>
      </c>
      <c r="AE18" s="143">
        <v>1</v>
      </c>
      <c r="AF18" s="1" t="s">
        <v>529</v>
      </c>
      <c r="AG18" s="142">
        <v>51721</v>
      </c>
      <c r="AH18" s="142">
        <v>5172.1000000000004</v>
      </c>
      <c r="AI18" s="142">
        <v>5089</v>
      </c>
      <c r="AJ18" s="14" t="s">
        <v>3528</v>
      </c>
      <c r="AK18" s="142" t="s">
        <v>106</v>
      </c>
      <c r="AL18" s="80">
        <v>1</v>
      </c>
      <c r="AM18" s="1" t="s">
        <v>529</v>
      </c>
      <c r="AN18" s="1" t="s">
        <v>164</v>
      </c>
      <c r="AO18" s="1" t="s">
        <v>164</v>
      </c>
      <c r="AP18" s="143">
        <v>1</v>
      </c>
      <c r="AQ18" s="1" t="s">
        <v>529</v>
      </c>
      <c r="AR18" s="142">
        <v>48493</v>
      </c>
      <c r="AS18" s="142">
        <v>4849.3</v>
      </c>
      <c r="AT18" s="142">
        <v>4867.5</v>
      </c>
      <c r="AU18" s="4" t="s">
        <v>97</v>
      </c>
    </row>
    <row r="19" spans="1:47" x14ac:dyDescent="0.2">
      <c r="A19" s="174"/>
      <c r="B19" s="9" t="s">
        <v>18</v>
      </c>
      <c r="C19" s="1" t="s">
        <v>3527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3526</v>
      </c>
      <c r="O19" s="142" t="s">
        <v>106</v>
      </c>
      <c r="P19" s="80">
        <v>0</v>
      </c>
      <c r="Q19" s="1" t="s">
        <v>163</v>
      </c>
      <c r="R19" s="80">
        <v>0</v>
      </c>
      <c r="S19" s="1" t="s">
        <v>163</v>
      </c>
      <c r="T19" s="143">
        <v>0</v>
      </c>
      <c r="U19" s="1" t="s">
        <v>939</v>
      </c>
      <c r="V19" s="142">
        <v>0</v>
      </c>
      <c r="W19" s="142">
        <v>0</v>
      </c>
      <c r="X19" s="142">
        <v>0</v>
      </c>
      <c r="Y19" s="14" t="s">
        <v>3525</v>
      </c>
      <c r="Z19" s="142" t="s">
        <v>106</v>
      </c>
      <c r="AA19" s="80">
        <v>0</v>
      </c>
      <c r="AB19" s="1" t="s">
        <v>218</v>
      </c>
      <c r="AC19" s="80">
        <v>0</v>
      </c>
      <c r="AD19" s="1" t="s">
        <v>218</v>
      </c>
      <c r="AE19" s="143">
        <v>0</v>
      </c>
      <c r="AF19" s="1" t="s">
        <v>213</v>
      </c>
      <c r="AG19" s="142">
        <v>0</v>
      </c>
      <c r="AH19" s="142">
        <v>0</v>
      </c>
      <c r="AI19" s="142">
        <v>0</v>
      </c>
      <c r="AJ19" s="14" t="s">
        <v>3524</v>
      </c>
      <c r="AK19" s="142" t="s">
        <v>106</v>
      </c>
      <c r="AL19" s="80">
        <v>0</v>
      </c>
      <c r="AM19" s="1" t="s">
        <v>1305</v>
      </c>
      <c r="AN19" s="80">
        <v>0</v>
      </c>
      <c r="AO19" s="1" t="s">
        <v>218</v>
      </c>
      <c r="AP19" s="143">
        <v>0</v>
      </c>
      <c r="AQ19" s="1" t="s">
        <v>1176</v>
      </c>
      <c r="AR19" s="142">
        <v>0</v>
      </c>
      <c r="AS19" s="142">
        <v>0</v>
      </c>
      <c r="AT19" s="142">
        <v>0</v>
      </c>
      <c r="AU19" s="4" t="s">
        <v>99</v>
      </c>
    </row>
    <row r="20" spans="1:47" x14ac:dyDescent="0.2">
      <c r="A20" s="174"/>
      <c r="B20" s="9" t="s">
        <v>19</v>
      </c>
      <c r="C20" s="1" t="s">
        <v>3523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3522</v>
      </c>
      <c r="O20" s="142" t="s">
        <v>106</v>
      </c>
      <c r="P20" s="80">
        <v>0</v>
      </c>
      <c r="Q20" s="1" t="s">
        <v>939</v>
      </c>
      <c r="R20" s="1" t="s">
        <v>164</v>
      </c>
      <c r="S20" s="1" t="s">
        <v>164</v>
      </c>
      <c r="T20" s="143">
        <v>0</v>
      </c>
      <c r="U20" s="1" t="s">
        <v>939</v>
      </c>
      <c r="V20" s="142">
        <v>0</v>
      </c>
      <c r="W20" s="142">
        <v>0</v>
      </c>
      <c r="X20" s="142">
        <v>0</v>
      </c>
      <c r="Y20" s="14" t="s">
        <v>3521</v>
      </c>
      <c r="Z20" s="142" t="s">
        <v>106</v>
      </c>
      <c r="AA20" s="80">
        <v>0</v>
      </c>
      <c r="AB20" s="1" t="s">
        <v>213</v>
      </c>
      <c r="AC20" s="1" t="s">
        <v>164</v>
      </c>
      <c r="AD20" s="1" t="s">
        <v>164</v>
      </c>
      <c r="AE20" s="143">
        <v>0</v>
      </c>
      <c r="AF20" s="1" t="s">
        <v>213</v>
      </c>
      <c r="AG20" s="142">
        <v>0</v>
      </c>
      <c r="AH20" s="142">
        <v>0</v>
      </c>
      <c r="AI20" s="142">
        <v>0</v>
      </c>
      <c r="AJ20" s="14" t="s">
        <v>3520</v>
      </c>
      <c r="AK20" s="142" t="s">
        <v>106</v>
      </c>
      <c r="AL20" s="80">
        <v>0</v>
      </c>
      <c r="AM20" s="1" t="s">
        <v>1176</v>
      </c>
      <c r="AN20" s="1" t="s">
        <v>164</v>
      </c>
      <c r="AO20" s="1" t="s">
        <v>164</v>
      </c>
      <c r="AP20" s="143">
        <v>0</v>
      </c>
      <c r="AQ20" s="1" t="s">
        <v>1176</v>
      </c>
      <c r="AR20" s="142">
        <v>0</v>
      </c>
      <c r="AS20" s="142">
        <v>0</v>
      </c>
      <c r="AT20" s="142">
        <v>0</v>
      </c>
      <c r="AU20" s="4" t="s">
        <v>99</v>
      </c>
    </row>
    <row r="21" spans="1:47" x14ac:dyDescent="0.2">
      <c r="A21" s="174"/>
      <c r="B21" s="9" t="s">
        <v>20</v>
      </c>
      <c r="C21" s="1" t="s">
        <v>3519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3518</v>
      </c>
      <c r="O21" s="142" t="s">
        <v>106</v>
      </c>
      <c r="P21" s="80">
        <v>0</v>
      </c>
      <c r="Q21" s="1" t="s">
        <v>163</v>
      </c>
      <c r="R21" s="80">
        <v>0</v>
      </c>
      <c r="S21" s="1" t="s">
        <v>163</v>
      </c>
      <c r="T21" s="143">
        <v>0</v>
      </c>
      <c r="U21" s="1" t="s">
        <v>939</v>
      </c>
      <c r="V21" s="142">
        <v>0</v>
      </c>
      <c r="W21" s="142">
        <v>0</v>
      </c>
      <c r="X21" s="142">
        <v>0</v>
      </c>
      <c r="Y21" s="14" t="s">
        <v>3517</v>
      </c>
      <c r="Z21" s="142" t="s">
        <v>106</v>
      </c>
      <c r="AA21" s="80">
        <v>0</v>
      </c>
      <c r="AB21" s="1" t="s">
        <v>218</v>
      </c>
      <c r="AC21" s="80">
        <v>0</v>
      </c>
      <c r="AD21" s="1" t="s">
        <v>218</v>
      </c>
      <c r="AE21" s="143">
        <v>0</v>
      </c>
      <c r="AF21" s="1" t="s">
        <v>213</v>
      </c>
      <c r="AG21" s="142">
        <v>0</v>
      </c>
      <c r="AH21" s="142">
        <v>0</v>
      </c>
      <c r="AI21" s="142">
        <v>0</v>
      </c>
      <c r="AJ21" s="14" t="s">
        <v>3516</v>
      </c>
      <c r="AK21" s="142" t="s">
        <v>106</v>
      </c>
      <c r="AL21" s="80">
        <v>0</v>
      </c>
      <c r="AM21" s="1" t="s">
        <v>1305</v>
      </c>
      <c r="AN21" s="80">
        <v>0</v>
      </c>
      <c r="AO21" s="1" t="s">
        <v>218</v>
      </c>
      <c r="AP21" s="143">
        <v>0</v>
      </c>
      <c r="AQ21" s="1" t="s">
        <v>1176</v>
      </c>
      <c r="AR21" s="142">
        <v>0</v>
      </c>
      <c r="AS21" s="142">
        <v>0</v>
      </c>
      <c r="AT21" s="142">
        <v>0</v>
      </c>
      <c r="AU21" s="4" t="s">
        <v>93</v>
      </c>
    </row>
    <row r="22" spans="1:47" x14ac:dyDescent="0.2">
      <c r="A22" s="174"/>
      <c r="B22" s="9" t="s">
        <v>21</v>
      </c>
      <c r="C22" s="1" t="s">
        <v>3515</v>
      </c>
      <c r="D22" s="142" t="s">
        <v>106</v>
      </c>
      <c r="E22" s="80">
        <v>0</v>
      </c>
      <c r="F22" s="1" t="s">
        <v>163</v>
      </c>
      <c r="G22" s="1" t="s">
        <v>164</v>
      </c>
      <c r="H22" s="1" t="s">
        <v>164</v>
      </c>
      <c r="I22" s="143">
        <v>0</v>
      </c>
      <c r="J22" s="1" t="s">
        <v>163</v>
      </c>
      <c r="K22" s="142">
        <v>0</v>
      </c>
      <c r="L22" s="142">
        <v>0</v>
      </c>
      <c r="M22" s="142">
        <v>0</v>
      </c>
      <c r="N22" s="14" t="s">
        <v>3514</v>
      </c>
      <c r="O22" s="142" t="s">
        <v>106</v>
      </c>
      <c r="P22" s="80">
        <v>0</v>
      </c>
      <c r="Q22" s="1" t="s">
        <v>939</v>
      </c>
      <c r="R22" s="1" t="s">
        <v>164</v>
      </c>
      <c r="S22" s="1" t="s">
        <v>164</v>
      </c>
      <c r="T22" s="143">
        <v>0</v>
      </c>
      <c r="U22" s="1" t="s">
        <v>939</v>
      </c>
      <c r="V22" s="142">
        <v>0</v>
      </c>
      <c r="W22" s="142">
        <v>0</v>
      </c>
      <c r="X22" s="142">
        <v>0</v>
      </c>
      <c r="Y22" s="14" t="s">
        <v>3513</v>
      </c>
      <c r="Z22" s="142" t="s">
        <v>106</v>
      </c>
      <c r="AA22" s="80">
        <v>0</v>
      </c>
      <c r="AB22" s="1" t="s">
        <v>213</v>
      </c>
      <c r="AC22" s="1" t="s">
        <v>164</v>
      </c>
      <c r="AD22" s="1" t="s">
        <v>164</v>
      </c>
      <c r="AE22" s="143">
        <v>0</v>
      </c>
      <c r="AF22" s="1" t="s">
        <v>213</v>
      </c>
      <c r="AG22" s="142">
        <v>0</v>
      </c>
      <c r="AH22" s="142">
        <v>0</v>
      </c>
      <c r="AI22" s="142">
        <v>0</v>
      </c>
      <c r="AJ22" s="14" t="s">
        <v>3512</v>
      </c>
      <c r="AK22" s="142" t="s">
        <v>106</v>
      </c>
      <c r="AL22" s="80">
        <v>0</v>
      </c>
      <c r="AM22" s="1" t="s">
        <v>1176</v>
      </c>
      <c r="AN22" s="1" t="s">
        <v>164</v>
      </c>
      <c r="AO22" s="1" t="s">
        <v>164</v>
      </c>
      <c r="AP22" s="143">
        <v>0</v>
      </c>
      <c r="AQ22" s="1" t="s">
        <v>1176</v>
      </c>
      <c r="AR22" s="142">
        <v>0</v>
      </c>
      <c r="AS22" s="142">
        <v>0</v>
      </c>
      <c r="AT22" s="142">
        <v>0</v>
      </c>
      <c r="AU22" s="4" t="s">
        <v>93</v>
      </c>
    </row>
    <row r="23" spans="1:47" x14ac:dyDescent="0.2">
      <c r="A23" s="174"/>
      <c r="B23" s="9" t="s">
        <v>26</v>
      </c>
      <c r="C23" s="1" t="s">
        <v>3511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3510</v>
      </c>
      <c r="O23" s="142" t="s">
        <v>106</v>
      </c>
      <c r="P23" s="80">
        <v>0</v>
      </c>
      <c r="Q23" s="1" t="s">
        <v>163</v>
      </c>
      <c r="R23" s="80">
        <v>0</v>
      </c>
      <c r="S23" s="1" t="s">
        <v>1161</v>
      </c>
      <c r="T23" s="143">
        <v>0</v>
      </c>
      <c r="U23" s="1" t="s">
        <v>1172</v>
      </c>
      <c r="V23" s="142">
        <v>0</v>
      </c>
      <c r="W23" s="142">
        <v>0</v>
      </c>
      <c r="X23" s="142">
        <v>0</v>
      </c>
      <c r="Y23" s="14" t="s">
        <v>3509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3508</v>
      </c>
      <c r="AK23" s="142" t="s">
        <v>106</v>
      </c>
      <c r="AL23" s="80">
        <v>0</v>
      </c>
      <c r="AM23" s="1" t="s">
        <v>1637</v>
      </c>
      <c r="AN23" s="80">
        <v>0</v>
      </c>
      <c r="AO23" s="1" t="s">
        <v>1250</v>
      </c>
      <c r="AP23" s="143">
        <v>0</v>
      </c>
      <c r="AQ23" s="1" t="s">
        <v>1175</v>
      </c>
      <c r="AR23" s="142">
        <v>0</v>
      </c>
      <c r="AS23" s="142">
        <v>0</v>
      </c>
      <c r="AT23" s="142">
        <v>0</v>
      </c>
      <c r="AU23" s="4" t="s">
        <v>99</v>
      </c>
    </row>
    <row r="24" spans="1:47" x14ac:dyDescent="0.2">
      <c r="A24" s="174"/>
      <c r="B24" s="9" t="s">
        <v>27</v>
      </c>
      <c r="C24" s="1" t="s">
        <v>3507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3506</v>
      </c>
      <c r="O24" s="142" t="s">
        <v>106</v>
      </c>
      <c r="P24" s="80">
        <v>0</v>
      </c>
      <c r="Q24" s="1" t="s">
        <v>1172</v>
      </c>
      <c r="R24" s="1" t="s">
        <v>164</v>
      </c>
      <c r="S24" s="1" t="s">
        <v>164</v>
      </c>
      <c r="T24" s="143">
        <v>0</v>
      </c>
      <c r="U24" s="1" t="s">
        <v>1172</v>
      </c>
      <c r="V24" s="142">
        <v>0</v>
      </c>
      <c r="W24" s="142">
        <v>0</v>
      </c>
      <c r="X24" s="142">
        <v>0</v>
      </c>
      <c r="Y24" s="14" t="s">
        <v>3505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3504</v>
      </c>
      <c r="AK24" s="142" t="s">
        <v>106</v>
      </c>
      <c r="AL24" s="80">
        <v>0</v>
      </c>
      <c r="AM24" s="1" t="s">
        <v>1175</v>
      </c>
      <c r="AN24" s="1" t="s">
        <v>164</v>
      </c>
      <c r="AO24" s="1" t="s">
        <v>164</v>
      </c>
      <c r="AP24" s="143">
        <v>0</v>
      </c>
      <c r="AQ24" s="1" t="s">
        <v>1175</v>
      </c>
      <c r="AR24" s="142">
        <v>0</v>
      </c>
      <c r="AS24" s="142">
        <v>0</v>
      </c>
      <c r="AT24" s="142">
        <v>0</v>
      </c>
      <c r="AU24" s="4" t="s">
        <v>99</v>
      </c>
    </row>
    <row r="25" spans="1:47" x14ac:dyDescent="0.2">
      <c r="A25" s="174"/>
      <c r="B25" s="9" t="s">
        <v>28</v>
      </c>
      <c r="C25" s="1" t="s">
        <v>3503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5325</v>
      </c>
      <c r="L25" s="142">
        <v>5325</v>
      </c>
      <c r="M25" s="142">
        <v>5325</v>
      </c>
      <c r="N25" s="14" t="s">
        <v>3502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10564</v>
      </c>
      <c r="W25" s="142">
        <v>5282</v>
      </c>
      <c r="X25" s="142">
        <v>5282</v>
      </c>
      <c r="Y25" s="14" t="s">
        <v>3501</v>
      </c>
      <c r="Z25" s="142" t="s">
        <v>107</v>
      </c>
      <c r="AA25" s="1" t="s">
        <v>164</v>
      </c>
      <c r="AB25" s="1" t="s">
        <v>164</v>
      </c>
      <c r="AC25" s="1" t="s">
        <v>164</v>
      </c>
      <c r="AD25" s="1" t="s">
        <v>164</v>
      </c>
      <c r="AE25" s="143">
        <v>0.6</v>
      </c>
      <c r="AF25" s="1" t="s">
        <v>963</v>
      </c>
      <c r="AG25" s="142">
        <v>31069</v>
      </c>
      <c r="AH25" s="142">
        <v>5178.17</v>
      </c>
      <c r="AI25" s="142">
        <v>5217</v>
      </c>
      <c r="AJ25" s="14" t="s">
        <v>3500</v>
      </c>
      <c r="AK25" s="142" t="s">
        <v>107</v>
      </c>
      <c r="AL25" s="1" t="s">
        <v>164</v>
      </c>
      <c r="AM25" s="1" t="s">
        <v>164</v>
      </c>
      <c r="AN25" s="1" t="s">
        <v>164</v>
      </c>
      <c r="AO25" s="1" t="s">
        <v>164</v>
      </c>
      <c r="AP25" s="143">
        <v>0.6</v>
      </c>
      <c r="AQ25" s="1" t="s">
        <v>1239</v>
      </c>
      <c r="AR25" s="142">
        <v>63490</v>
      </c>
      <c r="AS25" s="142">
        <v>5290.83</v>
      </c>
      <c r="AT25" s="142">
        <v>5339</v>
      </c>
    </row>
    <row r="26" spans="1:47" x14ac:dyDescent="0.2">
      <c r="A26" s="174"/>
      <c r="B26" s="9" t="s">
        <v>112</v>
      </c>
      <c r="C26" s="1" t="s">
        <v>3499</v>
      </c>
      <c r="D26" s="142" t="s">
        <v>106</v>
      </c>
      <c r="E26" s="80">
        <v>0</v>
      </c>
      <c r="F26" s="1" t="s">
        <v>169</v>
      </c>
      <c r="G26" s="80">
        <v>0</v>
      </c>
      <c r="H26" s="1" t="s">
        <v>163</v>
      </c>
      <c r="I26" s="143">
        <v>0</v>
      </c>
      <c r="J26" s="1" t="s">
        <v>163</v>
      </c>
      <c r="K26" s="142">
        <v>0</v>
      </c>
      <c r="L26" s="142">
        <v>0</v>
      </c>
      <c r="M26" s="142">
        <v>0</v>
      </c>
      <c r="N26" s="14" t="s">
        <v>3498</v>
      </c>
      <c r="O26" s="142" t="s">
        <v>106</v>
      </c>
      <c r="P26" s="80">
        <v>0</v>
      </c>
      <c r="Q26" s="1" t="s">
        <v>169</v>
      </c>
      <c r="R26" s="80">
        <v>0</v>
      </c>
      <c r="S26" s="1" t="s">
        <v>939</v>
      </c>
      <c r="T26" s="143">
        <v>0</v>
      </c>
      <c r="U26" s="1" t="s">
        <v>939</v>
      </c>
      <c r="V26" s="142">
        <v>0</v>
      </c>
      <c r="W26" s="142">
        <v>0</v>
      </c>
      <c r="X26" s="142">
        <v>0</v>
      </c>
      <c r="Y26" s="14" t="s">
        <v>3497</v>
      </c>
      <c r="Z26" s="142" t="s">
        <v>107</v>
      </c>
      <c r="AA26" s="1" t="s">
        <v>164</v>
      </c>
      <c r="AB26" s="1" t="s">
        <v>164</v>
      </c>
      <c r="AC26" s="1" t="s">
        <v>164</v>
      </c>
      <c r="AD26" s="1" t="s">
        <v>164</v>
      </c>
      <c r="AE26" s="143">
        <v>0.1</v>
      </c>
      <c r="AF26" s="1" t="s">
        <v>1235</v>
      </c>
      <c r="AG26" s="142">
        <v>4928</v>
      </c>
      <c r="AH26" s="142">
        <v>4928</v>
      </c>
      <c r="AI26" s="142">
        <v>4928</v>
      </c>
      <c r="AJ26" s="14" t="s">
        <v>3496</v>
      </c>
      <c r="AK26" s="142" t="s">
        <v>107</v>
      </c>
      <c r="AL26" s="1" t="s">
        <v>164</v>
      </c>
      <c r="AM26" s="1" t="s">
        <v>164</v>
      </c>
      <c r="AN26" s="1" t="s">
        <v>164</v>
      </c>
      <c r="AO26" s="1" t="s">
        <v>164</v>
      </c>
      <c r="AP26" s="143">
        <v>0.1</v>
      </c>
      <c r="AQ26" s="1" t="s">
        <v>1233</v>
      </c>
      <c r="AR26" s="142">
        <v>10477</v>
      </c>
      <c r="AS26" s="142">
        <v>5238.5</v>
      </c>
      <c r="AT26" s="142">
        <v>5238.5</v>
      </c>
    </row>
    <row r="27" spans="1:47" x14ac:dyDescent="0.2">
      <c r="A27" s="174"/>
      <c r="B27" s="9" t="s">
        <v>29</v>
      </c>
      <c r="C27" s="1" t="s">
        <v>3495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3494</v>
      </c>
      <c r="O27" s="142" t="s">
        <v>106</v>
      </c>
      <c r="P27" s="80">
        <v>0</v>
      </c>
      <c r="Q27" s="1" t="s">
        <v>163</v>
      </c>
      <c r="R27" s="80">
        <v>0</v>
      </c>
      <c r="S27" s="1" t="s">
        <v>939</v>
      </c>
      <c r="T27" s="143">
        <v>0</v>
      </c>
      <c r="U27" s="1" t="s">
        <v>1161</v>
      </c>
      <c r="V27" s="142">
        <v>0</v>
      </c>
      <c r="W27" s="142">
        <v>0</v>
      </c>
      <c r="X27" s="142">
        <v>0</v>
      </c>
      <c r="Y27" s="14" t="s">
        <v>3493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3492</v>
      </c>
      <c r="AK27" s="142" t="s">
        <v>106</v>
      </c>
      <c r="AL27" s="80">
        <v>0</v>
      </c>
      <c r="AM27" s="1" t="s">
        <v>163</v>
      </c>
      <c r="AN27" s="80">
        <v>0</v>
      </c>
      <c r="AO27" s="1" t="s">
        <v>939</v>
      </c>
      <c r="AP27" s="143">
        <v>0</v>
      </c>
      <c r="AQ27" s="1" t="s">
        <v>1161</v>
      </c>
      <c r="AR27" s="142">
        <v>0</v>
      </c>
      <c r="AS27" s="142">
        <v>0</v>
      </c>
      <c r="AT27" s="142">
        <v>0</v>
      </c>
      <c r="AU27" s="4" t="s">
        <v>99</v>
      </c>
    </row>
    <row r="28" spans="1:47" x14ac:dyDescent="0.2">
      <c r="A28" s="174"/>
      <c r="B28" s="9" t="s">
        <v>30</v>
      </c>
      <c r="C28" s="1" t="s">
        <v>3491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3490</v>
      </c>
      <c r="O28" s="142" t="s">
        <v>106</v>
      </c>
      <c r="P28" s="80">
        <v>0</v>
      </c>
      <c r="Q28" s="1" t="s">
        <v>1161</v>
      </c>
      <c r="R28" s="1" t="s">
        <v>164</v>
      </c>
      <c r="S28" s="1" t="s">
        <v>164</v>
      </c>
      <c r="T28" s="143">
        <v>0</v>
      </c>
      <c r="U28" s="1" t="s">
        <v>1161</v>
      </c>
      <c r="V28" s="142">
        <v>0</v>
      </c>
      <c r="W28" s="142">
        <v>0</v>
      </c>
      <c r="X28" s="142">
        <v>0</v>
      </c>
      <c r="Y28" s="14" t="s">
        <v>3489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3488</v>
      </c>
      <c r="AK28" s="142" t="s">
        <v>106</v>
      </c>
      <c r="AL28" s="80">
        <v>0</v>
      </c>
      <c r="AM28" s="1" t="s">
        <v>1161</v>
      </c>
      <c r="AN28" s="1" t="s">
        <v>164</v>
      </c>
      <c r="AO28" s="1" t="s">
        <v>164</v>
      </c>
      <c r="AP28" s="143">
        <v>0</v>
      </c>
      <c r="AQ28" s="1" t="s">
        <v>1161</v>
      </c>
      <c r="AR28" s="142">
        <v>0</v>
      </c>
      <c r="AS28" s="142">
        <v>0</v>
      </c>
      <c r="AT28" s="142">
        <v>0</v>
      </c>
      <c r="AU28" s="4" t="s">
        <v>99</v>
      </c>
    </row>
    <row r="29" spans="1:47" x14ac:dyDescent="0.2">
      <c r="A29" s="174"/>
      <c r="B29" s="9" t="s">
        <v>31</v>
      </c>
      <c r="C29" s="1" t="s">
        <v>3487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5239</v>
      </c>
      <c r="L29" s="142">
        <v>5239</v>
      </c>
      <c r="M29" s="142">
        <v>5239</v>
      </c>
      <c r="N29" s="14" t="s">
        <v>3486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5061</v>
      </c>
      <c r="W29" s="142">
        <v>5061</v>
      </c>
      <c r="X29" s="142">
        <v>5061</v>
      </c>
      <c r="Y29" s="14" t="s">
        <v>3485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49331</v>
      </c>
      <c r="AH29" s="142">
        <v>4933.1000000000004</v>
      </c>
      <c r="AI29" s="142">
        <v>4946.5</v>
      </c>
      <c r="AJ29" s="14" t="s">
        <v>3484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48913</v>
      </c>
      <c r="AS29" s="142">
        <v>4891.3</v>
      </c>
      <c r="AT29" s="142">
        <v>4888.5</v>
      </c>
    </row>
    <row r="30" spans="1:47" x14ac:dyDescent="0.2">
      <c r="A30" s="174"/>
      <c r="B30" s="9" t="s">
        <v>32</v>
      </c>
      <c r="C30" s="1" t="s">
        <v>3483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11266</v>
      </c>
      <c r="L30" s="142">
        <v>11266</v>
      </c>
      <c r="M30" s="142">
        <v>11266</v>
      </c>
      <c r="N30" s="14" t="s">
        <v>3482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10551</v>
      </c>
      <c r="W30" s="142">
        <v>10551</v>
      </c>
      <c r="X30" s="142">
        <v>10551</v>
      </c>
      <c r="Y30" s="14" t="s">
        <v>3481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48983</v>
      </c>
      <c r="AH30" s="142">
        <v>4898.3</v>
      </c>
      <c r="AI30" s="142">
        <v>4903.5</v>
      </c>
      <c r="AJ30" s="14" t="s">
        <v>3480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49170</v>
      </c>
      <c r="AS30" s="142">
        <v>4917</v>
      </c>
      <c r="AT30" s="142">
        <v>4920</v>
      </c>
    </row>
    <row r="31" spans="1:47" x14ac:dyDescent="0.2">
      <c r="A31" s="174"/>
      <c r="B31" s="9" t="s">
        <v>35</v>
      </c>
      <c r="C31" s="1" t="s">
        <v>3479</v>
      </c>
      <c r="D31" s="142" t="s">
        <v>106</v>
      </c>
      <c r="E31" s="80">
        <v>0</v>
      </c>
      <c r="F31" s="1" t="s">
        <v>169</v>
      </c>
      <c r="G31" s="80">
        <v>1</v>
      </c>
      <c r="H31" s="1" t="s">
        <v>452</v>
      </c>
      <c r="I31" s="143">
        <v>1</v>
      </c>
      <c r="J31" s="1" t="s">
        <v>452</v>
      </c>
      <c r="K31" s="142">
        <v>15137</v>
      </c>
      <c r="L31" s="142">
        <v>15137</v>
      </c>
      <c r="M31" s="142">
        <v>15137</v>
      </c>
      <c r="N31" s="14" t="s">
        <v>3478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14338</v>
      </c>
      <c r="W31" s="142">
        <v>14338</v>
      </c>
      <c r="X31" s="142">
        <v>14338</v>
      </c>
      <c r="Y31" s="14" t="s">
        <v>3477</v>
      </c>
      <c r="Z31" s="142" t="s">
        <v>106</v>
      </c>
      <c r="AA31" s="80">
        <v>1</v>
      </c>
      <c r="AB31" s="1" t="s">
        <v>516</v>
      </c>
      <c r="AC31" s="80">
        <v>1</v>
      </c>
      <c r="AD31" s="1" t="s">
        <v>516</v>
      </c>
      <c r="AE31" s="143">
        <v>1</v>
      </c>
      <c r="AF31" s="1" t="s">
        <v>529</v>
      </c>
      <c r="AG31" s="142">
        <v>51353</v>
      </c>
      <c r="AH31" s="142">
        <v>5135.3</v>
      </c>
      <c r="AI31" s="142">
        <v>5129.5</v>
      </c>
      <c r="AJ31" s="14" t="s">
        <v>3476</v>
      </c>
      <c r="AK31" s="142" t="s">
        <v>106</v>
      </c>
      <c r="AL31" s="80">
        <v>1</v>
      </c>
      <c r="AM31" s="1" t="s">
        <v>516</v>
      </c>
      <c r="AN31" s="80">
        <v>1</v>
      </c>
      <c r="AO31" s="1" t="s">
        <v>516</v>
      </c>
      <c r="AP31" s="143">
        <v>1</v>
      </c>
      <c r="AQ31" s="1" t="s">
        <v>529</v>
      </c>
      <c r="AR31" s="142">
        <v>51662</v>
      </c>
      <c r="AS31" s="142">
        <v>5166.2</v>
      </c>
      <c r="AT31" s="142">
        <v>5150.5</v>
      </c>
      <c r="AU31" s="4" t="s">
        <v>102</v>
      </c>
    </row>
    <row r="32" spans="1:47" x14ac:dyDescent="0.2">
      <c r="A32" s="174"/>
      <c r="B32" s="9" t="s">
        <v>36</v>
      </c>
      <c r="C32" s="1" t="s">
        <v>3475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13163</v>
      </c>
      <c r="L32" s="142">
        <v>13163</v>
      </c>
      <c r="M32" s="142">
        <v>13163</v>
      </c>
      <c r="N32" s="14" t="s">
        <v>3474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12713</v>
      </c>
      <c r="W32" s="142">
        <v>12713</v>
      </c>
      <c r="X32" s="142">
        <v>12713</v>
      </c>
      <c r="Y32" s="14" t="s">
        <v>3473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49071</v>
      </c>
      <c r="AH32" s="142">
        <v>4907.1000000000004</v>
      </c>
      <c r="AI32" s="142">
        <v>4906</v>
      </c>
      <c r="AJ32" s="14" t="s">
        <v>3472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49496</v>
      </c>
      <c r="AS32" s="142">
        <v>4949.6000000000004</v>
      </c>
      <c r="AT32" s="142">
        <v>4949</v>
      </c>
      <c r="AU32" s="4" t="s">
        <v>102</v>
      </c>
    </row>
    <row r="33" spans="1:47" x14ac:dyDescent="0.2">
      <c r="A33" s="174"/>
      <c r="B33" s="9" t="s">
        <v>37</v>
      </c>
      <c r="C33" s="1" t="s">
        <v>3471</v>
      </c>
      <c r="D33" s="142" t="s">
        <v>106</v>
      </c>
      <c r="E33" s="80">
        <v>0</v>
      </c>
      <c r="F33" s="1" t="s">
        <v>169</v>
      </c>
      <c r="G33" s="80">
        <v>0</v>
      </c>
      <c r="H33" s="1" t="s">
        <v>163</v>
      </c>
      <c r="I33" s="143">
        <v>0</v>
      </c>
      <c r="J33" s="1" t="s">
        <v>163</v>
      </c>
      <c r="K33" s="142">
        <v>0</v>
      </c>
      <c r="L33" s="142">
        <v>0</v>
      </c>
      <c r="M33" s="142">
        <v>0</v>
      </c>
      <c r="N33" s="14" t="s">
        <v>3470</v>
      </c>
      <c r="O33" s="142" t="s">
        <v>106</v>
      </c>
      <c r="P33" s="80">
        <v>0</v>
      </c>
      <c r="Q33" s="1" t="s">
        <v>169</v>
      </c>
      <c r="R33" s="80">
        <v>1</v>
      </c>
      <c r="S33" s="1" t="s">
        <v>452</v>
      </c>
      <c r="T33" s="143">
        <v>1</v>
      </c>
      <c r="U33" s="1" t="s">
        <v>452</v>
      </c>
      <c r="V33" s="142">
        <v>5671</v>
      </c>
      <c r="W33" s="142">
        <v>5671</v>
      </c>
      <c r="X33" s="142">
        <v>5671</v>
      </c>
      <c r="Y33" s="14" t="s">
        <v>3469</v>
      </c>
      <c r="Z33" s="142" t="s">
        <v>106</v>
      </c>
      <c r="AA33" s="80">
        <v>1</v>
      </c>
      <c r="AB33" s="1" t="s">
        <v>516</v>
      </c>
      <c r="AC33" s="80">
        <v>1</v>
      </c>
      <c r="AD33" s="1" t="s">
        <v>516</v>
      </c>
      <c r="AE33" s="143">
        <v>1</v>
      </c>
      <c r="AF33" s="1" t="s">
        <v>529</v>
      </c>
      <c r="AG33" s="142">
        <v>83750</v>
      </c>
      <c r="AH33" s="142">
        <v>8375</v>
      </c>
      <c r="AI33" s="142">
        <v>7509</v>
      </c>
      <c r="AJ33" s="14" t="s">
        <v>3468</v>
      </c>
      <c r="AK33" s="142" t="s">
        <v>106</v>
      </c>
      <c r="AL33" s="80">
        <v>1</v>
      </c>
      <c r="AM33" s="1" t="s">
        <v>516</v>
      </c>
      <c r="AN33" s="80">
        <v>1</v>
      </c>
      <c r="AO33" s="1" t="s">
        <v>516</v>
      </c>
      <c r="AP33" s="143">
        <v>1</v>
      </c>
      <c r="AQ33" s="1" t="s">
        <v>529</v>
      </c>
      <c r="AR33" s="142">
        <v>81768</v>
      </c>
      <c r="AS33" s="142">
        <v>8176.8</v>
      </c>
      <c r="AT33" s="142">
        <v>7471.5</v>
      </c>
      <c r="AU33" s="4" t="s">
        <v>102</v>
      </c>
    </row>
    <row r="34" spans="1:47" x14ac:dyDescent="0.2">
      <c r="A34" s="174"/>
      <c r="B34" s="9" t="s">
        <v>38</v>
      </c>
      <c r="C34" s="1" t="s">
        <v>3467</v>
      </c>
      <c r="D34" s="142" t="s">
        <v>106</v>
      </c>
      <c r="E34" s="80">
        <v>0</v>
      </c>
      <c r="F34" s="1" t="s">
        <v>163</v>
      </c>
      <c r="G34" s="1" t="s">
        <v>164</v>
      </c>
      <c r="H34" s="1" t="s">
        <v>164</v>
      </c>
      <c r="I34" s="143">
        <v>0</v>
      </c>
      <c r="J34" s="1" t="s">
        <v>163</v>
      </c>
      <c r="K34" s="142">
        <v>0</v>
      </c>
      <c r="L34" s="142">
        <v>0</v>
      </c>
      <c r="M34" s="142">
        <v>0</v>
      </c>
      <c r="N34" s="14" t="s">
        <v>3466</v>
      </c>
      <c r="O34" s="142" t="s">
        <v>107</v>
      </c>
      <c r="P34" s="1" t="s">
        <v>164</v>
      </c>
      <c r="Q34" s="1" t="s">
        <v>164</v>
      </c>
      <c r="R34" s="1" t="s">
        <v>164</v>
      </c>
      <c r="S34" s="1" t="s">
        <v>164</v>
      </c>
      <c r="T34" s="143">
        <v>0</v>
      </c>
      <c r="U34" s="1" t="s">
        <v>163</v>
      </c>
      <c r="V34" s="142">
        <v>0</v>
      </c>
      <c r="W34" s="142">
        <v>0</v>
      </c>
      <c r="X34" s="142">
        <v>0</v>
      </c>
      <c r="Y34" s="14" t="s">
        <v>3465</v>
      </c>
      <c r="Z34" s="142" t="s">
        <v>106</v>
      </c>
      <c r="AA34" s="80">
        <v>1</v>
      </c>
      <c r="AB34" s="1" t="s">
        <v>529</v>
      </c>
      <c r="AC34" s="1" t="s">
        <v>164</v>
      </c>
      <c r="AD34" s="1" t="s">
        <v>164</v>
      </c>
      <c r="AE34" s="143">
        <v>1</v>
      </c>
      <c r="AF34" s="1" t="s">
        <v>529</v>
      </c>
      <c r="AG34" s="142">
        <v>69523</v>
      </c>
      <c r="AH34" s="142">
        <v>6952.3</v>
      </c>
      <c r="AI34" s="142">
        <v>5071.5</v>
      </c>
      <c r="AJ34" s="14" t="s">
        <v>3464</v>
      </c>
      <c r="AK34" s="142" t="s">
        <v>106</v>
      </c>
      <c r="AL34" s="80">
        <v>1</v>
      </c>
      <c r="AM34" s="1" t="s">
        <v>529</v>
      </c>
      <c r="AN34" s="1" t="s">
        <v>164</v>
      </c>
      <c r="AO34" s="1" t="s">
        <v>164</v>
      </c>
      <c r="AP34" s="143">
        <v>1</v>
      </c>
      <c r="AQ34" s="1" t="s">
        <v>529</v>
      </c>
      <c r="AR34" s="142">
        <v>70726</v>
      </c>
      <c r="AS34" s="142">
        <v>7072.6</v>
      </c>
      <c r="AT34" s="142">
        <v>5263</v>
      </c>
      <c r="AU34" s="4" t="s">
        <v>102</v>
      </c>
    </row>
    <row r="35" spans="1:47" x14ac:dyDescent="0.2">
      <c r="A35" s="174"/>
      <c r="B35" s="9" t="s">
        <v>39</v>
      </c>
      <c r="C35" s="1" t="s">
        <v>3463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5137</v>
      </c>
      <c r="L35" s="142">
        <v>5137</v>
      </c>
      <c r="M35" s="142">
        <v>5137</v>
      </c>
      <c r="N35" s="14" t="s">
        <v>3462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4812</v>
      </c>
      <c r="W35" s="142">
        <v>4812</v>
      </c>
      <c r="X35" s="142">
        <v>4812</v>
      </c>
      <c r="Y35" s="14" t="s">
        <v>3461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50107</v>
      </c>
      <c r="AH35" s="142">
        <v>5010.7</v>
      </c>
      <c r="AI35" s="142">
        <v>5042.5</v>
      </c>
      <c r="AJ35" s="14" t="s">
        <v>3460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50157</v>
      </c>
      <c r="AS35" s="142">
        <v>5015.7</v>
      </c>
      <c r="AT35" s="142">
        <v>4995</v>
      </c>
      <c r="AU35" s="4" t="s">
        <v>102</v>
      </c>
    </row>
    <row r="36" spans="1:47" x14ac:dyDescent="0.2">
      <c r="A36" s="174"/>
      <c r="B36" s="9" t="s">
        <v>40</v>
      </c>
      <c r="C36" s="1" t="s">
        <v>3459</v>
      </c>
      <c r="D36" s="142" t="s">
        <v>106</v>
      </c>
      <c r="E36" s="80">
        <v>0</v>
      </c>
      <c r="F36" s="1" t="s">
        <v>169</v>
      </c>
      <c r="G36" s="80">
        <v>0</v>
      </c>
      <c r="H36" s="1" t="s">
        <v>163</v>
      </c>
      <c r="I36" s="143">
        <v>0</v>
      </c>
      <c r="J36" s="1" t="s">
        <v>163</v>
      </c>
      <c r="K36" s="142">
        <v>0</v>
      </c>
      <c r="L36" s="142">
        <v>0</v>
      </c>
      <c r="M36" s="142">
        <v>0</v>
      </c>
      <c r="N36" s="14" t="s">
        <v>3458</v>
      </c>
      <c r="O36" s="142" t="s">
        <v>106</v>
      </c>
      <c r="P36" s="80">
        <v>0</v>
      </c>
      <c r="Q36" s="1" t="s">
        <v>169</v>
      </c>
      <c r="R36" s="80">
        <v>0</v>
      </c>
      <c r="S36" s="1" t="s">
        <v>163</v>
      </c>
      <c r="T36" s="143">
        <v>0</v>
      </c>
      <c r="U36" s="1" t="s">
        <v>163</v>
      </c>
      <c r="V36" s="142">
        <v>0</v>
      </c>
      <c r="W36" s="142">
        <v>0</v>
      </c>
      <c r="X36" s="142">
        <v>0</v>
      </c>
      <c r="Y36" s="14" t="s">
        <v>3457</v>
      </c>
      <c r="Z36" s="142" t="s">
        <v>106</v>
      </c>
      <c r="AA36" s="80">
        <v>1</v>
      </c>
      <c r="AB36" s="1" t="s">
        <v>516</v>
      </c>
      <c r="AC36" s="80">
        <v>0</v>
      </c>
      <c r="AD36" s="1" t="s">
        <v>218</v>
      </c>
      <c r="AE36" s="143">
        <v>0.5</v>
      </c>
      <c r="AF36" s="1" t="s">
        <v>511</v>
      </c>
      <c r="AG36" s="142">
        <v>24454</v>
      </c>
      <c r="AH36" s="142">
        <v>4890.8</v>
      </c>
      <c r="AI36" s="142">
        <v>4888</v>
      </c>
      <c r="AJ36" s="14" t="s">
        <v>3456</v>
      </c>
      <c r="AK36" s="142" t="s">
        <v>106</v>
      </c>
      <c r="AL36" s="80">
        <v>1</v>
      </c>
      <c r="AM36" s="1" t="s">
        <v>516</v>
      </c>
      <c r="AN36" s="80">
        <v>0</v>
      </c>
      <c r="AO36" s="1" t="s">
        <v>218</v>
      </c>
      <c r="AP36" s="143">
        <v>0.5</v>
      </c>
      <c r="AQ36" s="1" t="s">
        <v>511</v>
      </c>
      <c r="AR36" s="142">
        <v>24650</v>
      </c>
      <c r="AS36" s="142">
        <v>4930</v>
      </c>
      <c r="AT36" s="142">
        <v>4920</v>
      </c>
    </row>
    <row r="37" spans="1:47" x14ac:dyDescent="0.2">
      <c r="A37" s="174"/>
      <c r="B37" s="9" t="s">
        <v>41</v>
      </c>
      <c r="C37" s="1" t="s">
        <v>3455</v>
      </c>
      <c r="D37" s="142" t="s">
        <v>106</v>
      </c>
      <c r="E37" s="80">
        <v>0</v>
      </c>
      <c r="F37" s="1" t="s">
        <v>163</v>
      </c>
      <c r="G37" s="1" t="s">
        <v>164</v>
      </c>
      <c r="H37" s="1" t="s">
        <v>164</v>
      </c>
      <c r="I37" s="143">
        <v>0</v>
      </c>
      <c r="J37" s="1" t="s">
        <v>163</v>
      </c>
      <c r="K37" s="142">
        <v>0</v>
      </c>
      <c r="L37" s="142">
        <v>0</v>
      </c>
      <c r="M37" s="142">
        <v>0</v>
      </c>
      <c r="N37" s="14" t="s">
        <v>3454</v>
      </c>
      <c r="O37" s="142" t="s">
        <v>106</v>
      </c>
      <c r="P37" s="80">
        <v>0</v>
      </c>
      <c r="Q37" s="1" t="s">
        <v>163</v>
      </c>
      <c r="R37" s="1" t="s">
        <v>164</v>
      </c>
      <c r="S37" s="1" t="s">
        <v>164</v>
      </c>
      <c r="T37" s="143">
        <v>0</v>
      </c>
      <c r="U37" s="1" t="s">
        <v>163</v>
      </c>
      <c r="V37" s="142">
        <v>0</v>
      </c>
      <c r="W37" s="142">
        <v>0</v>
      </c>
      <c r="X37" s="142">
        <v>0</v>
      </c>
      <c r="Y37" s="14" t="s">
        <v>3453</v>
      </c>
      <c r="Z37" s="142" t="s">
        <v>106</v>
      </c>
      <c r="AA37" s="80">
        <v>0.5</v>
      </c>
      <c r="AB37" s="1" t="s">
        <v>511</v>
      </c>
      <c r="AC37" s="1" t="s">
        <v>164</v>
      </c>
      <c r="AD37" s="1" t="s">
        <v>164</v>
      </c>
      <c r="AE37" s="143">
        <v>0.5</v>
      </c>
      <c r="AF37" s="1" t="s">
        <v>511</v>
      </c>
      <c r="AG37" s="142">
        <v>24528</v>
      </c>
      <c r="AH37" s="142">
        <v>4905.6000000000004</v>
      </c>
      <c r="AI37" s="142">
        <v>4903</v>
      </c>
      <c r="AJ37" s="14" t="s">
        <v>3452</v>
      </c>
      <c r="AK37" s="142" t="s">
        <v>106</v>
      </c>
      <c r="AL37" s="80">
        <v>0.5</v>
      </c>
      <c r="AM37" s="1" t="s">
        <v>511</v>
      </c>
      <c r="AN37" s="1" t="s">
        <v>164</v>
      </c>
      <c r="AO37" s="1" t="s">
        <v>164</v>
      </c>
      <c r="AP37" s="143">
        <v>0.5</v>
      </c>
      <c r="AQ37" s="1" t="s">
        <v>511</v>
      </c>
      <c r="AR37" s="142">
        <v>24512</v>
      </c>
      <c r="AS37" s="142">
        <v>4902.3999999999996</v>
      </c>
      <c r="AT37" s="142">
        <v>4921</v>
      </c>
    </row>
    <row r="38" spans="1:47" x14ac:dyDescent="0.2">
      <c r="A38" s="174"/>
      <c r="B38" s="9" t="s">
        <v>42</v>
      </c>
      <c r="C38" s="1" t="s">
        <v>3451</v>
      </c>
      <c r="D38" s="142" t="s">
        <v>106</v>
      </c>
      <c r="E38" s="80">
        <v>0</v>
      </c>
      <c r="F38" s="1" t="s">
        <v>169</v>
      </c>
      <c r="G38" s="80">
        <v>1</v>
      </c>
      <c r="H38" s="1" t="s">
        <v>452</v>
      </c>
      <c r="I38" s="143">
        <v>1</v>
      </c>
      <c r="J38" s="1" t="s">
        <v>452</v>
      </c>
      <c r="K38" s="142">
        <v>5826</v>
      </c>
      <c r="L38" s="142">
        <v>5826</v>
      </c>
      <c r="M38" s="142">
        <v>5826</v>
      </c>
      <c r="N38" s="14" t="s">
        <v>3450</v>
      </c>
      <c r="O38" s="142" t="s">
        <v>106</v>
      </c>
      <c r="P38" s="80">
        <v>0</v>
      </c>
      <c r="Q38" s="1" t="s">
        <v>169</v>
      </c>
      <c r="R38" s="80">
        <v>1</v>
      </c>
      <c r="S38" s="1" t="s">
        <v>452</v>
      </c>
      <c r="T38" s="143">
        <v>1</v>
      </c>
      <c r="U38" s="1" t="s">
        <v>452</v>
      </c>
      <c r="V38" s="142">
        <v>4783</v>
      </c>
      <c r="W38" s="142">
        <v>4783</v>
      </c>
      <c r="X38" s="142">
        <v>4783</v>
      </c>
      <c r="Y38" s="14" t="s">
        <v>3449</v>
      </c>
      <c r="Z38" s="142" t="s">
        <v>106</v>
      </c>
      <c r="AA38" s="80">
        <v>1</v>
      </c>
      <c r="AB38" s="1" t="s">
        <v>516</v>
      </c>
      <c r="AC38" s="80">
        <v>1</v>
      </c>
      <c r="AD38" s="1" t="s">
        <v>516</v>
      </c>
      <c r="AE38" s="143">
        <v>1</v>
      </c>
      <c r="AF38" s="1" t="s">
        <v>529</v>
      </c>
      <c r="AG38" s="142">
        <v>51781</v>
      </c>
      <c r="AH38" s="142">
        <v>5178.1000000000004</v>
      </c>
      <c r="AI38" s="142">
        <v>5323</v>
      </c>
      <c r="AJ38" s="14" t="s">
        <v>3448</v>
      </c>
      <c r="AK38" s="142" t="s">
        <v>106</v>
      </c>
      <c r="AL38" s="80">
        <v>1</v>
      </c>
      <c r="AM38" s="1" t="s">
        <v>516</v>
      </c>
      <c r="AN38" s="80">
        <v>1</v>
      </c>
      <c r="AO38" s="1" t="s">
        <v>516</v>
      </c>
      <c r="AP38" s="143">
        <v>1</v>
      </c>
      <c r="AQ38" s="1" t="s">
        <v>529</v>
      </c>
      <c r="AR38" s="142">
        <v>49068</v>
      </c>
      <c r="AS38" s="142">
        <v>4906.8</v>
      </c>
      <c r="AT38" s="142">
        <v>4875.5</v>
      </c>
      <c r="AU38" s="4" t="s">
        <v>97</v>
      </c>
    </row>
    <row r="39" spans="1:47" x14ac:dyDescent="0.2">
      <c r="A39" s="174"/>
      <c r="B39" s="9" t="s">
        <v>43</v>
      </c>
      <c r="C39" s="1" t="s">
        <v>3447</v>
      </c>
      <c r="D39" s="142" t="s">
        <v>107</v>
      </c>
      <c r="E39" s="1" t="s">
        <v>164</v>
      </c>
      <c r="F39" s="1" t="s">
        <v>164</v>
      </c>
      <c r="G39" s="1" t="s">
        <v>164</v>
      </c>
      <c r="H39" s="1" t="s">
        <v>164</v>
      </c>
      <c r="I39" s="143">
        <v>0</v>
      </c>
      <c r="J39" s="1" t="s">
        <v>163</v>
      </c>
      <c r="K39" s="142">
        <v>0</v>
      </c>
      <c r="L39" s="142">
        <v>0</v>
      </c>
      <c r="M39" s="142">
        <v>0</v>
      </c>
      <c r="N39" s="14" t="s">
        <v>3446</v>
      </c>
      <c r="O39" s="142" t="s">
        <v>107</v>
      </c>
      <c r="P39" s="1" t="s">
        <v>164</v>
      </c>
      <c r="Q39" s="1" t="s">
        <v>164</v>
      </c>
      <c r="R39" s="1" t="s">
        <v>164</v>
      </c>
      <c r="S39" s="1" t="s">
        <v>164</v>
      </c>
      <c r="T39" s="143">
        <v>0</v>
      </c>
      <c r="U39" s="1" t="s">
        <v>163</v>
      </c>
      <c r="V39" s="142">
        <v>0</v>
      </c>
      <c r="W39" s="142">
        <v>0</v>
      </c>
      <c r="X39" s="142">
        <v>0</v>
      </c>
      <c r="Y39" s="14" t="s">
        <v>3445</v>
      </c>
      <c r="Z39" s="142" t="s">
        <v>106</v>
      </c>
      <c r="AA39" s="80">
        <v>1</v>
      </c>
      <c r="AB39" s="1" t="s">
        <v>529</v>
      </c>
      <c r="AC39" s="1" t="s">
        <v>164</v>
      </c>
      <c r="AD39" s="1" t="s">
        <v>164</v>
      </c>
      <c r="AE39" s="143">
        <v>1</v>
      </c>
      <c r="AF39" s="1" t="s">
        <v>529</v>
      </c>
      <c r="AG39" s="142">
        <v>48312</v>
      </c>
      <c r="AH39" s="142">
        <v>4831.2</v>
      </c>
      <c r="AI39" s="142">
        <v>4779.5</v>
      </c>
      <c r="AJ39" s="14" t="s">
        <v>3444</v>
      </c>
      <c r="AK39" s="142" t="s">
        <v>106</v>
      </c>
      <c r="AL39" s="80">
        <v>1</v>
      </c>
      <c r="AM39" s="1" t="s">
        <v>529</v>
      </c>
      <c r="AN39" s="1" t="s">
        <v>164</v>
      </c>
      <c r="AO39" s="1" t="s">
        <v>164</v>
      </c>
      <c r="AP39" s="143">
        <v>1</v>
      </c>
      <c r="AQ39" s="1" t="s">
        <v>529</v>
      </c>
      <c r="AR39" s="142">
        <v>48455</v>
      </c>
      <c r="AS39" s="142">
        <v>4845.5</v>
      </c>
      <c r="AT39" s="142">
        <v>4824</v>
      </c>
      <c r="AU39" s="4" t="s">
        <v>97</v>
      </c>
    </row>
    <row r="40" spans="1:47" x14ac:dyDescent="0.2">
      <c r="A40" s="174"/>
      <c r="B40" s="9" t="s">
        <v>44</v>
      </c>
      <c r="C40" s="1" t="s">
        <v>3443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3442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3441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3440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4"/>
      <c r="B41" s="9" t="s">
        <v>45</v>
      </c>
      <c r="C41" s="1" t="s">
        <v>3439</v>
      </c>
      <c r="D41" s="142" t="s">
        <v>106</v>
      </c>
      <c r="E41" s="80">
        <v>0</v>
      </c>
      <c r="F41" s="1" t="s">
        <v>163</v>
      </c>
      <c r="G41" s="1" t="s">
        <v>164</v>
      </c>
      <c r="H41" s="1" t="s">
        <v>164</v>
      </c>
      <c r="I41" s="143">
        <v>0</v>
      </c>
      <c r="J41" s="1" t="s">
        <v>163</v>
      </c>
      <c r="K41" s="142">
        <v>0</v>
      </c>
      <c r="L41" s="142">
        <v>0</v>
      </c>
      <c r="M41" s="142">
        <v>0</v>
      </c>
      <c r="N41" s="14" t="s">
        <v>3438</v>
      </c>
      <c r="O41" s="142" t="s">
        <v>106</v>
      </c>
      <c r="P41" s="80">
        <v>0</v>
      </c>
      <c r="Q41" s="1" t="s">
        <v>1172</v>
      </c>
      <c r="R41" s="1" t="s">
        <v>164</v>
      </c>
      <c r="S41" s="1" t="s">
        <v>164</v>
      </c>
      <c r="T41" s="143">
        <v>0</v>
      </c>
      <c r="U41" s="1" t="s">
        <v>1172</v>
      </c>
      <c r="V41" s="142">
        <v>0</v>
      </c>
      <c r="W41" s="142">
        <v>0</v>
      </c>
      <c r="X41" s="142">
        <v>0</v>
      </c>
      <c r="Y41" s="14" t="s">
        <v>3437</v>
      </c>
      <c r="Z41" s="142" t="s">
        <v>106</v>
      </c>
      <c r="AA41" s="80">
        <v>0</v>
      </c>
      <c r="AB41" s="1" t="s">
        <v>213</v>
      </c>
      <c r="AC41" s="1" t="s">
        <v>164</v>
      </c>
      <c r="AD41" s="1" t="s">
        <v>164</v>
      </c>
      <c r="AE41" s="143">
        <v>0</v>
      </c>
      <c r="AF41" s="1" t="s">
        <v>213</v>
      </c>
      <c r="AG41" s="142">
        <v>0</v>
      </c>
      <c r="AH41" s="142">
        <v>0</v>
      </c>
      <c r="AI41" s="142">
        <v>0</v>
      </c>
      <c r="AJ41" s="14" t="s">
        <v>3436</v>
      </c>
      <c r="AK41" s="142" t="s">
        <v>106</v>
      </c>
      <c r="AL41" s="80">
        <v>0</v>
      </c>
      <c r="AM41" s="1" t="s">
        <v>1175</v>
      </c>
      <c r="AN41" s="1" t="s">
        <v>164</v>
      </c>
      <c r="AO41" s="1" t="s">
        <v>164</v>
      </c>
      <c r="AP41" s="143">
        <v>0</v>
      </c>
      <c r="AQ41" s="1" t="s">
        <v>1175</v>
      </c>
      <c r="AR41" s="142">
        <v>0</v>
      </c>
      <c r="AS41" s="142">
        <v>0</v>
      </c>
      <c r="AT41" s="142">
        <v>0</v>
      </c>
      <c r="AU41" s="4" t="s">
        <v>94</v>
      </c>
    </row>
    <row r="42" spans="1:47" x14ac:dyDescent="0.2">
      <c r="A42" s="174"/>
      <c r="B42" s="9" t="s">
        <v>46</v>
      </c>
      <c r="C42" s="1" t="s">
        <v>3435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3434</v>
      </c>
      <c r="O42" s="142" t="s">
        <v>106</v>
      </c>
      <c r="P42" s="80">
        <v>0</v>
      </c>
      <c r="Q42" s="1" t="s">
        <v>939</v>
      </c>
      <c r="R42" s="80">
        <v>0</v>
      </c>
      <c r="S42" s="1" t="s">
        <v>163</v>
      </c>
      <c r="T42" s="143">
        <v>0</v>
      </c>
      <c r="U42" s="1" t="s">
        <v>1161</v>
      </c>
      <c r="V42" s="142">
        <v>0</v>
      </c>
      <c r="W42" s="142">
        <v>0</v>
      </c>
      <c r="X42" s="142">
        <v>0</v>
      </c>
      <c r="Y42" s="14" t="s">
        <v>3433</v>
      </c>
      <c r="Z42" s="142" t="s">
        <v>106</v>
      </c>
      <c r="AA42" s="80">
        <v>0.4</v>
      </c>
      <c r="AB42" s="1" t="s">
        <v>974</v>
      </c>
      <c r="AC42" s="80">
        <v>0</v>
      </c>
      <c r="AD42" s="1" t="s">
        <v>218</v>
      </c>
      <c r="AE42" s="143">
        <v>0.2</v>
      </c>
      <c r="AF42" s="1" t="s">
        <v>930</v>
      </c>
      <c r="AG42" s="142">
        <v>9755</v>
      </c>
      <c r="AH42" s="142">
        <v>4877.5</v>
      </c>
      <c r="AI42" s="142">
        <v>4877.5</v>
      </c>
      <c r="AJ42" s="14" t="s">
        <v>3432</v>
      </c>
      <c r="AK42" s="142" t="s">
        <v>106</v>
      </c>
      <c r="AL42" s="80">
        <v>0</v>
      </c>
      <c r="AM42" s="1" t="s">
        <v>1164</v>
      </c>
      <c r="AN42" s="80">
        <v>0</v>
      </c>
      <c r="AO42" s="1" t="s">
        <v>218</v>
      </c>
      <c r="AP42" s="143">
        <v>0</v>
      </c>
      <c r="AQ42" s="1" t="s">
        <v>1158</v>
      </c>
      <c r="AR42" s="142">
        <v>0</v>
      </c>
      <c r="AS42" s="142">
        <v>0</v>
      </c>
      <c r="AT42" s="142">
        <v>0</v>
      </c>
      <c r="AU42" s="4" t="s">
        <v>98</v>
      </c>
    </row>
    <row r="43" spans="1:47" x14ac:dyDescent="0.2">
      <c r="A43" s="174"/>
      <c r="B43" s="9" t="s">
        <v>47</v>
      </c>
      <c r="C43" s="1" t="s">
        <v>3431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3430</v>
      </c>
      <c r="O43" s="142" t="s">
        <v>106</v>
      </c>
      <c r="P43" s="80">
        <v>0</v>
      </c>
      <c r="Q43" s="1" t="s">
        <v>1161</v>
      </c>
      <c r="R43" s="1" t="s">
        <v>164</v>
      </c>
      <c r="S43" s="1" t="s">
        <v>164</v>
      </c>
      <c r="T43" s="143">
        <v>0</v>
      </c>
      <c r="U43" s="1" t="s">
        <v>1161</v>
      </c>
      <c r="V43" s="142">
        <v>0</v>
      </c>
      <c r="W43" s="142">
        <v>0</v>
      </c>
      <c r="X43" s="142">
        <v>0</v>
      </c>
      <c r="Y43" s="14" t="s">
        <v>3429</v>
      </c>
      <c r="Z43" s="142" t="s">
        <v>106</v>
      </c>
      <c r="AA43" s="80">
        <v>0.1</v>
      </c>
      <c r="AB43" s="1" t="s">
        <v>1235</v>
      </c>
      <c r="AC43" s="1" t="s">
        <v>164</v>
      </c>
      <c r="AD43" s="1" t="s">
        <v>164</v>
      </c>
      <c r="AE43" s="143">
        <v>0.1</v>
      </c>
      <c r="AF43" s="1" t="s">
        <v>1235</v>
      </c>
      <c r="AG43" s="142">
        <v>4917</v>
      </c>
      <c r="AH43" s="142">
        <v>4917</v>
      </c>
      <c r="AI43" s="142">
        <v>4917</v>
      </c>
      <c r="AJ43" s="14" t="s">
        <v>3428</v>
      </c>
      <c r="AK43" s="142" t="s">
        <v>106</v>
      </c>
      <c r="AL43" s="80">
        <v>0.1</v>
      </c>
      <c r="AM43" s="1" t="s">
        <v>3427</v>
      </c>
      <c r="AN43" s="1" t="s">
        <v>164</v>
      </c>
      <c r="AO43" s="1" t="s">
        <v>164</v>
      </c>
      <c r="AP43" s="143">
        <v>0.1</v>
      </c>
      <c r="AQ43" s="1" t="s">
        <v>3427</v>
      </c>
      <c r="AR43" s="142">
        <v>14662</v>
      </c>
      <c r="AS43" s="142">
        <v>4887.33</v>
      </c>
      <c r="AT43" s="142">
        <v>4898</v>
      </c>
      <c r="AU43" s="4" t="s">
        <v>98</v>
      </c>
    </row>
    <row r="44" spans="1:47" x14ac:dyDescent="0.2">
      <c r="A44" s="174"/>
      <c r="B44" s="9" t="s">
        <v>48</v>
      </c>
      <c r="C44" s="1" t="s">
        <v>3426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5105</v>
      </c>
      <c r="L44" s="142">
        <v>5105</v>
      </c>
      <c r="M44" s="142">
        <v>5105</v>
      </c>
      <c r="N44" s="14" t="s">
        <v>3425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9822</v>
      </c>
      <c r="W44" s="142">
        <v>4911</v>
      </c>
      <c r="X44" s="142">
        <v>4911</v>
      </c>
      <c r="Y44" s="14" t="s">
        <v>3424</v>
      </c>
      <c r="Z44" s="142" t="s">
        <v>106</v>
      </c>
      <c r="AA44" s="80">
        <v>1</v>
      </c>
      <c r="AB44" s="1" t="s">
        <v>516</v>
      </c>
      <c r="AC44" s="80">
        <v>0.6</v>
      </c>
      <c r="AD44" s="1" t="s">
        <v>964</v>
      </c>
      <c r="AE44" s="143">
        <v>0.8</v>
      </c>
      <c r="AF44" s="1" t="s">
        <v>1077</v>
      </c>
      <c r="AG44" s="142">
        <v>39823</v>
      </c>
      <c r="AH44" s="142">
        <v>4977.88</v>
      </c>
      <c r="AI44" s="142">
        <v>4943</v>
      </c>
      <c r="AJ44" s="14" t="s">
        <v>3423</v>
      </c>
      <c r="AK44" s="142" t="s">
        <v>106</v>
      </c>
      <c r="AL44" s="80">
        <v>1</v>
      </c>
      <c r="AM44" s="1" t="s">
        <v>529</v>
      </c>
      <c r="AN44" s="80">
        <v>0.6</v>
      </c>
      <c r="AO44" s="1" t="s">
        <v>963</v>
      </c>
      <c r="AP44" s="143">
        <v>0.8</v>
      </c>
      <c r="AQ44" s="1" t="s">
        <v>1320</v>
      </c>
      <c r="AR44" s="142">
        <v>78496</v>
      </c>
      <c r="AS44" s="142">
        <v>4906</v>
      </c>
      <c r="AT44" s="142">
        <v>4901</v>
      </c>
    </row>
    <row r="45" spans="1:47" x14ac:dyDescent="0.2">
      <c r="A45" s="174"/>
      <c r="B45" s="9" t="s">
        <v>49</v>
      </c>
      <c r="C45" s="1" t="s">
        <v>3422</v>
      </c>
      <c r="D45" s="142" t="s">
        <v>106</v>
      </c>
      <c r="E45" s="80">
        <v>0</v>
      </c>
      <c r="F45" s="1" t="s">
        <v>163</v>
      </c>
      <c r="G45" s="1" t="s">
        <v>164</v>
      </c>
      <c r="H45" s="1" t="s">
        <v>164</v>
      </c>
      <c r="I45" s="143">
        <v>0</v>
      </c>
      <c r="J45" s="1" t="s">
        <v>163</v>
      </c>
      <c r="K45" s="142">
        <v>0</v>
      </c>
      <c r="L45" s="142">
        <v>0</v>
      </c>
      <c r="M45" s="142">
        <v>0</v>
      </c>
      <c r="N45" s="14" t="s">
        <v>3421</v>
      </c>
      <c r="O45" s="142" t="s">
        <v>106</v>
      </c>
      <c r="P45" s="80">
        <v>0</v>
      </c>
      <c r="Q45" s="1" t="s">
        <v>939</v>
      </c>
      <c r="R45" s="1" t="s">
        <v>164</v>
      </c>
      <c r="S45" s="1" t="s">
        <v>164</v>
      </c>
      <c r="T45" s="143">
        <v>0</v>
      </c>
      <c r="U45" s="1" t="s">
        <v>939</v>
      </c>
      <c r="V45" s="142">
        <v>0</v>
      </c>
      <c r="W45" s="142">
        <v>0</v>
      </c>
      <c r="X45" s="142">
        <v>0</v>
      </c>
      <c r="Y45" s="14" t="s">
        <v>3420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51230</v>
      </c>
      <c r="AH45" s="142">
        <v>5123</v>
      </c>
      <c r="AI45" s="142">
        <v>5050</v>
      </c>
      <c r="AJ45" s="14" t="s">
        <v>3419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102880</v>
      </c>
      <c r="AS45" s="142">
        <v>5144</v>
      </c>
      <c r="AT45" s="142">
        <v>5055</v>
      </c>
    </row>
    <row r="46" spans="1:47" x14ac:dyDescent="0.2">
      <c r="A46" s="174"/>
      <c r="B46" s="9" t="s">
        <v>50</v>
      </c>
      <c r="C46" s="1" t="s">
        <v>3418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5533</v>
      </c>
      <c r="L46" s="142">
        <v>5533</v>
      </c>
      <c r="M46" s="142">
        <v>5533</v>
      </c>
      <c r="N46" s="14" t="s">
        <v>3417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3416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49910</v>
      </c>
      <c r="AH46" s="142">
        <v>4991</v>
      </c>
      <c r="AI46" s="142">
        <v>4973.5</v>
      </c>
      <c r="AJ46" s="14" t="s">
        <v>3415</v>
      </c>
      <c r="AK46" s="142" t="s">
        <v>106</v>
      </c>
      <c r="AL46" s="80">
        <v>0</v>
      </c>
      <c r="AM46" s="1" t="s">
        <v>218</v>
      </c>
      <c r="AN46" s="80">
        <v>0</v>
      </c>
      <c r="AO46" s="1" t="s">
        <v>218</v>
      </c>
      <c r="AP46" s="143">
        <v>0</v>
      </c>
      <c r="AQ46" s="1" t="s">
        <v>213</v>
      </c>
      <c r="AR46" s="142">
        <v>0</v>
      </c>
      <c r="AS46" s="142">
        <v>0</v>
      </c>
      <c r="AT46" s="142">
        <v>0</v>
      </c>
    </row>
    <row r="47" spans="1:47" x14ac:dyDescent="0.2">
      <c r="A47" s="174"/>
      <c r="B47" s="9" t="s">
        <v>51</v>
      </c>
      <c r="C47" s="1" t="s">
        <v>3414</v>
      </c>
      <c r="D47" s="142" t="s">
        <v>106</v>
      </c>
      <c r="E47" s="80">
        <v>0</v>
      </c>
      <c r="F47" s="1" t="s">
        <v>163</v>
      </c>
      <c r="G47" s="1" t="s">
        <v>164</v>
      </c>
      <c r="H47" s="1" t="s">
        <v>164</v>
      </c>
      <c r="I47" s="143">
        <v>0</v>
      </c>
      <c r="J47" s="1" t="s">
        <v>163</v>
      </c>
      <c r="K47" s="142">
        <v>0</v>
      </c>
      <c r="L47" s="142">
        <v>0</v>
      </c>
      <c r="M47" s="142">
        <v>0</v>
      </c>
      <c r="N47" s="14" t="s">
        <v>3413</v>
      </c>
      <c r="O47" s="142" t="s">
        <v>106</v>
      </c>
      <c r="P47" s="80">
        <v>0</v>
      </c>
      <c r="Q47" s="1" t="s">
        <v>939</v>
      </c>
      <c r="R47" s="1" t="s">
        <v>164</v>
      </c>
      <c r="S47" s="1" t="s">
        <v>164</v>
      </c>
      <c r="T47" s="143">
        <v>0</v>
      </c>
      <c r="U47" s="1" t="s">
        <v>939</v>
      </c>
      <c r="V47" s="142">
        <v>0</v>
      </c>
      <c r="W47" s="142">
        <v>0</v>
      </c>
      <c r="X47" s="142">
        <v>0</v>
      </c>
      <c r="Y47" s="14" t="s">
        <v>3412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48762</v>
      </c>
      <c r="AH47" s="142">
        <v>4876.2</v>
      </c>
      <c r="AI47" s="142">
        <v>4864.5</v>
      </c>
      <c r="AJ47" s="14" t="s">
        <v>3411</v>
      </c>
      <c r="AK47" s="142" t="s">
        <v>106</v>
      </c>
      <c r="AL47" s="80">
        <v>0.5</v>
      </c>
      <c r="AM47" s="1" t="s">
        <v>936</v>
      </c>
      <c r="AN47" s="1" t="s">
        <v>164</v>
      </c>
      <c r="AO47" s="1" t="s">
        <v>164</v>
      </c>
      <c r="AP47" s="143">
        <v>0.5</v>
      </c>
      <c r="AQ47" s="1" t="s">
        <v>936</v>
      </c>
      <c r="AR47" s="142">
        <v>49050</v>
      </c>
      <c r="AS47" s="142">
        <v>4905</v>
      </c>
      <c r="AT47" s="142">
        <v>4871.5</v>
      </c>
    </row>
    <row r="48" spans="1:47" x14ac:dyDescent="0.2">
      <c r="A48" s="174"/>
      <c r="B48" s="9" t="s">
        <v>52</v>
      </c>
      <c r="C48" s="1" t="s">
        <v>3410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9131</v>
      </c>
      <c r="L48" s="142">
        <v>9131</v>
      </c>
      <c r="M48" s="142">
        <v>9131</v>
      </c>
      <c r="N48" s="14" t="s">
        <v>3409</v>
      </c>
      <c r="O48" s="142" t="s">
        <v>106</v>
      </c>
      <c r="P48" s="80">
        <v>0</v>
      </c>
      <c r="Q48" s="1" t="s">
        <v>169</v>
      </c>
      <c r="R48" s="80">
        <v>0</v>
      </c>
      <c r="S48" s="1" t="s">
        <v>163</v>
      </c>
      <c r="T48" s="143">
        <v>0</v>
      </c>
      <c r="U48" s="1" t="s">
        <v>163</v>
      </c>
      <c r="V48" s="142">
        <v>0</v>
      </c>
      <c r="W48" s="142">
        <v>0</v>
      </c>
      <c r="X48" s="142">
        <v>0</v>
      </c>
      <c r="Y48" s="14" t="s">
        <v>3408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1165724</v>
      </c>
      <c r="AH48" s="142">
        <v>116572.4</v>
      </c>
      <c r="AI48" s="142">
        <v>5059.5</v>
      </c>
      <c r="AJ48" s="14" t="s">
        <v>3407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986449</v>
      </c>
      <c r="AS48" s="142">
        <v>98644.9</v>
      </c>
      <c r="AT48" s="142">
        <v>5047.5</v>
      </c>
    </row>
    <row r="49" spans="1:47" x14ac:dyDescent="0.2">
      <c r="A49" s="174"/>
      <c r="B49" s="9" t="s">
        <v>53</v>
      </c>
      <c r="C49" s="1" t="s">
        <v>3406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9965</v>
      </c>
      <c r="L49" s="142">
        <v>9965</v>
      </c>
      <c r="M49" s="142">
        <v>9965</v>
      </c>
      <c r="N49" s="14" t="s">
        <v>3405</v>
      </c>
      <c r="O49" s="142" t="s">
        <v>106</v>
      </c>
      <c r="P49" s="80">
        <v>0</v>
      </c>
      <c r="Q49" s="1" t="s">
        <v>163</v>
      </c>
      <c r="R49" s="1" t="s">
        <v>164</v>
      </c>
      <c r="S49" s="1" t="s">
        <v>164</v>
      </c>
      <c r="T49" s="143">
        <v>0</v>
      </c>
      <c r="U49" s="1" t="s">
        <v>163</v>
      </c>
      <c r="V49" s="142">
        <v>0</v>
      </c>
      <c r="W49" s="142">
        <v>0</v>
      </c>
      <c r="X49" s="142">
        <v>0</v>
      </c>
      <c r="Y49" s="14" t="s">
        <v>3404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3405215</v>
      </c>
      <c r="AH49" s="142">
        <v>340521.5</v>
      </c>
      <c r="AI49" s="142">
        <v>559274.5</v>
      </c>
      <c r="AJ49" s="14" t="s">
        <v>3403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2868269</v>
      </c>
      <c r="AS49" s="142">
        <v>286826.90000000002</v>
      </c>
      <c r="AT49" s="142">
        <v>8613</v>
      </c>
    </row>
    <row r="50" spans="1:47" x14ac:dyDescent="0.2">
      <c r="A50" s="174"/>
      <c r="B50" s="10" t="s">
        <v>54</v>
      </c>
      <c r="C50" s="1" t="s">
        <v>3402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3401</v>
      </c>
      <c r="O50" s="142" t="s">
        <v>106</v>
      </c>
      <c r="P50" s="80">
        <v>0</v>
      </c>
      <c r="Q50" s="1" t="s">
        <v>163</v>
      </c>
      <c r="R50" s="80">
        <v>0</v>
      </c>
      <c r="S50" s="1" t="s">
        <v>163</v>
      </c>
      <c r="T50" s="143">
        <v>0</v>
      </c>
      <c r="U50" s="1" t="s">
        <v>939</v>
      </c>
      <c r="V50" s="142">
        <v>0</v>
      </c>
      <c r="W50" s="142">
        <v>0</v>
      </c>
      <c r="X50" s="142">
        <v>0</v>
      </c>
      <c r="Y50" s="14" t="s">
        <v>3400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3399</v>
      </c>
      <c r="AK50" s="142" t="s">
        <v>106</v>
      </c>
      <c r="AL50" s="80">
        <v>0</v>
      </c>
      <c r="AM50" s="1" t="s">
        <v>1305</v>
      </c>
      <c r="AN50" s="80">
        <v>0</v>
      </c>
      <c r="AO50" s="1" t="s">
        <v>218</v>
      </c>
      <c r="AP50" s="143">
        <v>0</v>
      </c>
      <c r="AQ50" s="1" t="s">
        <v>1176</v>
      </c>
      <c r="AR50" s="142">
        <v>0</v>
      </c>
      <c r="AS50" s="142">
        <v>0</v>
      </c>
      <c r="AT50" s="142">
        <v>0</v>
      </c>
      <c r="AU50" s="4" t="s">
        <v>99</v>
      </c>
    </row>
    <row r="51" spans="1:47" x14ac:dyDescent="0.2">
      <c r="A51" s="174"/>
      <c r="B51" s="10" t="s">
        <v>55</v>
      </c>
      <c r="C51" s="1" t="s">
        <v>3398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3397</v>
      </c>
      <c r="O51" s="142" t="s">
        <v>106</v>
      </c>
      <c r="P51" s="80">
        <v>0</v>
      </c>
      <c r="Q51" s="1" t="s">
        <v>939</v>
      </c>
      <c r="R51" s="1" t="s">
        <v>164</v>
      </c>
      <c r="S51" s="1" t="s">
        <v>164</v>
      </c>
      <c r="T51" s="143">
        <v>0</v>
      </c>
      <c r="U51" s="1" t="s">
        <v>939</v>
      </c>
      <c r="V51" s="142">
        <v>0</v>
      </c>
      <c r="W51" s="142">
        <v>0</v>
      </c>
      <c r="X51" s="142">
        <v>0</v>
      </c>
      <c r="Y51" s="14" t="s">
        <v>3396</v>
      </c>
      <c r="Z51" s="142" t="s">
        <v>106</v>
      </c>
      <c r="AA51" s="80">
        <v>0</v>
      </c>
      <c r="AB51" s="1" t="s">
        <v>213</v>
      </c>
      <c r="AC51" s="1" t="s">
        <v>164</v>
      </c>
      <c r="AD51" s="1" t="s">
        <v>164</v>
      </c>
      <c r="AE51" s="143">
        <v>0</v>
      </c>
      <c r="AF51" s="1" t="s">
        <v>213</v>
      </c>
      <c r="AG51" s="142">
        <v>0</v>
      </c>
      <c r="AH51" s="142">
        <v>0</v>
      </c>
      <c r="AI51" s="142">
        <v>0</v>
      </c>
      <c r="AJ51" s="14" t="s">
        <v>3395</v>
      </c>
      <c r="AK51" s="142" t="s">
        <v>106</v>
      </c>
      <c r="AL51" s="80">
        <v>0</v>
      </c>
      <c r="AM51" s="1" t="s">
        <v>1176</v>
      </c>
      <c r="AN51" s="1" t="s">
        <v>164</v>
      </c>
      <c r="AO51" s="1" t="s">
        <v>164</v>
      </c>
      <c r="AP51" s="143">
        <v>0</v>
      </c>
      <c r="AQ51" s="1" t="s">
        <v>1176</v>
      </c>
      <c r="AR51" s="142">
        <v>0</v>
      </c>
      <c r="AS51" s="142">
        <v>0</v>
      </c>
      <c r="AT51" s="142">
        <v>0</v>
      </c>
      <c r="AU51" s="4" t="s">
        <v>99</v>
      </c>
    </row>
    <row r="52" spans="1:47" x14ac:dyDescent="0.2">
      <c r="A52" s="174"/>
      <c r="B52" s="9" t="s">
        <v>56</v>
      </c>
      <c r="C52" s="1" t="s">
        <v>3394</v>
      </c>
      <c r="D52" s="142" t="s">
        <v>106</v>
      </c>
      <c r="E52" s="80">
        <v>0</v>
      </c>
      <c r="F52" s="1" t="s">
        <v>169</v>
      </c>
      <c r="G52" s="80">
        <v>0</v>
      </c>
      <c r="H52" s="1" t="s">
        <v>163</v>
      </c>
      <c r="I52" s="143">
        <v>0</v>
      </c>
      <c r="J52" s="1" t="s">
        <v>163</v>
      </c>
      <c r="K52" s="142">
        <v>0</v>
      </c>
      <c r="L52" s="142">
        <v>0</v>
      </c>
      <c r="M52" s="142">
        <v>0</v>
      </c>
      <c r="N52" s="14" t="s">
        <v>3393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10006</v>
      </c>
      <c r="W52" s="142">
        <v>5003</v>
      </c>
      <c r="X52" s="142">
        <v>5003</v>
      </c>
      <c r="Y52" s="14" t="s">
        <v>3392</v>
      </c>
      <c r="Z52" s="142" t="s">
        <v>106</v>
      </c>
      <c r="AA52" s="80">
        <v>1</v>
      </c>
      <c r="AB52" s="1" t="s">
        <v>516</v>
      </c>
      <c r="AC52" s="80">
        <v>0</v>
      </c>
      <c r="AD52" s="1" t="s">
        <v>218</v>
      </c>
      <c r="AE52" s="143">
        <v>0.5</v>
      </c>
      <c r="AF52" s="1" t="s">
        <v>511</v>
      </c>
      <c r="AG52" s="142">
        <v>25306</v>
      </c>
      <c r="AH52" s="142">
        <v>5061.2</v>
      </c>
      <c r="AI52" s="142">
        <v>4970</v>
      </c>
      <c r="AJ52" s="14" t="s">
        <v>3391</v>
      </c>
      <c r="AK52" s="142" t="s">
        <v>106</v>
      </c>
      <c r="AL52" s="80">
        <v>1</v>
      </c>
      <c r="AM52" s="1" t="s">
        <v>529</v>
      </c>
      <c r="AN52" s="80">
        <v>0.9</v>
      </c>
      <c r="AO52" s="1" t="s">
        <v>951</v>
      </c>
      <c r="AP52" s="143">
        <v>0.95</v>
      </c>
      <c r="AQ52" s="1" t="s">
        <v>1315</v>
      </c>
      <c r="AR52" s="142">
        <v>96310</v>
      </c>
      <c r="AS52" s="142">
        <v>5068.95</v>
      </c>
      <c r="AT52" s="142">
        <v>4900</v>
      </c>
    </row>
    <row r="53" spans="1:47" x14ac:dyDescent="0.2">
      <c r="A53" s="174"/>
      <c r="B53" s="9" t="s">
        <v>57</v>
      </c>
      <c r="C53" s="1" t="s">
        <v>3390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8632</v>
      </c>
      <c r="L53" s="142">
        <v>8632</v>
      </c>
      <c r="M53" s="142">
        <v>8632</v>
      </c>
      <c r="N53" s="14" t="s">
        <v>3389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15244</v>
      </c>
      <c r="W53" s="142">
        <v>7622</v>
      </c>
      <c r="X53" s="142">
        <v>7622</v>
      </c>
      <c r="Y53" s="14" t="s">
        <v>3388</v>
      </c>
      <c r="Z53" s="142" t="s">
        <v>106</v>
      </c>
      <c r="AA53" s="80">
        <v>0.8</v>
      </c>
      <c r="AB53" s="1" t="s">
        <v>1077</v>
      </c>
      <c r="AC53" s="1" t="s">
        <v>164</v>
      </c>
      <c r="AD53" s="1" t="s">
        <v>164</v>
      </c>
      <c r="AE53" s="143">
        <v>0.8</v>
      </c>
      <c r="AF53" s="1" t="s">
        <v>1077</v>
      </c>
      <c r="AG53" s="142">
        <v>43984</v>
      </c>
      <c r="AH53" s="142">
        <v>5498</v>
      </c>
      <c r="AI53" s="142">
        <v>4976.5</v>
      </c>
      <c r="AJ53" s="14" t="s">
        <v>3387</v>
      </c>
      <c r="AK53" s="142" t="s">
        <v>106</v>
      </c>
      <c r="AL53" s="80">
        <v>0.95</v>
      </c>
      <c r="AM53" s="1" t="s">
        <v>1315</v>
      </c>
      <c r="AN53" s="1" t="s">
        <v>164</v>
      </c>
      <c r="AO53" s="1" t="s">
        <v>164</v>
      </c>
      <c r="AP53" s="143">
        <v>0.95</v>
      </c>
      <c r="AQ53" s="1" t="s">
        <v>1315</v>
      </c>
      <c r="AR53" s="142">
        <v>131723</v>
      </c>
      <c r="AS53" s="142">
        <v>6932.79</v>
      </c>
      <c r="AT53" s="142">
        <v>4902</v>
      </c>
    </row>
    <row r="54" spans="1:47" x14ac:dyDescent="0.2">
      <c r="A54" s="174"/>
      <c r="B54" s="9" t="s">
        <v>58</v>
      </c>
      <c r="C54" s="1" t="s">
        <v>3386</v>
      </c>
      <c r="D54" s="142" t="s">
        <v>106</v>
      </c>
      <c r="E54" s="80">
        <v>0</v>
      </c>
      <c r="F54" s="1" t="s">
        <v>169</v>
      </c>
      <c r="G54" s="80">
        <v>0</v>
      </c>
      <c r="H54" s="1" t="s">
        <v>163</v>
      </c>
      <c r="I54" s="143">
        <v>0</v>
      </c>
      <c r="J54" s="1" t="s">
        <v>163</v>
      </c>
      <c r="K54" s="142">
        <v>0</v>
      </c>
      <c r="L54" s="142">
        <v>0</v>
      </c>
      <c r="M54" s="142">
        <v>0</v>
      </c>
      <c r="N54" s="14" t="s">
        <v>3385</v>
      </c>
      <c r="O54" s="142" t="s">
        <v>106</v>
      </c>
      <c r="P54" s="80">
        <v>0</v>
      </c>
      <c r="Q54" s="1" t="s">
        <v>169</v>
      </c>
      <c r="R54" s="80">
        <v>0</v>
      </c>
      <c r="S54" s="1" t="s">
        <v>939</v>
      </c>
      <c r="T54" s="143">
        <v>0</v>
      </c>
      <c r="U54" s="1" t="s">
        <v>939</v>
      </c>
      <c r="V54" s="142">
        <v>0</v>
      </c>
      <c r="W54" s="142">
        <v>0</v>
      </c>
      <c r="X54" s="142">
        <v>0</v>
      </c>
      <c r="Y54" s="14" t="s">
        <v>3384</v>
      </c>
      <c r="Z54" s="142" t="s">
        <v>106</v>
      </c>
      <c r="AA54" s="80">
        <v>0</v>
      </c>
      <c r="AB54" s="1" t="s">
        <v>218</v>
      </c>
      <c r="AC54" s="80">
        <v>0</v>
      </c>
      <c r="AD54" s="1" t="s">
        <v>218</v>
      </c>
      <c r="AE54" s="143">
        <v>0</v>
      </c>
      <c r="AF54" s="1" t="s">
        <v>213</v>
      </c>
      <c r="AG54" s="142">
        <v>0</v>
      </c>
      <c r="AH54" s="142">
        <v>0</v>
      </c>
      <c r="AI54" s="142">
        <v>0</v>
      </c>
      <c r="AJ54" s="14" t="s">
        <v>3383</v>
      </c>
      <c r="AK54" s="142" t="s">
        <v>106</v>
      </c>
      <c r="AL54" s="80">
        <v>0.4</v>
      </c>
      <c r="AM54" s="1" t="s">
        <v>501</v>
      </c>
      <c r="AN54" s="80">
        <v>0</v>
      </c>
      <c r="AO54" s="1" t="s">
        <v>213</v>
      </c>
      <c r="AP54" s="143">
        <v>0.2</v>
      </c>
      <c r="AQ54" s="1" t="s">
        <v>2702</v>
      </c>
      <c r="AR54" s="142">
        <v>19369</v>
      </c>
      <c r="AS54" s="142">
        <v>4842.25</v>
      </c>
      <c r="AT54" s="142">
        <v>4859</v>
      </c>
      <c r="AU54" s="4" t="s">
        <v>93</v>
      </c>
    </row>
    <row r="55" spans="1:47" x14ac:dyDescent="0.2">
      <c r="A55" s="174"/>
      <c r="B55" s="9" t="s">
        <v>59</v>
      </c>
      <c r="C55" s="1" t="s">
        <v>3382</v>
      </c>
      <c r="D55" s="142" t="s">
        <v>106</v>
      </c>
      <c r="E55" s="80">
        <v>0</v>
      </c>
      <c r="F55" s="1" t="s">
        <v>163</v>
      </c>
      <c r="G55" s="1" t="s">
        <v>164</v>
      </c>
      <c r="H55" s="1" t="s">
        <v>164</v>
      </c>
      <c r="I55" s="143">
        <v>0</v>
      </c>
      <c r="J55" s="1" t="s">
        <v>163</v>
      </c>
      <c r="K55" s="142">
        <v>0</v>
      </c>
      <c r="L55" s="142">
        <v>0</v>
      </c>
      <c r="M55" s="142">
        <v>0</v>
      </c>
      <c r="N55" s="14" t="s">
        <v>3381</v>
      </c>
      <c r="O55" s="142" t="s">
        <v>106</v>
      </c>
      <c r="P55" s="80">
        <v>0</v>
      </c>
      <c r="Q55" s="1" t="s">
        <v>939</v>
      </c>
      <c r="R55" s="1" t="s">
        <v>164</v>
      </c>
      <c r="S55" s="1" t="s">
        <v>164</v>
      </c>
      <c r="T55" s="143">
        <v>0</v>
      </c>
      <c r="U55" s="1" t="s">
        <v>939</v>
      </c>
      <c r="V55" s="142">
        <v>0</v>
      </c>
      <c r="W55" s="142">
        <v>0</v>
      </c>
      <c r="X55" s="142">
        <v>0</v>
      </c>
      <c r="Y55" s="14" t="s">
        <v>3380</v>
      </c>
      <c r="Z55" s="142" t="s">
        <v>106</v>
      </c>
      <c r="AA55" s="80">
        <v>0</v>
      </c>
      <c r="AB55" s="1" t="s">
        <v>213</v>
      </c>
      <c r="AC55" s="1" t="s">
        <v>164</v>
      </c>
      <c r="AD55" s="1" t="s">
        <v>164</v>
      </c>
      <c r="AE55" s="143">
        <v>0</v>
      </c>
      <c r="AF55" s="1" t="s">
        <v>213</v>
      </c>
      <c r="AG55" s="142">
        <v>0</v>
      </c>
      <c r="AH55" s="142">
        <v>0</v>
      </c>
      <c r="AI55" s="142">
        <v>0</v>
      </c>
      <c r="AJ55" s="14" t="s">
        <v>3379</v>
      </c>
      <c r="AK55" s="142" t="s">
        <v>106</v>
      </c>
      <c r="AL55" s="80">
        <v>0.2</v>
      </c>
      <c r="AM55" s="1" t="s">
        <v>2702</v>
      </c>
      <c r="AN55" s="1" t="s">
        <v>164</v>
      </c>
      <c r="AO55" s="1" t="s">
        <v>164</v>
      </c>
      <c r="AP55" s="143">
        <v>0.2</v>
      </c>
      <c r="AQ55" s="1" t="s">
        <v>2702</v>
      </c>
      <c r="AR55" s="142">
        <v>19339</v>
      </c>
      <c r="AS55" s="142">
        <v>4834.75</v>
      </c>
      <c r="AT55" s="142">
        <v>4834.5</v>
      </c>
      <c r="AU55" s="4" t="s">
        <v>93</v>
      </c>
    </row>
    <row r="56" spans="1:47" x14ac:dyDescent="0.2">
      <c r="A56" s="174"/>
      <c r="B56" s="9" t="s">
        <v>62</v>
      </c>
      <c r="C56" s="1" t="s">
        <v>3378</v>
      </c>
      <c r="D56" s="142" t="s">
        <v>106</v>
      </c>
      <c r="E56" s="80">
        <v>0</v>
      </c>
      <c r="F56" s="1" t="s">
        <v>169</v>
      </c>
      <c r="G56" s="80">
        <v>0</v>
      </c>
      <c r="H56" s="1" t="s">
        <v>163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3377</v>
      </c>
      <c r="O56" s="142" t="s">
        <v>106</v>
      </c>
      <c r="P56" s="80">
        <v>1</v>
      </c>
      <c r="Q56" s="1" t="s">
        <v>452</v>
      </c>
      <c r="R56" s="80">
        <v>0.5</v>
      </c>
      <c r="S56" s="1" t="s">
        <v>1108</v>
      </c>
      <c r="T56" s="143">
        <v>0.66669999999999996</v>
      </c>
      <c r="U56" s="1" t="s">
        <v>1881</v>
      </c>
      <c r="V56" s="142">
        <v>20723</v>
      </c>
      <c r="W56" s="142">
        <v>10361.5</v>
      </c>
      <c r="X56" s="142">
        <v>10361.5</v>
      </c>
      <c r="Y56" s="14" t="s">
        <v>3376</v>
      </c>
      <c r="Z56" s="142" t="s">
        <v>106</v>
      </c>
      <c r="AA56" s="80">
        <v>0</v>
      </c>
      <c r="AB56" s="1" t="s">
        <v>169</v>
      </c>
      <c r="AC56" s="80">
        <v>0</v>
      </c>
      <c r="AD56" s="1" t="s">
        <v>163</v>
      </c>
      <c r="AE56" s="143">
        <v>0</v>
      </c>
      <c r="AF56" s="1" t="s">
        <v>163</v>
      </c>
      <c r="AG56" s="142">
        <v>0</v>
      </c>
      <c r="AH56" s="142">
        <v>0</v>
      </c>
      <c r="AI56" s="142">
        <v>0</v>
      </c>
      <c r="AJ56" s="14" t="s">
        <v>3375</v>
      </c>
      <c r="AK56" s="142" t="s">
        <v>106</v>
      </c>
      <c r="AL56" s="80">
        <v>1</v>
      </c>
      <c r="AM56" s="1" t="s">
        <v>452</v>
      </c>
      <c r="AN56" s="80">
        <v>0.5</v>
      </c>
      <c r="AO56" s="1" t="s">
        <v>1108</v>
      </c>
      <c r="AP56" s="143">
        <v>0.66669999999999996</v>
      </c>
      <c r="AQ56" s="1" t="s">
        <v>1881</v>
      </c>
      <c r="AR56" s="142">
        <v>20620</v>
      </c>
      <c r="AS56" s="142">
        <v>10310</v>
      </c>
      <c r="AT56" s="142">
        <v>10310</v>
      </c>
      <c r="AU56" s="4" t="s">
        <v>102</v>
      </c>
    </row>
    <row r="57" spans="1:47" x14ac:dyDescent="0.2">
      <c r="A57" s="174"/>
      <c r="B57" s="9" t="s">
        <v>63</v>
      </c>
      <c r="C57" s="1" t="s">
        <v>3374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1063405</v>
      </c>
      <c r="L57" s="142">
        <v>1063405</v>
      </c>
      <c r="M57" s="142">
        <v>1063405</v>
      </c>
      <c r="N57" s="14" t="s">
        <v>3373</v>
      </c>
      <c r="O57" s="142" t="s">
        <v>106</v>
      </c>
      <c r="P57" s="80">
        <v>0.66669999999999996</v>
      </c>
      <c r="Q57" s="1" t="s">
        <v>1881</v>
      </c>
      <c r="R57" s="1" t="s">
        <v>164</v>
      </c>
      <c r="S57" s="1" t="s">
        <v>164</v>
      </c>
      <c r="T57" s="143">
        <v>0.66669999999999996</v>
      </c>
      <c r="U57" s="1" t="s">
        <v>1881</v>
      </c>
      <c r="V57" s="142">
        <v>11128</v>
      </c>
      <c r="W57" s="142">
        <v>5564</v>
      </c>
      <c r="X57" s="142">
        <v>5564</v>
      </c>
      <c r="Y57" s="14" t="s">
        <v>3372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1077436</v>
      </c>
      <c r="AH57" s="142">
        <v>1077436</v>
      </c>
      <c r="AI57" s="142">
        <v>1077436</v>
      </c>
      <c r="AJ57" s="14" t="s">
        <v>3371</v>
      </c>
      <c r="AK57" s="142" t="s">
        <v>106</v>
      </c>
      <c r="AL57" s="80">
        <v>0.66669999999999996</v>
      </c>
      <c r="AM57" s="1" t="s">
        <v>1881</v>
      </c>
      <c r="AN57" s="1" t="s">
        <v>164</v>
      </c>
      <c r="AO57" s="1" t="s">
        <v>164</v>
      </c>
      <c r="AP57" s="143">
        <v>0.66669999999999996</v>
      </c>
      <c r="AQ57" s="1" t="s">
        <v>1881</v>
      </c>
      <c r="AR57" s="142">
        <v>11146</v>
      </c>
      <c r="AS57" s="142">
        <v>5573</v>
      </c>
      <c r="AT57" s="142">
        <v>5573</v>
      </c>
      <c r="AU57" s="4" t="s">
        <v>102</v>
      </c>
    </row>
    <row r="58" spans="1:47" x14ac:dyDescent="0.2">
      <c r="A58" s="174"/>
      <c r="B58" s="9" t="s">
        <v>64</v>
      </c>
      <c r="C58" s="1" t="s">
        <v>3370</v>
      </c>
      <c r="D58" s="142" t="s">
        <v>106</v>
      </c>
      <c r="E58" s="80">
        <v>0</v>
      </c>
      <c r="F58" s="1" t="s">
        <v>169</v>
      </c>
      <c r="G58" s="80">
        <v>0</v>
      </c>
      <c r="H58" s="1" t="s">
        <v>163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3369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3368</v>
      </c>
      <c r="Z58" s="142" t="s">
        <v>106</v>
      </c>
      <c r="AA58" s="80">
        <v>0</v>
      </c>
      <c r="AB58" s="1" t="s">
        <v>218</v>
      </c>
      <c r="AC58" s="80">
        <v>0</v>
      </c>
      <c r="AD58" s="1" t="s">
        <v>218</v>
      </c>
      <c r="AE58" s="143">
        <v>0</v>
      </c>
      <c r="AF58" s="1" t="s">
        <v>213</v>
      </c>
      <c r="AG58" s="142">
        <v>0</v>
      </c>
      <c r="AH58" s="142">
        <v>0</v>
      </c>
      <c r="AI58" s="142">
        <v>0</v>
      </c>
      <c r="AJ58" s="14" t="s">
        <v>3367</v>
      </c>
      <c r="AK58" s="142" t="s">
        <v>106</v>
      </c>
      <c r="AL58" s="80">
        <v>0</v>
      </c>
      <c r="AM58" s="1" t="s">
        <v>218</v>
      </c>
      <c r="AN58" s="80">
        <v>0</v>
      </c>
      <c r="AO58" s="1" t="s">
        <v>218</v>
      </c>
      <c r="AP58" s="143">
        <v>0</v>
      </c>
      <c r="AQ58" s="1" t="s">
        <v>213</v>
      </c>
      <c r="AR58" s="142">
        <v>0</v>
      </c>
      <c r="AS58" s="142">
        <v>0</v>
      </c>
      <c r="AT58" s="142">
        <v>0</v>
      </c>
      <c r="AU58" s="4" t="s">
        <v>102</v>
      </c>
    </row>
    <row r="59" spans="1:47" x14ac:dyDescent="0.2">
      <c r="A59" s="174"/>
      <c r="B59" s="9" t="s">
        <v>65</v>
      </c>
      <c r="C59" s="1" t="s">
        <v>3366</v>
      </c>
      <c r="D59" s="142" t="s">
        <v>106</v>
      </c>
      <c r="E59" s="80">
        <v>0</v>
      </c>
      <c r="F59" s="1" t="s">
        <v>163</v>
      </c>
      <c r="G59" s="1" t="s">
        <v>164</v>
      </c>
      <c r="H59" s="1" t="s">
        <v>164</v>
      </c>
      <c r="I59" s="143">
        <v>0</v>
      </c>
      <c r="J59" s="1" t="s">
        <v>163</v>
      </c>
      <c r="K59" s="142">
        <v>0</v>
      </c>
      <c r="L59" s="142">
        <v>0</v>
      </c>
      <c r="M59" s="142">
        <v>0</v>
      </c>
      <c r="N59" s="14" t="s">
        <v>3365</v>
      </c>
      <c r="O59" s="142" t="s">
        <v>106</v>
      </c>
      <c r="P59" s="80">
        <v>0</v>
      </c>
      <c r="Q59" s="1" t="s">
        <v>163</v>
      </c>
      <c r="R59" s="1" t="s">
        <v>164</v>
      </c>
      <c r="S59" s="1" t="s">
        <v>164</v>
      </c>
      <c r="T59" s="143">
        <v>0</v>
      </c>
      <c r="U59" s="1" t="s">
        <v>163</v>
      </c>
      <c r="V59" s="142">
        <v>0</v>
      </c>
      <c r="W59" s="142">
        <v>0</v>
      </c>
      <c r="X59" s="142">
        <v>0</v>
      </c>
      <c r="Y59" s="14" t="s">
        <v>3364</v>
      </c>
      <c r="Z59" s="142" t="s">
        <v>106</v>
      </c>
      <c r="AA59" s="80">
        <v>0</v>
      </c>
      <c r="AB59" s="1" t="s">
        <v>213</v>
      </c>
      <c r="AC59" s="1" t="s">
        <v>164</v>
      </c>
      <c r="AD59" s="1" t="s">
        <v>164</v>
      </c>
      <c r="AE59" s="143">
        <v>0</v>
      </c>
      <c r="AF59" s="1" t="s">
        <v>213</v>
      </c>
      <c r="AG59" s="142">
        <v>0</v>
      </c>
      <c r="AH59" s="142">
        <v>0</v>
      </c>
      <c r="AI59" s="142">
        <v>0</v>
      </c>
      <c r="AJ59" s="14" t="s">
        <v>3363</v>
      </c>
      <c r="AK59" s="142" t="s">
        <v>106</v>
      </c>
      <c r="AL59" s="80">
        <v>0</v>
      </c>
      <c r="AM59" s="1" t="s">
        <v>213</v>
      </c>
      <c r="AN59" s="1" t="s">
        <v>164</v>
      </c>
      <c r="AO59" s="1" t="s">
        <v>164</v>
      </c>
      <c r="AP59" s="143">
        <v>0</v>
      </c>
      <c r="AQ59" s="1" t="s">
        <v>213</v>
      </c>
      <c r="AR59" s="142">
        <v>0</v>
      </c>
      <c r="AS59" s="142">
        <v>0</v>
      </c>
      <c r="AT59" s="142">
        <v>0</v>
      </c>
      <c r="AU59" s="4" t="s">
        <v>102</v>
      </c>
    </row>
    <row r="60" spans="1:47" x14ac:dyDescent="0.2">
      <c r="A60" s="174"/>
      <c r="B60" s="9" t="s">
        <v>66</v>
      </c>
      <c r="C60" s="1" t="s">
        <v>3362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4942</v>
      </c>
      <c r="L60" s="142">
        <v>4942</v>
      </c>
      <c r="M60" s="142">
        <v>4942</v>
      </c>
      <c r="N60" s="14" t="s">
        <v>3361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9963</v>
      </c>
      <c r="W60" s="142">
        <v>4981.5</v>
      </c>
      <c r="X60" s="142">
        <v>4981.5</v>
      </c>
      <c r="Y60" s="14" t="s">
        <v>3360</v>
      </c>
      <c r="Z60" s="142" t="s">
        <v>106</v>
      </c>
      <c r="AA60" s="80">
        <v>0.8</v>
      </c>
      <c r="AB60" s="1" t="s">
        <v>506</v>
      </c>
      <c r="AC60" s="80">
        <v>1</v>
      </c>
      <c r="AD60" s="1" t="s">
        <v>516</v>
      </c>
      <c r="AE60" s="143">
        <v>0.9</v>
      </c>
      <c r="AF60" s="1" t="s">
        <v>951</v>
      </c>
      <c r="AG60" s="142">
        <v>47102</v>
      </c>
      <c r="AH60" s="142">
        <v>5233.5600000000004</v>
      </c>
      <c r="AI60" s="142">
        <v>5088</v>
      </c>
      <c r="AJ60" s="14" t="s">
        <v>3359</v>
      </c>
      <c r="AK60" s="142" t="s">
        <v>106</v>
      </c>
      <c r="AL60" s="80">
        <v>0.8</v>
      </c>
      <c r="AM60" s="1" t="s">
        <v>1077</v>
      </c>
      <c r="AN60" s="80">
        <v>1</v>
      </c>
      <c r="AO60" s="1" t="s">
        <v>529</v>
      </c>
      <c r="AP60" s="143">
        <v>0.9</v>
      </c>
      <c r="AQ60" s="1" t="s">
        <v>2078</v>
      </c>
      <c r="AR60" s="142">
        <v>96648</v>
      </c>
      <c r="AS60" s="142">
        <v>5369.33</v>
      </c>
      <c r="AT60" s="142">
        <v>5139.5</v>
      </c>
    </row>
    <row r="61" spans="1:47" x14ac:dyDescent="0.2">
      <c r="A61" s="174"/>
      <c r="B61" s="9" t="s">
        <v>67</v>
      </c>
      <c r="C61" s="1" t="s">
        <v>3358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8025</v>
      </c>
      <c r="L61" s="142">
        <v>8025</v>
      </c>
      <c r="M61" s="142">
        <v>8025</v>
      </c>
      <c r="N61" s="14" t="s">
        <v>3357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15011</v>
      </c>
      <c r="W61" s="142">
        <v>7505.5</v>
      </c>
      <c r="X61" s="142">
        <v>7505.5</v>
      </c>
      <c r="Y61" s="14" t="s">
        <v>3356</v>
      </c>
      <c r="Z61" s="142" t="s">
        <v>106</v>
      </c>
      <c r="AA61" s="80">
        <v>0.9</v>
      </c>
      <c r="AB61" s="1" t="s">
        <v>951</v>
      </c>
      <c r="AC61" s="1" t="s">
        <v>164</v>
      </c>
      <c r="AD61" s="1" t="s">
        <v>164</v>
      </c>
      <c r="AE61" s="143">
        <v>0.9</v>
      </c>
      <c r="AF61" s="1" t="s">
        <v>951</v>
      </c>
      <c r="AG61" s="142">
        <v>99804</v>
      </c>
      <c r="AH61" s="142">
        <v>11089.33</v>
      </c>
      <c r="AI61" s="142">
        <v>7012</v>
      </c>
      <c r="AJ61" s="14" t="s">
        <v>3355</v>
      </c>
      <c r="AK61" s="142" t="s">
        <v>106</v>
      </c>
      <c r="AL61" s="80">
        <v>0.9</v>
      </c>
      <c r="AM61" s="1" t="s">
        <v>2078</v>
      </c>
      <c r="AN61" s="1" t="s">
        <v>164</v>
      </c>
      <c r="AO61" s="1" t="s">
        <v>164</v>
      </c>
      <c r="AP61" s="143">
        <v>0.9</v>
      </c>
      <c r="AQ61" s="1" t="s">
        <v>2078</v>
      </c>
      <c r="AR61" s="142">
        <v>200434</v>
      </c>
      <c r="AS61" s="142">
        <v>11135.22</v>
      </c>
      <c r="AT61" s="142">
        <v>5926</v>
      </c>
    </row>
    <row r="62" spans="1:47" x14ac:dyDescent="0.2">
      <c r="A62" s="174"/>
      <c r="B62" s="9" t="s">
        <v>68</v>
      </c>
      <c r="C62" s="1" t="s">
        <v>3354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5018</v>
      </c>
      <c r="L62" s="142">
        <v>5018</v>
      </c>
      <c r="M62" s="142">
        <v>5018</v>
      </c>
      <c r="N62" s="14" t="s">
        <v>3353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10192</v>
      </c>
      <c r="W62" s="142">
        <v>5096</v>
      </c>
      <c r="X62" s="142">
        <v>5096</v>
      </c>
      <c r="Y62" s="14" t="s">
        <v>3352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40038</v>
      </c>
      <c r="AH62" s="142">
        <v>5004.75</v>
      </c>
      <c r="AI62" s="142">
        <v>4982</v>
      </c>
      <c r="AJ62" s="14" t="s">
        <v>3351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99245</v>
      </c>
      <c r="AS62" s="142">
        <v>4962.25</v>
      </c>
      <c r="AT62" s="142">
        <v>4970.5</v>
      </c>
    </row>
    <row r="63" spans="1:47" x14ac:dyDescent="0.2">
      <c r="A63" s="174"/>
      <c r="B63" s="9" t="s">
        <v>69</v>
      </c>
      <c r="C63" s="1" t="s">
        <v>3350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8340</v>
      </c>
      <c r="L63" s="142">
        <v>8340</v>
      </c>
      <c r="M63" s="142">
        <v>8340</v>
      </c>
      <c r="N63" s="14" t="s">
        <v>3349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21861</v>
      </c>
      <c r="W63" s="142">
        <v>10930.5</v>
      </c>
      <c r="X63" s="142">
        <v>10930.5</v>
      </c>
      <c r="Y63" s="14" t="s">
        <v>3348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62738</v>
      </c>
      <c r="AH63" s="142">
        <v>6273.8</v>
      </c>
      <c r="AI63" s="142">
        <v>5147</v>
      </c>
      <c r="AJ63" s="14" t="s">
        <v>3347</v>
      </c>
      <c r="AK63" s="142" t="s">
        <v>106</v>
      </c>
      <c r="AL63" s="80">
        <v>0.95</v>
      </c>
      <c r="AM63" s="1" t="s">
        <v>1315</v>
      </c>
      <c r="AN63" s="1" t="s">
        <v>164</v>
      </c>
      <c r="AO63" s="1" t="s">
        <v>164</v>
      </c>
      <c r="AP63" s="143">
        <v>0.95</v>
      </c>
      <c r="AQ63" s="1" t="s">
        <v>1315</v>
      </c>
      <c r="AR63" s="142">
        <v>160840</v>
      </c>
      <c r="AS63" s="142">
        <v>8465.26</v>
      </c>
      <c r="AT63" s="142">
        <v>5010</v>
      </c>
    </row>
    <row r="64" spans="1:47" x14ac:dyDescent="0.2">
      <c r="A64" s="174"/>
      <c r="B64" s="9" t="s">
        <v>3973</v>
      </c>
      <c r="C64" s="1" t="s">
        <v>3346</v>
      </c>
      <c r="D64" s="142" t="s">
        <v>106</v>
      </c>
      <c r="E64" s="80">
        <v>0</v>
      </c>
      <c r="F64" s="1" t="s">
        <v>163</v>
      </c>
      <c r="G64" s="1" t="s">
        <v>164</v>
      </c>
      <c r="H64" s="1" t="s">
        <v>164</v>
      </c>
      <c r="I64" s="143">
        <v>0</v>
      </c>
      <c r="J64" s="1" t="s">
        <v>163</v>
      </c>
      <c r="K64" s="142">
        <v>0</v>
      </c>
      <c r="L64" s="142">
        <v>0</v>
      </c>
      <c r="M64" s="142">
        <v>0</v>
      </c>
      <c r="N64" s="14" t="s">
        <v>3345</v>
      </c>
      <c r="O64" s="142" t="s">
        <v>106</v>
      </c>
      <c r="P64" s="80">
        <v>0</v>
      </c>
      <c r="Q64" s="1" t="s">
        <v>163</v>
      </c>
      <c r="R64" s="1" t="s">
        <v>164</v>
      </c>
      <c r="S64" s="1" t="s">
        <v>164</v>
      </c>
      <c r="T64" s="143">
        <v>0</v>
      </c>
      <c r="U64" s="1" t="s">
        <v>163</v>
      </c>
      <c r="V64" s="142">
        <v>0</v>
      </c>
      <c r="W64" s="142">
        <v>0</v>
      </c>
      <c r="X64" s="142">
        <v>0</v>
      </c>
      <c r="Y64" s="14" t="s">
        <v>3344</v>
      </c>
      <c r="Z64" s="142" t="s">
        <v>106</v>
      </c>
      <c r="AA64" s="80">
        <v>0</v>
      </c>
      <c r="AB64" s="1" t="s">
        <v>163</v>
      </c>
      <c r="AC64" s="1" t="s">
        <v>164</v>
      </c>
      <c r="AD64" s="1" t="s">
        <v>164</v>
      </c>
      <c r="AE64" s="143">
        <v>0</v>
      </c>
      <c r="AF64" s="1" t="s">
        <v>163</v>
      </c>
      <c r="AG64" s="142">
        <v>0</v>
      </c>
      <c r="AH64" s="142">
        <v>0</v>
      </c>
      <c r="AI64" s="142">
        <v>0</v>
      </c>
      <c r="AJ64" s="14" t="s">
        <v>3343</v>
      </c>
      <c r="AK64" s="142" t="s">
        <v>106</v>
      </c>
      <c r="AL64" s="80">
        <v>0</v>
      </c>
      <c r="AM64" s="1" t="s">
        <v>163</v>
      </c>
      <c r="AN64" s="1" t="s">
        <v>164</v>
      </c>
      <c r="AO64" s="1" t="s">
        <v>164</v>
      </c>
      <c r="AP64" s="143">
        <v>0</v>
      </c>
      <c r="AQ64" s="1" t="s">
        <v>163</v>
      </c>
      <c r="AR64" s="142">
        <v>0</v>
      </c>
      <c r="AS64" s="142">
        <v>0</v>
      </c>
      <c r="AT64" s="142">
        <v>0</v>
      </c>
      <c r="AU64" s="4" t="s">
        <v>103</v>
      </c>
    </row>
    <row r="65" spans="1:47" x14ac:dyDescent="0.2">
      <c r="A65" s="174"/>
      <c r="B65" s="9" t="s">
        <v>3968</v>
      </c>
      <c r="C65" s="1" t="s">
        <v>3342</v>
      </c>
      <c r="D65" s="142" t="s">
        <v>106</v>
      </c>
      <c r="E65" s="80">
        <v>0</v>
      </c>
      <c r="F65" s="1" t="s">
        <v>163</v>
      </c>
      <c r="G65" s="1" t="s">
        <v>164</v>
      </c>
      <c r="H65" s="1" t="s">
        <v>164</v>
      </c>
      <c r="I65" s="143">
        <v>0</v>
      </c>
      <c r="J65" s="1" t="s">
        <v>163</v>
      </c>
      <c r="K65" s="142">
        <v>0</v>
      </c>
      <c r="L65" s="142">
        <v>0</v>
      </c>
      <c r="M65" s="142">
        <v>0</v>
      </c>
      <c r="N65" s="14" t="s">
        <v>3341</v>
      </c>
      <c r="O65" s="142" t="s">
        <v>106</v>
      </c>
      <c r="P65" s="80">
        <v>0</v>
      </c>
      <c r="Q65" s="1" t="s">
        <v>163</v>
      </c>
      <c r="R65" s="1" t="s">
        <v>164</v>
      </c>
      <c r="S65" s="1" t="s">
        <v>164</v>
      </c>
      <c r="T65" s="143">
        <v>0</v>
      </c>
      <c r="U65" s="1" t="s">
        <v>163</v>
      </c>
      <c r="V65" s="142">
        <v>0</v>
      </c>
      <c r="W65" s="142">
        <v>0</v>
      </c>
      <c r="X65" s="142">
        <v>0</v>
      </c>
      <c r="Y65" s="14" t="s">
        <v>3340</v>
      </c>
      <c r="Z65" s="142" t="s">
        <v>106</v>
      </c>
      <c r="AA65" s="80">
        <v>0</v>
      </c>
      <c r="AB65" s="1" t="s">
        <v>163</v>
      </c>
      <c r="AC65" s="1" t="s">
        <v>164</v>
      </c>
      <c r="AD65" s="1" t="s">
        <v>164</v>
      </c>
      <c r="AE65" s="143">
        <v>0</v>
      </c>
      <c r="AF65" s="1" t="s">
        <v>163</v>
      </c>
      <c r="AG65" s="142">
        <v>0</v>
      </c>
      <c r="AH65" s="142">
        <v>0</v>
      </c>
      <c r="AI65" s="142">
        <v>0</v>
      </c>
      <c r="AJ65" s="14" t="s">
        <v>3339</v>
      </c>
      <c r="AK65" s="142" t="s">
        <v>106</v>
      </c>
      <c r="AL65" s="80">
        <v>0</v>
      </c>
      <c r="AM65" s="1" t="s">
        <v>163</v>
      </c>
      <c r="AN65" s="1" t="s">
        <v>164</v>
      </c>
      <c r="AO65" s="1" t="s">
        <v>164</v>
      </c>
      <c r="AP65" s="143">
        <v>0</v>
      </c>
      <c r="AQ65" s="1" t="s">
        <v>163</v>
      </c>
      <c r="AR65" s="142">
        <v>0</v>
      </c>
      <c r="AS65" s="142">
        <v>0</v>
      </c>
      <c r="AT65" s="142">
        <v>0</v>
      </c>
      <c r="AU65" s="4" t="s">
        <v>103</v>
      </c>
    </row>
    <row r="66" spans="1:47" x14ac:dyDescent="0.2">
      <c r="A66" s="174"/>
      <c r="B66" s="9" t="s">
        <v>3969</v>
      </c>
      <c r="C66" s="1" t="s">
        <v>3338</v>
      </c>
      <c r="D66" s="142" t="s">
        <v>106</v>
      </c>
      <c r="E66" s="80">
        <v>0</v>
      </c>
      <c r="F66" s="1" t="s">
        <v>169</v>
      </c>
      <c r="G66" s="80">
        <v>1</v>
      </c>
      <c r="H66" s="1" t="s">
        <v>452</v>
      </c>
      <c r="I66" s="143">
        <v>1</v>
      </c>
      <c r="J66" s="1" t="s">
        <v>452</v>
      </c>
      <c r="K66" s="142">
        <v>5462</v>
      </c>
      <c r="L66" s="142">
        <v>5462</v>
      </c>
      <c r="M66" s="142">
        <v>5462</v>
      </c>
      <c r="N66" s="14" t="s">
        <v>3337</v>
      </c>
      <c r="O66" s="142" t="s">
        <v>106</v>
      </c>
      <c r="P66" s="80">
        <v>0</v>
      </c>
      <c r="Q66" s="1" t="s">
        <v>169</v>
      </c>
      <c r="R66" s="80">
        <v>1</v>
      </c>
      <c r="S66" s="1" t="s">
        <v>452</v>
      </c>
      <c r="T66" s="143">
        <v>1</v>
      </c>
      <c r="U66" s="1" t="s">
        <v>452</v>
      </c>
      <c r="V66" s="142">
        <v>5395</v>
      </c>
      <c r="W66" s="142">
        <v>5395</v>
      </c>
      <c r="X66" s="142">
        <v>5395</v>
      </c>
      <c r="Y66" s="14" t="s">
        <v>3336</v>
      </c>
      <c r="Z66" s="142" t="s">
        <v>106</v>
      </c>
      <c r="AA66" s="80">
        <v>1</v>
      </c>
      <c r="AB66" s="1" t="s">
        <v>516</v>
      </c>
      <c r="AC66" s="80">
        <v>1</v>
      </c>
      <c r="AD66" s="1" t="s">
        <v>516</v>
      </c>
      <c r="AE66" s="143">
        <v>1</v>
      </c>
      <c r="AF66" s="1" t="s">
        <v>529</v>
      </c>
      <c r="AG66" s="142">
        <v>53305</v>
      </c>
      <c r="AH66" s="142">
        <v>5330.5</v>
      </c>
      <c r="AI66" s="142">
        <v>5333</v>
      </c>
      <c r="AJ66" s="14" t="s">
        <v>3335</v>
      </c>
      <c r="AK66" s="142" t="s">
        <v>106</v>
      </c>
      <c r="AL66" s="80">
        <v>1</v>
      </c>
      <c r="AM66" s="1" t="s">
        <v>516</v>
      </c>
      <c r="AN66" s="80">
        <v>1</v>
      </c>
      <c r="AO66" s="1" t="s">
        <v>516</v>
      </c>
      <c r="AP66" s="143">
        <v>1</v>
      </c>
      <c r="AQ66" s="1" t="s">
        <v>529</v>
      </c>
      <c r="AR66" s="142">
        <v>53527</v>
      </c>
      <c r="AS66" s="142">
        <v>5352.7</v>
      </c>
      <c r="AT66" s="142">
        <v>5395.5</v>
      </c>
      <c r="AU66" s="4" t="s">
        <v>103</v>
      </c>
    </row>
    <row r="67" spans="1:47" x14ac:dyDescent="0.2">
      <c r="A67" s="174"/>
      <c r="B67" s="9" t="s">
        <v>3970</v>
      </c>
      <c r="C67" s="1" t="s">
        <v>3334</v>
      </c>
      <c r="D67" s="142" t="s">
        <v>107</v>
      </c>
      <c r="E67" s="1" t="s">
        <v>164</v>
      </c>
      <c r="F67" s="1" t="s">
        <v>164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3333</v>
      </c>
      <c r="O67" s="142" t="s">
        <v>107</v>
      </c>
      <c r="P67" s="1" t="s">
        <v>164</v>
      </c>
      <c r="Q67" s="1" t="s">
        <v>164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3332</v>
      </c>
      <c r="Z67" s="142" t="s">
        <v>106</v>
      </c>
      <c r="AA67" s="80">
        <v>1</v>
      </c>
      <c r="AB67" s="1" t="s">
        <v>529</v>
      </c>
      <c r="AC67" s="1" t="s">
        <v>164</v>
      </c>
      <c r="AD67" s="1" t="s">
        <v>164</v>
      </c>
      <c r="AE67" s="143">
        <v>1</v>
      </c>
      <c r="AF67" s="1" t="s">
        <v>529</v>
      </c>
      <c r="AG67" s="142">
        <v>51996</v>
      </c>
      <c r="AH67" s="142">
        <v>5199.6000000000004</v>
      </c>
      <c r="AI67" s="142">
        <v>5230</v>
      </c>
      <c r="AJ67" s="14" t="s">
        <v>3331</v>
      </c>
      <c r="AK67" s="142" t="s">
        <v>106</v>
      </c>
      <c r="AL67" s="80">
        <v>1</v>
      </c>
      <c r="AM67" s="1" t="s">
        <v>529</v>
      </c>
      <c r="AN67" s="1" t="s">
        <v>164</v>
      </c>
      <c r="AO67" s="1" t="s">
        <v>164</v>
      </c>
      <c r="AP67" s="143">
        <v>1</v>
      </c>
      <c r="AQ67" s="1" t="s">
        <v>529</v>
      </c>
      <c r="AR67" s="142">
        <v>52232</v>
      </c>
      <c r="AS67" s="142">
        <v>5223.2</v>
      </c>
      <c r="AT67" s="142">
        <v>5256.5</v>
      </c>
      <c r="AU67" s="4" t="s">
        <v>103</v>
      </c>
    </row>
    <row r="68" spans="1:47" x14ac:dyDescent="0.2">
      <c r="A68" s="174"/>
      <c r="B68" s="9" t="s">
        <v>3971</v>
      </c>
      <c r="C68" s="1" t="s">
        <v>3330</v>
      </c>
      <c r="D68" s="142" t="s">
        <v>107</v>
      </c>
      <c r="E68" s="1" t="s">
        <v>164</v>
      </c>
      <c r="F68" s="1" t="s">
        <v>164</v>
      </c>
      <c r="G68" s="1" t="s">
        <v>164</v>
      </c>
      <c r="H68" s="1" t="s">
        <v>164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3329</v>
      </c>
      <c r="O68" s="142" t="s">
        <v>106</v>
      </c>
      <c r="P68" s="80">
        <v>0</v>
      </c>
      <c r="Q68" s="1" t="s">
        <v>169</v>
      </c>
      <c r="R68" s="80">
        <v>1</v>
      </c>
      <c r="S68" s="1" t="s">
        <v>452</v>
      </c>
      <c r="T68" s="143">
        <v>1</v>
      </c>
      <c r="U68" s="1" t="s">
        <v>452</v>
      </c>
      <c r="V68" s="142">
        <v>6003</v>
      </c>
      <c r="W68" s="142">
        <v>6003</v>
      </c>
      <c r="X68" s="142">
        <v>6003</v>
      </c>
      <c r="Y68" s="14" t="s">
        <v>3328</v>
      </c>
      <c r="Z68" s="142" t="s">
        <v>107</v>
      </c>
      <c r="AA68" s="1" t="s">
        <v>164</v>
      </c>
      <c r="AB68" s="1" t="s">
        <v>164</v>
      </c>
      <c r="AC68" s="1" t="s">
        <v>164</v>
      </c>
      <c r="AD68" s="1" t="s">
        <v>164</v>
      </c>
      <c r="AE68" s="143">
        <v>0.4</v>
      </c>
      <c r="AF68" s="1" t="s">
        <v>501</v>
      </c>
      <c r="AG68" s="142">
        <v>19604</v>
      </c>
      <c r="AH68" s="142">
        <v>4901</v>
      </c>
      <c r="AI68" s="142">
        <v>4898</v>
      </c>
      <c r="AJ68" s="14" t="s">
        <v>3327</v>
      </c>
      <c r="AK68" s="142" t="s">
        <v>106</v>
      </c>
      <c r="AL68" s="80">
        <v>0.8</v>
      </c>
      <c r="AM68" s="1" t="s">
        <v>506</v>
      </c>
      <c r="AN68" s="80">
        <v>1</v>
      </c>
      <c r="AO68" s="1" t="s">
        <v>516</v>
      </c>
      <c r="AP68" s="143">
        <v>0.9</v>
      </c>
      <c r="AQ68" s="1" t="s">
        <v>951</v>
      </c>
      <c r="AR68" s="142">
        <v>47890</v>
      </c>
      <c r="AS68" s="142">
        <v>5321.11</v>
      </c>
      <c r="AT68" s="142">
        <v>5625</v>
      </c>
      <c r="AU68" s="4" t="s">
        <v>102</v>
      </c>
    </row>
    <row r="69" spans="1:47" x14ac:dyDescent="0.2">
      <c r="A69" s="174"/>
      <c r="B69" s="9" t="s">
        <v>3972</v>
      </c>
      <c r="C69" s="1" t="s">
        <v>3326</v>
      </c>
      <c r="D69" s="142" t="s">
        <v>106</v>
      </c>
      <c r="E69" s="80">
        <v>0</v>
      </c>
      <c r="F69" s="1" t="s">
        <v>163</v>
      </c>
      <c r="G69" s="1" t="s">
        <v>164</v>
      </c>
      <c r="H69" s="1" t="s">
        <v>164</v>
      </c>
      <c r="I69" s="143">
        <v>0</v>
      </c>
      <c r="J69" s="1" t="s">
        <v>163</v>
      </c>
      <c r="K69" s="142">
        <v>0</v>
      </c>
      <c r="L69" s="142">
        <v>0</v>
      </c>
      <c r="M69" s="142">
        <v>0</v>
      </c>
      <c r="N69" s="14" t="s">
        <v>3325</v>
      </c>
      <c r="O69" s="142" t="s">
        <v>106</v>
      </c>
      <c r="P69" s="80">
        <v>0</v>
      </c>
      <c r="Q69" s="1" t="s">
        <v>163</v>
      </c>
      <c r="R69" s="1" t="s">
        <v>164</v>
      </c>
      <c r="S69" s="1" t="s">
        <v>164</v>
      </c>
      <c r="T69" s="143">
        <v>0</v>
      </c>
      <c r="U69" s="1" t="s">
        <v>163</v>
      </c>
      <c r="V69" s="142">
        <v>0</v>
      </c>
      <c r="W69" s="142">
        <v>0</v>
      </c>
      <c r="X69" s="142">
        <v>0</v>
      </c>
      <c r="Y69" s="14" t="s">
        <v>3324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44470</v>
      </c>
      <c r="AH69" s="142">
        <v>4941.1099999999997</v>
      </c>
      <c r="AI69" s="142">
        <v>4990</v>
      </c>
      <c r="AJ69" s="14" t="s">
        <v>3323</v>
      </c>
      <c r="AK69" s="142" t="s">
        <v>106</v>
      </c>
      <c r="AL69" s="80">
        <v>0.9</v>
      </c>
      <c r="AM69" s="1" t="s">
        <v>951</v>
      </c>
      <c r="AN69" s="1" t="s">
        <v>164</v>
      </c>
      <c r="AO69" s="1" t="s">
        <v>164</v>
      </c>
      <c r="AP69" s="143">
        <v>0.9</v>
      </c>
      <c r="AQ69" s="1" t="s">
        <v>951</v>
      </c>
      <c r="AR69" s="142">
        <v>44079</v>
      </c>
      <c r="AS69" s="142">
        <v>4897.67</v>
      </c>
      <c r="AT69" s="142">
        <v>4932</v>
      </c>
      <c r="AU69" s="4" t="s">
        <v>102</v>
      </c>
    </row>
    <row r="70" spans="1:47" x14ac:dyDescent="0.2">
      <c r="A70" s="174"/>
      <c r="B70" s="9" t="s">
        <v>70</v>
      </c>
      <c r="C70" s="1" t="s">
        <v>3322</v>
      </c>
      <c r="D70" s="142" t="s">
        <v>106</v>
      </c>
      <c r="E70" s="80">
        <v>0</v>
      </c>
      <c r="F70" s="1" t="s">
        <v>169</v>
      </c>
      <c r="G70" s="80">
        <v>0</v>
      </c>
      <c r="H70" s="1" t="s">
        <v>163</v>
      </c>
      <c r="I70" s="143">
        <v>0</v>
      </c>
      <c r="J70" s="1" t="s">
        <v>163</v>
      </c>
      <c r="K70" s="142">
        <v>0</v>
      </c>
      <c r="L70" s="142">
        <v>0</v>
      </c>
      <c r="M70" s="142">
        <v>0</v>
      </c>
      <c r="N70" s="14" t="s">
        <v>3321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3320</v>
      </c>
      <c r="Z70" s="142" t="s">
        <v>106</v>
      </c>
      <c r="AA70" s="80">
        <v>0.4</v>
      </c>
      <c r="AB70" s="1" t="s">
        <v>974</v>
      </c>
      <c r="AC70" s="80">
        <v>0</v>
      </c>
      <c r="AD70" s="1" t="s">
        <v>218</v>
      </c>
      <c r="AE70" s="143">
        <v>0.2</v>
      </c>
      <c r="AF70" s="1" t="s">
        <v>930</v>
      </c>
      <c r="AG70" s="142">
        <v>9774</v>
      </c>
      <c r="AH70" s="142">
        <v>4887</v>
      </c>
      <c r="AI70" s="142">
        <v>4887</v>
      </c>
      <c r="AJ70" s="14" t="s">
        <v>3319</v>
      </c>
      <c r="AK70" s="142" t="s">
        <v>106</v>
      </c>
      <c r="AL70" s="80">
        <v>0.2</v>
      </c>
      <c r="AM70" s="1" t="s">
        <v>1049</v>
      </c>
      <c r="AN70" s="80">
        <v>0</v>
      </c>
      <c r="AO70" s="1" t="s">
        <v>218</v>
      </c>
      <c r="AP70" s="143">
        <v>0.1</v>
      </c>
      <c r="AQ70" s="1" t="s">
        <v>1235</v>
      </c>
      <c r="AR70" s="142">
        <v>4942</v>
      </c>
      <c r="AS70" s="142">
        <v>4942</v>
      </c>
      <c r="AT70" s="142">
        <v>4942</v>
      </c>
      <c r="AU70" s="4" t="s">
        <v>102</v>
      </c>
    </row>
    <row r="71" spans="1:47" x14ac:dyDescent="0.2">
      <c r="A71" s="174"/>
      <c r="B71" s="9" t="s">
        <v>71</v>
      </c>
      <c r="C71" s="1" t="s">
        <v>3318</v>
      </c>
      <c r="D71" s="142" t="s">
        <v>106</v>
      </c>
      <c r="E71" s="80">
        <v>0</v>
      </c>
      <c r="F71" s="1" t="s">
        <v>163</v>
      </c>
      <c r="G71" s="1" t="s">
        <v>164</v>
      </c>
      <c r="H71" s="1" t="s">
        <v>164</v>
      </c>
      <c r="I71" s="143">
        <v>0</v>
      </c>
      <c r="J71" s="1" t="s">
        <v>163</v>
      </c>
      <c r="K71" s="142">
        <v>0</v>
      </c>
      <c r="L71" s="142">
        <v>0</v>
      </c>
      <c r="M71" s="142">
        <v>0</v>
      </c>
      <c r="N71" s="14" t="s">
        <v>3317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3316</v>
      </c>
      <c r="Z71" s="142" t="s">
        <v>106</v>
      </c>
      <c r="AA71" s="80">
        <v>0.3</v>
      </c>
      <c r="AB71" s="1" t="s">
        <v>1004</v>
      </c>
      <c r="AC71" s="1" t="s">
        <v>164</v>
      </c>
      <c r="AD71" s="1" t="s">
        <v>164</v>
      </c>
      <c r="AE71" s="143">
        <v>0.3</v>
      </c>
      <c r="AF71" s="1" t="s">
        <v>1004</v>
      </c>
      <c r="AG71" s="142">
        <v>14748</v>
      </c>
      <c r="AH71" s="142">
        <v>4916</v>
      </c>
      <c r="AI71" s="142">
        <v>4889</v>
      </c>
      <c r="AJ71" s="14" t="s">
        <v>3315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4"/>
      <c r="B72" s="9" t="s">
        <v>72</v>
      </c>
      <c r="C72" s="1" t="s">
        <v>3314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3313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3312</v>
      </c>
      <c r="Z72" s="142" t="s">
        <v>106</v>
      </c>
      <c r="AA72" s="80">
        <v>1</v>
      </c>
      <c r="AB72" s="1" t="s">
        <v>516</v>
      </c>
      <c r="AC72" s="80">
        <v>0</v>
      </c>
      <c r="AD72" s="1" t="s">
        <v>218</v>
      </c>
      <c r="AE72" s="143">
        <v>0.5</v>
      </c>
      <c r="AF72" s="1" t="s">
        <v>511</v>
      </c>
      <c r="AG72" s="142">
        <v>29174</v>
      </c>
      <c r="AH72" s="142">
        <v>5834.8</v>
      </c>
      <c r="AI72" s="142">
        <v>5477</v>
      </c>
      <c r="AJ72" s="14" t="s">
        <v>3311</v>
      </c>
      <c r="AK72" s="142" t="s">
        <v>106</v>
      </c>
      <c r="AL72" s="80">
        <v>1</v>
      </c>
      <c r="AM72" s="1" t="s">
        <v>516</v>
      </c>
      <c r="AN72" s="80">
        <v>0</v>
      </c>
      <c r="AO72" s="1" t="s">
        <v>218</v>
      </c>
      <c r="AP72" s="143">
        <v>0.5</v>
      </c>
      <c r="AQ72" s="1" t="s">
        <v>511</v>
      </c>
      <c r="AR72" s="142">
        <v>28607</v>
      </c>
      <c r="AS72" s="142">
        <v>5721.4</v>
      </c>
      <c r="AT72" s="142">
        <v>5451</v>
      </c>
      <c r="AU72" s="4" t="s">
        <v>102</v>
      </c>
    </row>
    <row r="73" spans="1:47" x14ac:dyDescent="0.2">
      <c r="A73" s="174"/>
      <c r="B73" s="9" t="s">
        <v>73</v>
      </c>
      <c r="C73" s="1" t="s">
        <v>3310</v>
      </c>
      <c r="D73" s="142" t="s">
        <v>106</v>
      </c>
      <c r="E73" s="80">
        <v>0</v>
      </c>
      <c r="F73" s="1" t="s">
        <v>163</v>
      </c>
      <c r="G73" s="1" t="s">
        <v>164</v>
      </c>
      <c r="H73" s="1" t="s">
        <v>164</v>
      </c>
      <c r="I73" s="143">
        <v>0</v>
      </c>
      <c r="J73" s="1" t="s">
        <v>163</v>
      </c>
      <c r="K73" s="142">
        <v>0</v>
      </c>
      <c r="L73" s="142">
        <v>0</v>
      </c>
      <c r="M73" s="142">
        <v>0</v>
      </c>
      <c r="N73" s="14" t="s">
        <v>3309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6446</v>
      </c>
      <c r="W73" s="142">
        <v>6446</v>
      </c>
      <c r="X73" s="142">
        <v>6446</v>
      </c>
      <c r="Y73" s="14" t="s">
        <v>3308</v>
      </c>
      <c r="Z73" s="142" t="s">
        <v>106</v>
      </c>
      <c r="AA73" s="80">
        <v>0.8</v>
      </c>
      <c r="AB73" s="1" t="s">
        <v>1077</v>
      </c>
      <c r="AC73" s="1" t="s">
        <v>164</v>
      </c>
      <c r="AD73" s="1" t="s">
        <v>164</v>
      </c>
      <c r="AE73" s="143">
        <v>0.8</v>
      </c>
      <c r="AF73" s="1" t="s">
        <v>1077</v>
      </c>
      <c r="AG73" s="142">
        <v>148220</v>
      </c>
      <c r="AH73" s="142">
        <v>18527.5</v>
      </c>
      <c r="AI73" s="142">
        <v>5666.5</v>
      </c>
      <c r="AJ73" s="14" t="s">
        <v>3307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59321</v>
      </c>
      <c r="AS73" s="142">
        <v>5932.1</v>
      </c>
      <c r="AT73" s="142">
        <v>5701.5</v>
      </c>
      <c r="AU73" s="4" t="s">
        <v>102</v>
      </c>
    </row>
    <row r="74" spans="1:47" x14ac:dyDescent="0.2">
      <c r="A74" s="174"/>
      <c r="B74" s="9" t="s">
        <v>74</v>
      </c>
      <c r="C74" s="1" t="s">
        <v>3306</v>
      </c>
      <c r="D74" s="142" t="s">
        <v>106</v>
      </c>
      <c r="E74" s="80">
        <v>0</v>
      </c>
      <c r="F74" s="1" t="s">
        <v>169</v>
      </c>
      <c r="G74" s="80">
        <v>1</v>
      </c>
      <c r="H74" s="1" t="s">
        <v>452</v>
      </c>
      <c r="I74" s="143">
        <v>1</v>
      </c>
      <c r="J74" s="1" t="s">
        <v>452</v>
      </c>
      <c r="K74" s="142">
        <v>5871</v>
      </c>
      <c r="L74" s="142">
        <v>5871</v>
      </c>
      <c r="M74" s="142">
        <v>5871</v>
      </c>
      <c r="N74" s="14" t="s">
        <v>3305</v>
      </c>
      <c r="O74" s="142" t="s">
        <v>106</v>
      </c>
      <c r="P74" s="80">
        <v>0</v>
      </c>
      <c r="Q74" s="1" t="s">
        <v>169</v>
      </c>
      <c r="R74" s="80">
        <v>1</v>
      </c>
      <c r="S74" s="1" t="s">
        <v>452</v>
      </c>
      <c r="T74" s="143">
        <v>1</v>
      </c>
      <c r="U74" s="1" t="s">
        <v>452</v>
      </c>
      <c r="V74" s="142">
        <v>5572</v>
      </c>
      <c r="W74" s="142">
        <v>5572</v>
      </c>
      <c r="X74" s="142">
        <v>5572</v>
      </c>
      <c r="Y74" s="14" t="s">
        <v>3304</v>
      </c>
      <c r="Z74" s="142" t="s">
        <v>107</v>
      </c>
      <c r="AA74" s="1" t="s">
        <v>164</v>
      </c>
      <c r="AB74" s="1" t="s">
        <v>164</v>
      </c>
      <c r="AC74" s="1" t="s">
        <v>164</v>
      </c>
      <c r="AD74" s="1" t="s">
        <v>164</v>
      </c>
      <c r="AE74" s="143">
        <v>0.9</v>
      </c>
      <c r="AF74" s="1" t="s">
        <v>951</v>
      </c>
      <c r="AG74" s="142">
        <v>53947</v>
      </c>
      <c r="AH74" s="142">
        <v>5994.11</v>
      </c>
      <c r="AI74" s="142">
        <v>5382</v>
      </c>
      <c r="AJ74" s="14" t="s">
        <v>3303</v>
      </c>
      <c r="AK74" s="142" t="s">
        <v>107</v>
      </c>
      <c r="AL74" s="1" t="s">
        <v>164</v>
      </c>
      <c r="AM74" s="1" t="s">
        <v>164</v>
      </c>
      <c r="AN74" s="1" t="s">
        <v>164</v>
      </c>
      <c r="AO74" s="1" t="s">
        <v>164</v>
      </c>
      <c r="AP74" s="143">
        <v>0.9</v>
      </c>
      <c r="AQ74" s="1" t="s">
        <v>951</v>
      </c>
      <c r="AR74" s="142">
        <v>53871</v>
      </c>
      <c r="AS74" s="142">
        <v>5985.67</v>
      </c>
      <c r="AT74" s="142">
        <v>5356</v>
      </c>
      <c r="AU74" s="4" t="s">
        <v>102</v>
      </c>
    </row>
    <row r="75" spans="1:47" x14ac:dyDescent="0.2">
      <c r="A75" s="174"/>
      <c r="B75" s="9" t="s">
        <v>75</v>
      </c>
      <c r="C75" s="1" t="s">
        <v>3302</v>
      </c>
      <c r="D75" s="142" t="s">
        <v>107</v>
      </c>
      <c r="E75" s="1" t="s">
        <v>164</v>
      </c>
      <c r="F75" s="1" t="s">
        <v>164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3301</v>
      </c>
      <c r="O75" s="142" t="s">
        <v>107</v>
      </c>
      <c r="P75" s="1" t="s">
        <v>164</v>
      </c>
      <c r="Q75" s="1" t="s">
        <v>164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3300</v>
      </c>
      <c r="Z75" s="142" t="s">
        <v>107</v>
      </c>
      <c r="AA75" s="1" t="s">
        <v>164</v>
      </c>
      <c r="AB75" s="1" t="s">
        <v>164</v>
      </c>
      <c r="AC75" s="1" t="s">
        <v>164</v>
      </c>
      <c r="AD75" s="1" t="s">
        <v>164</v>
      </c>
      <c r="AE75" s="143">
        <v>0.5</v>
      </c>
      <c r="AF75" s="1" t="s">
        <v>511</v>
      </c>
      <c r="AG75" s="142">
        <v>25073</v>
      </c>
      <c r="AH75" s="142">
        <v>5014.6000000000004</v>
      </c>
      <c r="AI75" s="142">
        <v>4968</v>
      </c>
      <c r="AJ75" s="14" t="s">
        <v>3299</v>
      </c>
      <c r="AK75" s="142" t="s">
        <v>107</v>
      </c>
      <c r="AL75" s="1" t="s">
        <v>164</v>
      </c>
      <c r="AM75" s="1" t="s">
        <v>164</v>
      </c>
      <c r="AN75" s="1" t="s">
        <v>164</v>
      </c>
      <c r="AO75" s="1" t="s">
        <v>164</v>
      </c>
      <c r="AP75" s="143">
        <v>0.5</v>
      </c>
      <c r="AQ75" s="1" t="s">
        <v>511</v>
      </c>
      <c r="AR75" s="142">
        <v>24909</v>
      </c>
      <c r="AS75" s="142">
        <v>4981.8</v>
      </c>
      <c r="AT75" s="142">
        <v>4910</v>
      </c>
      <c r="AU75" s="4" t="s">
        <v>102</v>
      </c>
    </row>
    <row r="76" spans="1:47" x14ac:dyDescent="0.2">
      <c r="A76" s="174"/>
      <c r="B76" s="9" t="s">
        <v>160</v>
      </c>
      <c r="C76" s="1" t="s">
        <v>3298</v>
      </c>
      <c r="D76" s="142" t="s">
        <v>106</v>
      </c>
      <c r="E76" s="80">
        <v>0</v>
      </c>
      <c r="F76" s="1" t="s">
        <v>163</v>
      </c>
      <c r="G76" s="1" t="s">
        <v>164</v>
      </c>
      <c r="H76" s="1" t="s">
        <v>164</v>
      </c>
      <c r="I76" s="143">
        <v>0</v>
      </c>
      <c r="J76" s="1" t="s">
        <v>163</v>
      </c>
      <c r="K76" s="142">
        <v>0</v>
      </c>
      <c r="L76" s="142">
        <v>0</v>
      </c>
      <c r="M76" s="142">
        <v>0</v>
      </c>
      <c r="N76" s="14" t="s">
        <v>3297</v>
      </c>
      <c r="O76" s="142" t="s">
        <v>106</v>
      </c>
      <c r="P76" s="80">
        <v>0</v>
      </c>
      <c r="Q76" s="1" t="s">
        <v>163</v>
      </c>
      <c r="R76" s="1" t="s">
        <v>164</v>
      </c>
      <c r="S76" s="1" t="s">
        <v>164</v>
      </c>
      <c r="T76" s="143">
        <v>0</v>
      </c>
      <c r="U76" s="1" t="s">
        <v>163</v>
      </c>
      <c r="V76" s="142">
        <v>0</v>
      </c>
      <c r="W76" s="142">
        <v>0</v>
      </c>
      <c r="X76" s="142">
        <v>0</v>
      </c>
      <c r="Y76" s="14" t="s">
        <v>3296</v>
      </c>
      <c r="Z76" s="142" t="s">
        <v>106</v>
      </c>
      <c r="AA76" s="80">
        <v>1</v>
      </c>
      <c r="AB76" s="1" t="s">
        <v>529</v>
      </c>
      <c r="AC76" s="1" t="s">
        <v>164</v>
      </c>
      <c r="AD76" s="1" t="s">
        <v>164</v>
      </c>
      <c r="AE76" s="143">
        <v>1</v>
      </c>
      <c r="AF76" s="1" t="s">
        <v>529</v>
      </c>
      <c r="AG76" s="142">
        <v>48856</v>
      </c>
      <c r="AH76" s="142">
        <v>4885.6000000000004</v>
      </c>
      <c r="AI76" s="142">
        <v>4885</v>
      </c>
      <c r="AJ76" s="14" t="s">
        <v>3295</v>
      </c>
      <c r="AK76" s="142" t="s">
        <v>106</v>
      </c>
      <c r="AL76" s="80">
        <v>1</v>
      </c>
      <c r="AM76" s="1" t="s">
        <v>529</v>
      </c>
      <c r="AN76" s="1" t="s">
        <v>164</v>
      </c>
      <c r="AO76" s="1" t="s">
        <v>164</v>
      </c>
      <c r="AP76" s="143">
        <v>1</v>
      </c>
      <c r="AQ76" s="1" t="s">
        <v>529</v>
      </c>
      <c r="AR76" s="142">
        <v>48837</v>
      </c>
      <c r="AS76" s="142">
        <v>4883.7</v>
      </c>
      <c r="AT76" s="142">
        <v>4890.5</v>
      </c>
      <c r="AU76" s="4" t="s">
        <v>103</v>
      </c>
    </row>
    <row r="77" spans="1:47" x14ac:dyDescent="0.2">
      <c r="A77" s="174"/>
      <c r="B77" s="9" t="s">
        <v>76</v>
      </c>
      <c r="C77" s="1" t="s">
        <v>3294</v>
      </c>
      <c r="D77" s="142" t="s">
        <v>106</v>
      </c>
      <c r="E77" s="80">
        <v>0</v>
      </c>
      <c r="F77" s="1" t="s">
        <v>163</v>
      </c>
      <c r="G77" s="1" t="s">
        <v>164</v>
      </c>
      <c r="H77" s="1" t="s">
        <v>164</v>
      </c>
      <c r="I77" s="143">
        <v>0</v>
      </c>
      <c r="J77" s="1" t="s">
        <v>163</v>
      </c>
      <c r="K77" s="142">
        <v>0</v>
      </c>
      <c r="L77" s="142">
        <v>0</v>
      </c>
      <c r="M77" s="142">
        <v>0</v>
      </c>
      <c r="N77" s="14" t="s">
        <v>3293</v>
      </c>
      <c r="O77" s="142" t="s">
        <v>107</v>
      </c>
      <c r="P77" s="1" t="s">
        <v>164</v>
      </c>
      <c r="Q77" s="1" t="s">
        <v>164</v>
      </c>
      <c r="R77" s="1" t="s">
        <v>164</v>
      </c>
      <c r="S77" s="1" t="s">
        <v>164</v>
      </c>
      <c r="T77" s="143">
        <v>0</v>
      </c>
      <c r="U77" s="1" t="s">
        <v>163</v>
      </c>
      <c r="V77" s="142">
        <v>0</v>
      </c>
      <c r="W77" s="142">
        <v>0</v>
      </c>
      <c r="X77" s="142">
        <v>0</v>
      </c>
      <c r="Y77" s="14" t="s">
        <v>3292</v>
      </c>
      <c r="Z77" s="142" t="s">
        <v>106</v>
      </c>
      <c r="AA77" s="80">
        <v>1</v>
      </c>
      <c r="AB77" s="1" t="s">
        <v>529</v>
      </c>
      <c r="AC77" s="1" t="s">
        <v>164</v>
      </c>
      <c r="AD77" s="1" t="s">
        <v>164</v>
      </c>
      <c r="AE77" s="143">
        <v>1</v>
      </c>
      <c r="AF77" s="1" t="s">
        <v>529</v>
      </c>
      <c r="AG77" s="142">
        <v>49262</v>
      </c>
      <c r="AH77" s="142">
        <v>4926.2</v>
      </c>
      <c r="AI77" s="142">
        <v>4945.5</v>
      </c>
      <c r="AJ77" s="14" t="s">
        <v>3291</v>
      </c>
      <c r="AK77" s="142" t="s">
        <v>106</v>
      </c>
      <c r="AL77" s="80">
        <v>1</v>
      </c>
      <c r="AM77" s="1" t="s">
        <v>529</v>
      </c>
      <c r="AN77" s="1" t="s">
        <v>164</v>
      </c>
      <c r="AO77" s="1" t="s">
        <v>164</v>
      </c>
      <c r="AP77" s="143">
        <v>1</v>
      </c>
      <c r="AQ77" s="1" t="s">
        <v>529</v>
      </c>
      <c r="AR77" s="142">
        <v>48800</v>
      </c>
      <c r="AS77" s="142">
        <v>4880</v>
      </c>
      <c r="AT77" s="142">
        <v>4874</v>
      </c>
      <c r="AU77" s="4" t="s">
        <v>103</v>
      </c>
    </row>
    <row r="78" spans="1:47" x14ac:dyDescent="0.2">
      <c r="A78" s="174"/>
      <c r="B78" s="9" t="s">
        <v>161</v>
      </c>
      <c r="C78" s="1" t="s">
        <v>3290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3289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3288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3287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4"/>
      <c r="B79" s="9" t="s">
        <v>77</v>
      </c>
      <c r="C79" s="1" t="s">
        <v>3286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3285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3284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3283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4"/>
      <c r="B80" s="9" t="s">
        <v>162</v>
      </c>
      <c r="C80" s="1" t="s">
        <v>3282</v>
      </c>
      <c r="D80" s="142" t="s">
        <v>106</v>
      </c>
      <c r="E80" s="80">
        <v>0</v>
      </c>
      <c r="F80" s="1" t="s">
        <v>163</v>
      </c>
      <c r="G80" s="1" t="s">
        <v>164</v>
      </c>
      <c r="H80" s="1" t="s">
        <v>164</v>
      </c>
      <c r="I80" s="143">
        <v>0</v>
      </c>
      <c r="J80" s="1" t="s">
        <v>163</v>
      </c>
      <c r="K80" s="142">
        <v>0</v>
      </c>
      <c r="L80" s="142">
        <v>0</v>
      </c>
      <c r="M80" s="142">
        <v>0</v>
      </c>
      <c r="N80" s="14" t="s">
        <v>3281</v>
      </c>
      <c r="O80" s="142" t="s">
        <v>106</v>
      </c>
      <c r="P80" s="80">
        <v>0</v>
      </c>
      <c r="Q80" s="1" t="s">
        <v>163</v>
      </c>
      <c r="R80" s="1" t="s">
        <v>164</v>
      </c>
      <c r="S80" s="1" t="s">
        <v>164</v>
      </c>
      <c r="T80" s="143">
        <v>0</v>
      </c>
      <c r="U80" s="1" t="s">
        <v>163</v>
      </c>
      <c r="V80" s="142">
        <v>0</v>
      </c>
      <c r="W80" s="142">
        <v>0</v>
      </c>
      <c r="X80" s="142">
        <v>0</v>
      </c>
      <c r="Y80" s="14" t="s">
        <v>3280</v>
      </c>
      <c r="Z80" s="142" t="s">
        <v>106</v>
      </c>
      <c r="AA80" s="80">
        <v>1</v>
      </c>
      <c r="AB80" s="1" t="s">
        <v>529</v>
      </c>
      <c r="AC80" s="1" t="s">
        <v>164</v>
      </c>
      <c r="AD80" s="1" t="s">
        <v>164</v>
      </c>
      <c r="AE80" s="143">
        <v>1</v>
      </c>
      <c r="AF80" s="1" t="s">
        <v>529</v>
      </c>
      <c r="AG80" s="142">
        <v>49345</v>
      </c>
      <c r="AH80" s="142">
        <v>4934.5</v>
      </c>
      <c r="AI80" s="142">
        <v>4938</v>
      </c>
      <c r="AJ80" s="14" t="s">
        <v>3279</v>
      </c>
      <c r="AK80" s="142" t="s">
        <v>106</v>
      </c>
      <c r="AL80" s="80">
        <v>1</v>
      </c>
      <c r="AM80" s="1" t="s">
        <v>529</v>
      </c>
      <c r="AN80" s="1" t="s">
        <v>164</v>
      </c>
      <c r="AO80" s="1" t="s">
        <v>164</v>
      </c>
      <c r="AP80" s="143">
        <v>1</v>
      </c>
      <c r="AQ80" s="1" t="s">
        <v>529</v>
      </c>
      <c r="AR80" s="142">
        <v>48646</v>
      </c>
      <c r="AS80" s="142">
        <v>4864.6000000000004</v>
      </c>
      <c r="AT80" s="142">
        <v>4873</v>
      </c>
      <c r="AU80" s="4" t="s">
        <v>103</v>
      </c>
    </row>
    <row r="81" spans="1:47" x14ac:dyDescent="0.2">
      <c r="A81" s="174"/>
      <c r="B81" s="9" t="s">
        <v>78</v>
      </c>
      <c r="C81" s="1" t="s">
        <v>3278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4969</v>
      </c>
      <c r="L81" s="142">
        <v>4969</v>
      </c>
      <c r="M81" s="142">
        <v>4969</v>
      </c>
      <c r="N81" s="14" t="s">
        <v>3277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4992</v>
      </c>
      <c r="W81" s="142">
        <v>4992</v>
      </c>
      <c r="X81" s="142">
        <v>4992</v>
      </c>
      <c r="Y81" s="14" t="s">
        <v>3276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49181</v>
      </c>
      <c r="AH81" s="142">
        <v>4918.1000000000004</v>
      </c>
      <c r="AI81" s="142">
        <v>4924.5</v>
      </c>
      <c r="AJ81" s="14" t="s">
        <v>3275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48802</v>
      </c>
      <c r="AS81" s="142">
        <v>4880.2</v>
      </c>
      <c r="AT81" s="142">
        <v>4897</v>
      </c>
      <c r="AU81" s="4" t="s">
        <v>103</v>
      </c>
    </row>
    <row r="82" spans="1:47" x14ac:dyDescent="0.2">
      <c r="A82" s="174"/>
      <c r="B82" s="9" t="s">
        <v>79</v>
      </c>
      <c r="C82" s="1" t="s">
        <v>3274</v>
      </c>
      <c r="D82" s="142" t="s">
        <v>106</v>
      </c>
      <c r="E82" s="80">
        <v>0</v>
      </c>
      <c r="F82" s="1" t="s">
        <v>169</v>
      </c>
      <c r="G82" s="80">
        <v>1</v>
      </c>
      <c r="H82" s="1" t="s">
        <v>452</v>
      </c>
      <c r="I82" s="143">
        <v>1</v>
      </c>
      <c r="J82" s="1" t="s">
        <v>452</v>
      </c>
      <c r="K82" s="142">
        <v>5161</v>
      </c>
      <c r="L82" s="142">
        <v>5161</v>
      </c>
      <c r="M82" s="142">
        <v>5161</v>
      </c>
      <c r="N82" s="14" t="s">
        <v>3273</v>
      </c>
      <c r="O82" s="142" t="s">
        <v>106</v>
      </c>
      <c r="P82" s="80">
        <v>0</v>
      </c>
      <c r="Q82" s="1" t="s">
        <v>169</v>
      </c>
      <c r="R82" s="80">
        <v>1</v>
      </c>
      <c r="S82" s="1" t="s">
        <v>452</v>
      </c>
      <c r="T82" s="143">
        <v>1</v>
      </c>
      <c r="U82" s="1" t="s">
        <v>452</v>
      </c>
      <c r="V82" s="142">
        <v>5028</v>
      </c>
      <c r="W82" s="142">
        <v>5028</v>
      </c>
      <c r="X82" s="142">
        <v>5028</v>
      </c>
      <c r="Y82" s="14" t="s">
        <v>3272</v>
      </c>
      <c r="Z82" s="142" t="s">
        <v>106</v>
      </c>
      <c r="AA82" s="80">
        <v>1</v>
      </c>
      <c r="AB82" s="1" t="s">
        <v>516</v>
      </c>
      <c r="AC82" s="80">
        <v>0.2</v>
      </c>
      <c r="AD82" s="1" t="s">
        <v>1049</v>
      </c>
      <c r="AE82" s="143">
        <v>0.6</v>
      </c>
      <c r="AF82" s="1" t="s">
        <v>963</v>
      </c>
      <c r="AG82" s="142">
        <v>36208</v>
      </c>
      <c r="AH82" s="142">
        <v>6034.67</v>
      </c>
      <c r="AI82" s="142">
        <v>5096</v>
      </c>
      <c r="AJ82" s="14" t="s">
        <v>3271</v>
      </c>
      <c r="AK82" s="142" t="s">
        <v>106</v>
      </c>
      <c r="AL82" s="80">
        <v>1</v>
      </c>
      <c r="AM82" s="1" t="s">
        <v>516</v>
      </c>
      <c r="AN82" s="80">
        <v>0.2</v>
      </c>
      <c r="AO82" s="1" t="s">
        <v>1049</v>
      </c>
      <c r="AP82" s="143">
        <v>0.6</v>
      </c>
      <c r="AQ82" s="1" t="s">
        <v>963</v>
      </c>
      <c r="AR82" s="142">
        <v>32757</v>
      </c>
      <c r="AS82" s="142">
        <v>5459.5</v>
      </c>
      <c r="AT82" s="142">
        <v>5154.5</v>
      </c>
      <c r="AU82" s="4" t="s">
        <v>102</v>
      </c>
    </row>
    <row r="83" spans="1:47" x14ac:dyDescent="0.2">
      <c r="A83" s="174"/>
      <c r="B83" s="9" t="s">
        <v>80</v>
      </c>
      <c r="C83" s="1" t="s">
        <v>3270</v>
      </c>
      <c r="D83" s="142" t="s">
        <v>106</v>
      </c>
      <c r="E83" s="80">
        <v>0</v>
      </c>
      <c r="F83" s="1" t="s">
        <v>163</v>
      </c>
      <c r="G83" s="1" t="s">
        <v>164</v>
      </c>
      <c r="H83" s="1" t="s">
        <v>164</v>
      </c>
      <c r="I83" s="143">
        <v>0</v>
      </c>
      <c r="J83" s="1" t="s">
        <v>163</v>
      </c>
      <c r="K83" s="142">
        <v>0</v>
      </c>
      <c r="L83" s="142">
        <v>0</v>
      </c>
      <c r="M83" s="142">
        <v>0</v>
      </c>
      <c r="N83" s="14" t="s">
        <v>3269</v>
      </c>
      <c r="O83" s="142" t="s">
        <v>106</v>
      </c>
      <c r="P83" s="80">
        <v>0</v>
      </c>
      <c r="Q83" s="1" t="s">
        <v>163</v>
      </c>
      <c r="R83" s="1" t="s">
        <v>164</v>
      </c>
      <c r="S83" s="1" t="s">
        <v>164</v>
      </c>
      <c r="T83" s="143">
        <v>0</v>
      </c>
      <c r="U83" s="1" t="s">
        <v>163</v>
      </c>
      <c r="V83" s="142">
        <v>0</v>
      </c>
      <c r="W83" s="142">
        <v>0</v>
      </c>
      <c r="X83" s="142">
        <v>0</v>
      </c>
      <c r="Y83" s="14" t="s">
        <v>3268</v>
      </c>
      <c r="Z83" s="142" t="s">
        <v>106</v>
      </c>
      <c r="AA83" s="80">
        <v>0.6</v>
      </c>
      <c r="AB83" s="1" t="s">
        <v>963</v>
      </c>
      <c r="AC83" s="1" t="s">
        <v>164</v>
      </c>
      <c r="AD83" s="1" t="s">
        <v>164</v>
      </c>
      <c r="AE83" s="143">
        <v>0.6</v>
      </c>
      <c r="AF83" s="1" t="s">
        <v>963</v>
      </c>
      <c r="AG83" s="142">
        <v>34254</v>
      </c>
      <c r="AH83" s="142">
        <v>5709</v>
      </c>
      <c r="AI83" s="142">
        <v>5174</v>
      </c>
      <c r="AJ83" s="14" t="s">
        <v>3267</v>
      </c>
      <c r="AK83" s="142" t="s">
        <v>106</v>
      </c>
      <c r="AL83" s="80">
        <v>0.6</v>
      </c>
      <c r="AM83" s="1" t="s">
        <v>963</v>
      </c>
      <c r="AN83" s="1" t="s">
        <v>164</v>
      </c>
      <c r="AO83" s="1" t="s">
        <v>164</v>
      </c>
      <c r="AP83" s="143">
        <v>0.6</v>
      </c>
      <c r="AQ83" s="1" t="s">
        <v>963</v>
      </c>
      <c r="AR83" s="142">
        <v>34248</v>
      </c>
      <c r="AS83" s="142">
        <v>5708</v>
      </c>
      <c r="AT83" s="142">
        <v>5258.5</v>
      </c>
      <c r="AU83" s="4" t="s">
        <v>102</v>
      </c>
    </row>
    <row r="84" spans="1:47" x14ac:dyDescent="0.2">
      <c r="A84" s="174"/>
      <c r="B84" s="9" t="s">
        <v>81</v>
      </c>
      <c r="C84" s="1" t="s">
        <v>3266</v>
      </c>
      <c r="D84" s="142" t="s">
        <v>106</v>
      </c>
      <c r="E84" s="80">
        <v>0</v>
      </c>
      <c r="F84" s="1" t="s">
        <v>169</v>
      </c>
      <c r="G84" s="80">
        <v>1</v>
      </c>
      <c r="H84" s="1" t="s">
        <v>452</v>
      </c>
      <c r="I84" s="143">
        <v>1</v>
      </c>
      <c r="J84" s="1" t="s">
        <v>452</v>
      </c>
      <c r="K84" s="142">
        <v>6427</v>
      </c>
      <c r="L84" s="142">
        <v>6427</v>
      </c>
      <c r="M84" s="142">
        <v>6427</v>
      </c>
      <c r="N84" s="14" t="s">
        <v>3265</v>
      </c>
      <c r="O84" s="142" t="s">
        <v>106</v>
      </c>
      <c r="P84" s="80">
        <v>0</v>
      </c>
      <c r="Q84" s="1" t="s">
        <v>169</v>
      </c>
      <c r="R84" s="80">
        <v>1</v>
      </c>
      <c r="S84" s="1" t="s">
        <v>452</v>
      </c>
      <c r="T84" s="143">
        <v>1</v>
      </c>
      <c r="U84" s="1" t="s">
        <v>452</v>
      </c>
      <c r="V84" s="142">
        <v>6363</v>
      </c>
      <c r="W84" s="142">
        <v>6363</v>
      </c>
      <c r="X84" s="142">
        <v>6363</v>
      </c>
      <c r="Y84" s="14" t="s">
        <v>3264</v>
      </c>
      <c r="Z84" s="142" t="s">
        <v>106</v>
      </c>
      <c r="AA84" s="80">
        <v>1</v>
      </c>
      <c r="AB84" s="1" t="s">
        <v>516</v>
      </c>
      <c r="AC84" s="80">
        <v>1</v>
      </c>
      <c r="AD84" s="1" t="s">
        <v>516</v>
      </c>
      <c r="AE84" s="143">
        <v>1</v>
      </c>
      <c r="AF84" s="1" t="s">
        <v>529</v>
      </c>
      <c r="AG84" s="142">
        <v>54534</v>
      </c>
      <c r="AH84" s="142">
        <v>5453.4</v>
      </c>
      <c r="AI84" s="142">
        <v>5634</v>
      </c>
      <c r="AJ84" s="14" t="s">
        <v>3263</v>
      </c>
      <c r="AK84" s="142" t="s">
        <v>106</v>
      </c>
      <c r="AL84" s="80">
        <v>1</v>
      </c>
      <c r="AM84" s="1" t="s">
        <v>516</v>
      </c>
      <c r="AN84" s="80">
        <v>1</v>
      </c>
      <c r="AO84" s="1" t="s">
        <v>516</v>
      </c>
      <c r="AP84" s="143">
        <v>1</v>
      </c>
      <c r="AQ84" s="1" t="s">
        <v>529</v>
      </c>
      <c r="AR84" s="142">
        <v>54655</v>
      </c>
      <c r="AS84" s="142">
        <v>5465.5</v>
      </c>
      <c r="AT84" s="142">
        <v>5680.5</v>
      </c>
      <c r="AU84" s="4" t="s">
        <v>102</v>
      </c>
    </row>
    <row r="85" spans="1:47" x14ac:dyDescent="0.2">
      <c r="A85" s="174"/>
      <c r="B85" s="9" t="s">
        <v>82</v>
      </c>
      <c r="C85" s="1" t="s">
        <v>3262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6745</v>
      </c>
      <c r="L85" s="142">
        <v>6745</v>
      </c>
      <c r="M85" s="142">
        <v>6745</v>
      </c>
      <c r="N85" s="14" t="s">
        <v>3261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6967</v>
      </c>
      <c r="W85" s="142">
        <v>6967</v>
      </c>
      <c r="X85" s="142">
        <v>6967</v>
      </c>
      <c r="Y85" s="14" t="s">
        <v>3260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53604</v>
      </c>
      <c r="AH85" s="142">
        <v>5360.4</v>
      </c>
      <c r="AI85" s="142">
        <v>5626.5</v>
      </c>
      <c r="AJ85" s="14" t="s">
        <v>3259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54670</v>
      </c>
      <c r="AS85" s="142">
        <v>5467</v>
      </c>
      <c r="AT85" s="142">
        <v>5720.5</v>
      </c>
      <c r="AU85" s="4" t="s">
        <v>102</v>
      </c>
    </row>
    <row r="86" spans="1:47" x14ac:dyDescent="0.2">
      <c r="A86" s="174"/>
      <c r="B86" s="9" t="s">
        <v>83</v>
      </c>
      <c r="C86" s="1" t="s">
        <v>3258</v>
      </c>
      <c r="D86" s="142" t="s">
        <v>106</v>
      </c>
      <c r="E86" s="80">
        <v>0</v>
      </c>
      <c r="F86" s="1" t="s">
        <v>169</v>
      </c>
      <c r="G86" s="80">
        <v>1</v>
      </c>
      <c r="H86" s="1" t="s">
        <v>452</v>
      </c>
      <c r="I86" s="143">
        <v>1</v>
      </c>
      <c r="J86" s="1" t="s">
        <v>452</v>
      </c>
      <c r="K86" s="142">
        <v>4882</v>
      </c>
      <c r="L86" s="142">
        <v>4882</v>
      </c>
      <c r="M86" s="142">
        <v>4882</v>
      </c>
      <c r="N86" s="14" t="s">
        <v>3257</v>
      </c>
      <c r="O86" s="142" t="s">
        <v>106</v>
      </c>
      <c r="P86" s="80">
        <v>0</v>
      </c>
      <c r="Q86" s="1" t="s">
        <v>169</v>
      </c>
      <c r="R86" s="80">
        <v>1</v>
      </c>
      <c r="S86" s="1" t="s">
        <v>452</v>
      </c>
      <c r="T86" s="143">
        <v>1</v>
      </c>
      <c r="U86" s="1" t="s">
        <v>452</v>
      </c>
      <c r="V86" s="142">
        <v>4896</v>
      </c>
      <c r="W86" s="142">
        <v>4896</v>
      </c>
      <c r="X86" s="142">
        <v>4896</v>
      </c>
      <c r="Y86" s="14" t="s">
        <v>3256</v>
      </c>
      <c r="Z86" s="142" t="s">
        <v>106</v>
      </c>
      <c r="AA86" s="80">
        <v>1</v>
      </c>
      <c r="AB86" s="1" t="s">
        <v>516</v>
      </c>
      <c r="AC86" s="80">
        <v>1</v>
      </c>
      <c r="AD86" s="1" t="s">
        <v>516</v>
      </c>
      <c r="AE86" s="143">
        <v>1</v>
      </c>
      <c r="AF86" s="1" t="s">
        <v>529</v>
      </c>
      <c r="AG86" s="142">
        <v>53965</v>
      </c>
      <c r="AH86" s="142">
        <v>5396.5</v>
      </c>
      <c r="AI86" s="142">
        <v>5384.5</v>
      </c>
      <c r="AJ86" s="14" t="s">
        <v>3255</v>
      </c>
      <c r="AK86" s="142" t="s">
        <v>106</v>
      </c>
      <c r="AL86" s="80">
        <v>1</v>
      </c>
      <c r="AM86" s="1" t="s">
        <v>516</v>
      </c>
      <c r="AN86" s="80">
        <v>1</v>
      </c>
      <c r="AO86" s="1" t="s">
        <v>516</v>
      </c>
      <c r="AP86" s="143">
        <v>1</v>
      </c>
      <c r="AQ86" s="1" t="s">
        <v>529</v>
      </c>
      <c r="AR86" s="142">
        <v>54078</v>
      </c>
      <c r="AS86" s="142">
        <v>5407.8</v>
      </c>
      <c r="AT86" s="142">
        <v>5353</v>
      </c>
      <c r="AU86" s="4" t="s">
        <v>102</v>
      </c>
    </row>
    <row r="87" spans="1:47" x14ac:dyDescent="0.2">
      <c r="A87" s="174"/>
      <c r="B87" s="9" t="s">
        <v>84</v>
      </c>
      <c r="C87" s="1" t="s">
        <v>3254</v>
      </c>
      <c r="D87" s="142" t="s">
        <v>107</v>
      </c>
      <c r="E87" s="1" t="s">
        <v>164</v>
      </c>
      <c r="F87" s="1" t="s">
        <v>164</v>
      </c>
      <c r="G87" s="1" t="s">
        <v>164</v>
      </c>
      <c r="H87" s="1" t="s">
        <v>164</v>
      </c>
      <c r="I87" s="143">
        <v>0</v>
      </c>
      <c r="J87" s="1" t="s">
        <v>163</v>
      </c>
      <c r="K87" s="142">
        <v>0</v>
      </c>
      <c r="L87" s="142">
        <v>0</v>
      </c>
      <c r="M87" s="142">
        <v>0</v>
      </c>
      <c r="N87" s="14" t="s">
        <v>3253</v>
      </c>
      <c r="O87" s="142" t="s">
        <v>107</v>
      </c>
      <c r="P87" s="1" t="s">
        <v>164</v>
      </c>
      <c r="Q87" s="1" t="s">
        <v>164</v>
      </c>
      <c r="R87" s="1" t="s">
        <v>164</v>
      </c>
      <c r="S87" s="1" t="s">
        <v>164</v>
      </c>
      <c r="T87" s="143">
        <v>0</v>
      </c>
      <c r="U87" s="1" t="s">
        <v>163</v>
      </c>
      <c r="V87" s="142">
        <v>0</v>
      </c>
      <c r="W87" s="142">
        <v>0</v>
      </c>
      <c r="X87" s="142">
        <v>0</v>
      </c>
      <c r="Y87" s="14" t="s">
        <v>3252</v>
      </c>
      <c r="Z87" s="142" t="s">
        <v>106</v>
      </c>
      <c r="AA87" s="80">
        <v>1</v>
      </c>
      <c r="AB87" s="1" t="s">
        <v>529</v>
      </c>
      <c r="AC87" s="1" t="s">
        <v>164</v>
      </c>
      <c r="AD87" s="1" t="s">
        <v>164</v>
      </c>
      <c r="AE87" s="143">
        <v>1</v>
      </c>
      <c r="AF87" s="1" t="s">
        <v>529</v>
      </c>
      <c r="AG87" s="142">
        <v>53189</v>
      </c>
      <c r="AH87" s="142">
        <v>5318.9</v>
      </c>
      <c r="AI87" s="142">
        <v>5303.5</v>
      </c>
      <c r="AJ87" s="14" t="s">
        <v>3251</v>
      </c>
      <c r="AK87" s="142" t="s">
        <v>106</v>
      </c>
      <c r="AL87" s="80">
        <v>1</v>
      </c>
      <c r="AM87" s="1" t="s">
        <v>529</v>
      </c>
      <c r="AN87" s="1" t="s">
        <v>164</v>
      </c>
      <c r="AO87" s="1" t="s">
        <v>164</v>
      </c>
      <c r="AP87" s="143">
        <v>1</v>
      </c>
      <c r="AQ87" s="1" t="s">
        <v>529</v>
      </c>
      <c r="AR87" s="142">
        <v>53849</v>
      </c>
      <c r="AS87" s="142">
        <v>5384.9</v>
      </c>
      <c r="AT87" s="142">
        <v>5304.5</v>
      </c>
      <c r="AU87" s="4" t="s">
        <v>102</v>
      </c>
    </row>
    <row r="88" spans="1:47" x14ac:dyDescent="0.2">
      <c r="A88" s="174"/>
      <c r="B88" s="9" t="s">
        <v>85</v>
      </c>
      <c r="C88" s="1" t="s">
        <v>3250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3249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3248</v>
      </c>
      <c r="Z88" s="142" t="s">
        <v>106</v>
      </c>
      <c r="AA88" s="80">
        <v>0.8</v>
      </c>
      <c r="AB88" s="1" t="s">
        <v>506</v>
      </c>
      <c r="AC88" s="80">
        <v>0</v>
      </c>
      <c r="AD88" s="1" t="s">
        <v>218</v>
      </c>
      <c r="AE88" s="143">
        <v>0.4</v>
      </c>
      <c r="AF88" s="1" t="s">
        <v>501</v>
      </c>
      <c r="AG88" s="142">
        <v>22007</v>
      </c>
      <c r="AH88" s="142">
        <v>5501.75</v>
      </c>
      <c r="AI88" s="142">
        <v>5200.5</v>
      </c>
      <c r="AJ88" s="14" t="s">
        <v>3247</v>
      </c>
      <c r="AK88" s="142" t="s">
        <v>106</v>
      </c>
      <c r="AL88" s="80">
        <v>0.8</v>
      </c>
      <c r="AM88" s="1" t="s">
        <v>506</v>
      </c>
      <c r="AN88" s="80">
        <v>0</v>
      </c>
      <c r="AO88" s="1" t="s">
        <v>218</v>
      </c>
      <c r="AP88" s="143">
        <v>0.4</v>
      </c>
      <c r="AQ88" s="1" t="s">
        <v>501</v>
      </c>
      <c r="AR88" s="142">
        <v>21632</v>
      </c>
      <c r="AS88" s="142">
        <v>5408</v>
      </c>
      <c r="AT88" s="142">
        <v>5223.5</v>
      </c>
      <c r="AU88" s="4" t="s">
        <v>102</v>
      </c>
    </row>
    <row r="89" spans="1:47" x14ac:dyDescent="0.2">
      <c r="A89" s="174"/>
      <c r="B89" s="9" t="s">
        <v>86</v>
      </c>
      <c r="C89" s="1" t="s">
        <v>3246</v>
      </c>
      <c r="D89" s="142" t="s">
        <v>106</v>
      </c>
      <c r="E89" s="80">
        <v>0</v>
      </c>
      <c r="F89" s="1" t="s">
        <v>163</v>
      </c>
      <c r="G89" s="1" t="s">
        <v>164</v>
      </c>
      <c r="H89" s="1" t="s">
        <v>164</v>
      </c>
      <c r="I89" s="143">
        <v>0</v>
      </c>
      <c r="J89" s="1" t="s">
        <v>163</v>
      </c>
      <c r="K89" s="142">
        <v>0</v>
      </c>
      <c r="L89" s="142">
        <v>0</v>
      </c>
      <c r="M89" s="142">
        <v>0</v>
      </c>
      <c r="N89" s="14" t="s">
        <v>3245</v>
      </c>
      <c r="O89" s="142" t="s">
        <v>106</v>
      </c>
      <c r="P89" s="80">
        <v>0</v>
      </c>
      <c r="Q89" s="1" t="s">
        <v>163</v>
      </c>
      <c r="R89" s="1" t="s">
        <v>164</v>
      </c>
      <c r="S89" s="1" t="s">
        <v>164</v>
      </c>
      <c r="T89" s="143">
        <v>0</v>
      </c>
      <c r="U89" s="1" t="s">
        <v>163</v>
      </c>
      <c r="V89" s="142">
        <v>0</v>
      </c>
      <c r="W89" s="142">
        <v>0</v>
      </c>
      <c r="X89" s="142">
        <v>0</v>
      </c>
      <c r="Y89" s="14" t="s">
        <v>3244</v>
      </c>
      <c r="Z89" s="142" t="s">
        <v>106</v>
      </c>
      <c r="AA89" s="80">
        <v>0.8</v>
      </c>
      <c r="AB89" s="1" t="s">
        <v>1077</v>
      </c>
      <c r="AC89" s="1" t="s">
        <v>164</v>
      </c>
      <c r="AD89" s="1" t="s">
        <v>164</v>
      </c>
      <c r="AE89" s="143">
        <v>0.8</v>
      </c>
      <c r="AF89" s="1" t="s">
        <v>1077</v>
      </c>
      <c r="AG89" s="142">
        <v>44008</v>
      </c>
      <c r="AH89" s="142">
        <v>5501</v>
      </c>
      <c r="AI89" s="142">
        <v>5059.5</v>
      </c>
      <c r="AJ89" s="14" t="s">
        <v>3243</v>
      </c>
      <c r="AK89" s="142" t="s">
        <v>106</v>
      </c>
      <c r="AL89" s="80">
        <v>0.8</v>
      </c>
      <c r="AM89" s="1" t="s">
        <v>1077</v>
      </c>
      <c r="AN89" s="1" t="s">
        <v>164</v>
      </c>
      <c r="AO89" s="1" t="s">
        <v>164</v>
      </c>
      <c r="AP89" s="143">
        <v>0.8</v>
      </c>
      <c r="AQ89" s="1" t="s">
        <v>1077</v>
      </c>
      <c r="AR89" s="142">
        <v>44054</v>
      </c>
      <c r="AS89" s="142">
        <v>5506.75</v>
      </c>
      <c r="AT89" s="142">
        <v>5063.5</v>
      </c>
      <c r="AU89" s="4" t="s">
        <v>102</v>
      </c>
    </row>
    <row r="90" spans="1:47" x14ac:dyDescent="0.2">
      <c r="A90" s="174"/>
      <c r="B90" s="9" t="s">
        <v>87</v>
      </c>
      <c r="C90" s="1" t="s">
        <v>3242</v>
      </c>
      <c r="D90" s="142" t="s">
        <v>106</v>
      </c>
      <c r="E90" s="80">
        <v>0</v>
      </c>
      <c r="F90" s="1" t="s">
        <v>169</v>
      </c>
      <c r="G90" s="80">
        <v>0</v>
      </c>
      <c r="H90" s="1" t="s">
        <v>163</v>
      </c>
      <c r="I90" s="143">
        <v>0</v>
      </c>
      <c r="J90" s="1" t="s">
        <v>163</v>
      </c>
      <c r="K90" s="142">
        <v>0</v>
      </c>
      <c r="L90" s="142">
        <v>0</v>
      </c>
      <c r="M90" s="142">
        <v>0</v>
      </c>
      <c r="N90" s="14" t="s">
        <v>3241</v>
      </c>
      <c r="O90" s="142" t="s">
        <v>106</v>
      </c>
      <c r="P90" s="80">
        <v>0</v>
      </c>
      <c r="Q90" s="1" t="s">
        <v>169</v>
      </c>
      <c r="R90" s="80">
        <v>0</v>
      </c>
      <c r="S90" s="1" t="s">
        <v>163</v>
      </c>
      <c r="T90" s="143">
        <v>0</v>
      </c>
      <c r="U90" s="1" t="s">
        <v>163</v>
      </c>
      <c r="V90" s="142">
        <v>0</v>
      </c>
      <c r="W90" s="142">
        <v>0</v>
      </c>
      <c r="X90" s="142">
        <v>0</v>
      </c>
      <c r="Y90" s="14" t="s">
        <v>3240</v>
      </c>
      <c r="Z90" s="142" t="s">
        <v>106</v>
      </c>
      <c r="AA90" s="80">
        <v>0</v>
      </c>
      <c r="AB90" s="1" t="s">
        <v>218</v>
      </c>
      <c r="AC90" s="80">
        <v>0</v>
      </c>
      <c r="AD90" s="1" t="s">
        <v>218</v>
      </c>
      <c r="AE90" s="143">
        <v>0</v>
      </c>
      <c r="AF90" s="1" t="s">
        <v>213</v>
      </c>
      <c r="AG90" s="142">
        <v>0</v>
      </c>
      <c r="AH90" s="142">
        <v>0</v>
      </c>
      <c r="AI90" s="142">
        <v>0</v>
      </c>
      <c r="AJ90" s="14" t="s">
        <v>3239</v>
      </c>
      <c r="AK90" s="142" t="s">
        <v>106</v>
      </c>
      <c r="AL90" s="80">
        <v>0</v>
      </c>
      <c r="AM90" s="1" t="s">
        <v>218</v>
      </c>
      <c r="AN90" s="80">
        <v>0</v>
      </c>
      <c r="AO90" s="1" t="s">
        <v>218</v>
      </c>
      <c r="AP90" s="143">
        <v>0</v>
      </c>
      <c r="AQ90" s="1" t="s">
        <v>213</v>
      </c>
      <c r="AR90" s="142">
        <v>0</v>
      </c>
      <c r="AS90" s="142">
        <v>0</v>
      </c>
      <c r="AT90" s="142">
        <v>0</v>
      </c>
      <c r="AU90" s="4" t="s">
        <v>98</v>
      </c>
    </row>
    <row r="91" spans="1:47" x14ac:dyDescent="0.2">
      <c r="A91" s="174"/>
      <c r="B91" s="9" t="s">
        <v>88</v>
      </c>
      <c r="C91" s="1" t="s">
        <v>3238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3237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3236</v>
      </c>
      <c r="Z91" s="142" t="s">
        <v>106</v>
      </c>
      <c r="AA91" s="80">
        <v>0</v>
      </c>
      <c r="AB91" s="1" t="s">
        <v>213</v>
      </c>
      <c r="AC91" s="1" t="s">
        <v>164</v>
      </c>
      <c r="AD91" s="1" t="s">
        <v>164</v>
      </c>
      <c r="AE91" s="143">
        <v>0</v>
      </c>
      <c r="AF91" s="1" t="s">
        <v>213</v>
      </c>
      <c r="AG91" s="142">
        <v>0</v>
      </c>
      <c r="AH91" s="142">
        <v>0</v>
      </c>
      <c r="AI91" s="142">
        <v>0</v>
      </c>
      <c r="AJ91" s="14" t="s">
        <v>3235</v>
      </c>
      <c r="AK91" s="142" t="s">
        <v>106</v>
      </c>
      <c r="AL91" s="80">
        <v>0</v>
      </c>
      <c r="AM91" s="1" t="s">
        <v>213</v>
      </c>
      <c r="AN91" s="1" t="s">
        <v>164</v>
      </c>
      <c r="AO91" s="1" t="s">
        <v>164</v>
      </c>
      <c r="AP91" s="143">
        <v>0</v>
      </c>
      <c r="AQ91" s="1" t="s">
        <v>213</v>
      </c>
      <c r="AR91" s="142">
        <v>0</v>
      </c>
      <c r="AS91" s="142">
        <v>0</v>
      </c>
      <c r="AT91" s="142">
        <v>0</v>
      </c>
      <c r="AU91" s="4" t="s">
        <v>98</v>
      </c>
    </row>
    <row r="92" spans="1:47" x14ac:dyDescent="0.2">
      <c r="A92" s="174"/>
      <c r="B92" s="9" t="s">
        <v>89</v>
      </c>
      <c r="C92" s="1" t="s">
        <v>3234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5344</v>
      </c>
      <c r="L92" s="142">
        <v>5344</v>
      </c>
      <c r="M92" s="142">
        <v>5344</v>
      </c>
      <c r="N92" s="14" t="s">
        <v>3233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4772</v>
      </c>
      <c r="W92" s="142">
        <v>4772</v>
      </c>
      <c r="X92" s="142">
        <v>4772</v>
      </c>
      <c r="Y92" s="14" t="s">
        <v>3232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50175</v>
      </c>
      <c r="AH92" s="142">
        <v>5017.5</v>
      </c>
      <c r="AI92" s="142">
        <v>5021</v>
      </c>
      <c r="AJ92" s="14" t="s">
        <v>3231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48146</v>
      </c>
      <c r="AS92" s="142">
        <v>4814.6000000000004</v>
      </c>
      <c r="AT92" s="142">
        <v>4829.5</v>
      </c>
    </row>
    <row r="93" spans="1:47" x14ac:dyDescent="0.2">
      <c r="A93" s="174"/>
      <c r="B93" s="9" t="s">
        <v>90</v>
      </c>
      <c r="C93" s="1" t="s">
        <v>3230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6890</v>
      </c>
      <c r="L93" s="142">
        <v>6890</v>
      </c>
      <c r="M93" s="142">
        <v>6890</v>
      </c>
      <c r="N93" s="14" t="s">
        <v>3229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6423</v>
      </c>
      <c r="W93" s="142">
        <v>6423</v>
      </c>
      <c r="X93" s="142">
        <v>6423</v>
      </c>
      <c r="Y93" s="14" t="s">
        <v>3228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51310</v>
      </c>
      <c r="AH93" s="142">
        <v>5131</v>
      </c>
      <c r="AI93" s="142">
        <v>4786</v>
      </c>
      <c r="AJ93" s="14" t="s">
        <v>3227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53347</v>
      </c>
      <c r="AS93" s="142">
        <v>5334.7</v>
      </c>
      <c r="AT93" s="142">
        <v>4838</v>
      </c>
    </row>
    <row r="94" spans="1:47" x14ac:dyDescent="0.2">
      <c r="A94" s="174"/>
      <c r="B94" s="9" t="s">
        <v>91</v>
      </c>
      <c r="C94" s="1" t="s">
        <v>3226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3225</v>
      </c>
      <c r="O94" s="142" t="s">
        <v>106</v>
      </c>
      <c r="P94" s="80">
        <v>0</v>
      </c>
      <c r="Q94" s="1" t="s">
        <v>163</v>
      </c>
      <c r="R94" s="80">
        <v>0</v>
      </c>
      <c r="S94" s="1" t="s">
        <v>939</v>
      </c>
      <c r="T94" s="143">
        <v>0</v>
      </c>
      <c r="U94" s="1" t="s">
        <v>1161</v>
      </c>
      <c r="V94" s="142">
        <v>0</v>
      </c>
      <c r="W94" s="142">
        <v>0</v>
      </c>
      <c r="X94" s="142">
        <v>0</v>
      </c>
      <c r="Y94" s="14" t="s">
        <v>3224</v>
      </c>
      <c r="Z94" s="142" t="s">
        <v>106</v>
      </c>
      <c r="AA94" s="80">
        <v>0</v>
      </c>
      <c r="AB94" s="1" t="s">
        <v>218</v>
      </c>
      <c r="AC94" s="80">
        <v>0</v>
      </c>
      <c r="AD94" s="1" t="s">
        <v>218</v>
      </c>
      <c r="AE94" s="143">
        <v>0</v>
      </c>
      <c r="AF94" s="1" t="s">
        <v>213</v>
      </c>
      <c r="AG94" s="142">
        <v>0</v>
      </c>
      <c r="AH94" s="142">
        <v>0</v>
      </c>
      <c r="AI94" s="142">
        <v>0</v>
      </c>
      <c r="AJ94" s="14" t="s">
        <v>3223</v>
      </c>
      <c r="AK94" s="142" t="s">
        <v>106</v>
      </c>
      <c r="AL94" s="80">
        <v>0</v>
      </c>
      <c r="AM94" s="1" t="s">
        <v>1176</v>
      </c>
      <c r="AN94" s="80">
        <v>0</v>
      </c>
      <c r="AO94" s="1" t="s">
        <v>213</v>
      </c>
      <c r="AP94" s="143">
        <v>0</v>
      </c>
      <c r="AQ94" s="1" t="s">
        <v>1158</v>
      </c>
      <c r="AR94" s="142">
        <v>0</v>
      </c>
      <c r="AS94" s="142">
        <v>0</v>
      </c>
      <c r="AT94" s="142">
        <v>0</v>
      </c>
      <c r="AU94" s="4" t="s">
        <v>93</v>
      </c>
    </row>
    <row r="95" spans="1:47" s="5" customFormat="1" ht="21" thickBot="1" x14ac:dyDescent="0.25">
      <c r="A95" s="175"/>
      <c r="B95" s="11" t="s">
        <v>92</v>
      </c>
      <c r="C95" s="139" t="s">
        <v>3222</v>
      </c>
      <c r="D95" s="145" t="s">
        <v>106</v>
      </c>
      <c r="E95" s="146">
        <v>0</v>
      </c>
      <c r="F95" s="139" t="s">
        <v>163</v>
      </c>
      <c r="G95" s="139" t="s">
        <v>164</v>
      </c>
      <c r="H95" s="139" t="s">
        <v>164</v>
      </c>
      <c r="I95" s="147">
        <v>0</v>
      </c>
      <c r="J95" s="139" t="s">
        <v>163</v>
      </c>
      <c r="K95" s="145">
        <v>0</v>
      </c>
      <c r="L95" s="145">
        <v>0</v>
      </c>
      <c r="M95" s="145">
        <v>0</v>
      </c>
      <c r="N95" s="36" t="s">
        <v>3221</v>
      </c>
      <c r="O95" s="145" t="s">
        <v>106</v>
      </c>
      <c r="P95" s="146">
        <v>0</v>
      </c>
      <c r="Q95" s="139" t="s">
        <v>1161</v>
      </c>
      <c r="R95" s="139" t="s">
        <v>164</v>
      </c>
      <c r="S95" s="139" t="s">
        <v>164</v>
      </c>
      <c r="T95" s="147">
        <v>0</v>
      </c>
      <c r="U95" s="139" t="s">
        <v>1161</v>
      </c>
      <c r="V95" s="145">
        <v>0</v>
      </c>
      <c r="W95" s="145">
        <v>0</v>
      </c>
      <c r="X95" s="145">
        <v>0</v>
      </c>
      <c r="Y95" s="36" t="s">
        <v>3220</v>
      </c>
      <c r="Z95" s="145" t="s">
        <v>106</v>
      </c>
      <c r="AA95" s="146">
        <v>0</v>
      </c>
      <c r="AB95" s="139" t="s">
        <v>213</v>
      </c>
      <c r="AC95" s="139" t="s">
        <v>164</v>
      </c>
      <c r="AD95" s="139" t="s">
        <v>164</v>
      </c>
      <c r="AE95" s="147">
        <v>0</v>
      </c>
      <c r="AF95" s="139" t="s">
        <v>213</v>
      </c>
      <c r="AG95" s="145">
        <v>0</v>
      </c>
      <c r="AH95" s="145">
        <v>0</v>
      </c>
      <c r="AI95" s="145">
        <v>0</v>
      </c>
      <c r="AJ95" s="36" t="s">
        <v>3219</v>
      </c>
      <c r="AK95" s="145" t="s">
        <v>106</v>
      </c>
      <c r="AL95" s="146">
        <v>0</v>
      </c>
      <c r="AM95" s="139" t="s">
        <v>1158</v>
      </c>
      <c r="AN95" s="139" t="s">
        <v>164</v>
      </c>
      <c r="AO95" s="139" t="s">
        <v>164</v>
      </c>
      <c r="AP95" s="147">
        <v>0</v>
      </c>
      <c r="AQ95" s="139" t="s">
        <v>1158</v>
      </c>
      <c r="AR95" s="145">
        <v>0</v>
      </c>
      <c r="AS95" s="145">
        <v>0</v>
      </c>
      <c r="AT95" s="145">
        <v>0</v>
      </c>
      <c r="AU95" s="46" t="s">
        <v>93</v>
      </c>
    </row>
    <row r="96" spans="1:47" ht="19.5" customHeight="1" x14ac:dyDescent="0.2">
      <c r="A96" s="168" t="s">
        <v>101</v>
      </c>
      <c r="B96" s="9" t="s">
        <v>10</v>
      </c>
      <c r="C96" s="1" t="s">
        <v>836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835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834</v>
      </c>
      <c r="Z96" s="142" t="s">
        <v>106</v>
      </c>
      <c r="AA96" s="80">
        <v>0</v>
      </c>
      <c r="AB96" s="1" t="s">
        <v>218</v>
      </c>
      <c r="AC96" s="80">
        <v>0</v>
      </c>
      <c r="AD96" s="1" t="s">
        <v>218</v>
      </c>
      <c r="AE96" s="143">
        <v>0</v>
      </c>
      <c r="AF96" s="1" t="s">
        <v>213</v>
      </c>
      <c r="AG96" s="142">
        <v>0</v>
      </c>
      <c r="AH96" s="142">
        <v>0</v>
      </c>
      <c r="AI96" s="142">
        <v>0</v>
      </c>
      <c r="AJ96" s="14" t="s">
        <v>833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2">
        <v>0</v>
      </c>
      <c r="AU96" s="4" t="s">
        <v>96</v>
      </c>
    </row>
    <row r="97" spans="1:47" x14ac:dyDescent="0.2">
      <c r="A97" s="168"/>
      <c r="B97" s="9" t="s">
        <v>11</v>
      </c>
      <c r="C97" s="1" t="s">
        <v>832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831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830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829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8"/>
      <c r="B98" s="9" t="s">
        <v>22</v>
      </c>
      <c r="C98" s="1" t="s">
        <v>828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827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826</v>
      </c>
      <c r="Z98" s="142" t="s">
        <v>106</v>
      </c>
      <c r="AA98" s="80">
        <v>0</v>
      </c>
      <c r="AB98" s="1" t="s">
        <v>218</v>
      </c>
      <c r="AC98" s="80">
        <v>0</v>
      </c>
      <c r="AD98" s="1" t="s">
        <v>218</v>
      </c>
      <c r="AE98" s="143">
        <v>0</v>
      </c>
      <c r="AF98" s="1" t="s">
        <v>213</v>
      </c>
      <c r="AG98" s="142">
        <v>0</v>
      </c>
      <c r="AH98" s="142">
        <v>0</v>
      </c>
      <c r="AI98" s="142">
        <v>0</v>
      </c>
      <c r="AJ98" s="14" t="s">
        <v>825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2">
        <v>0</v>
      </c>
      <c r="AU98" s="4" t="s">
        <v>96</v>
      </c>
    </row>
    <row r="99" spans="1:47" x14ac:dyDescent="0.2">
      <c r="A99" s="168"/>
      <c r="B99" s="9" t="s">
        <v>23</v>
      </c>
      <c r="C99" s="1" t="s">
        <v>824</v>
      </c>
      <c r="D99" s="142" t="s">
        <v>106</v>
      </c>
      <c r="E99" s="80">
        <v>0</v>
      </c>
      <c r="F99" s="1" t="s">
        <v>163</v>
      </c>
      <c r="G99" s="1" t="s">
        <v>164</v>
      </c>
      <c r="H99" s="1" t="s">
        <v>164</v>
      </c>
      <c r="I99" s="143">
        <v>0</v>
      </c>
      <c r="J99" s="1" t="s">
        <v>163</v>
      </c>
      <c r="K99" s="142">
        <v>0</v>
      </c>
      <c r="L99" s="142">
        <v>0</v>
      </c>
      <c r="M99" s="142">
        <v>0</v>
      </c>
      <c r="N99" s="14" t="s">
        <v>823</v>
      </c>
      <c r="O99" s="142" t="s">
        <v>106</v>
      </c>
      <c r="P99" s="80">
        <v>0</v>
      </c>
      <c r="Q99" s="1" t="s">
        <v>163</v>
      </c>
      <c r="R99" s="1" t="s">
        <v>164</v>
      </c>
      <c r="S99" s="1" t="s">
        <v>164</v>
      </c>
      <c r="T99" s="143">
        <v>0</v>
      </c>
      <c r="U99" s="1" t="s">
        <v>163</v>
      </c>
      <c r="V99" s="142">
        <v>0</v>
      </c>
      <c r="W99" s="142">
        <v>0</v>
      </c>
      <c r="X99" s="142">
        <v>0</v>
      </c>
      <c r="Y99" s="14" t="s">
        <v>822</v>
      </c>
      <c r="Z99" s="142" t="s">
        <v>106</v>
      </c>
      <c r="AA99" s="80">
        <v>0</v>
      </c>
      <c r="AB99" s="1" t="s">
        <v>213</v>
      </c>
      <c r="AC99" s="1" t="s">
        <v>164</v>
      </c>
      <c r="AD99" s="1" t="s">
        <v>164</v>
      </c>
      <c r="AE99" s="143">
        <v>0</v>
      </c>
      <c r="AF99" s="1" t="s">
        <v>213</v>
      </c>
      <c r="AG99" s="142">
        <v>0</v>
      </c>
      <c r="AH99" s="142">
        <v>0</v>
      </c>
      <c r="AI99" s="142">
        <v>0</v>
      </c>
      <c r="AJ99" s="14" t="s">
        <v>821</v>
      </c>
      <c r="AK99" s="142" t="s">
        <v>106</v>
      </c>
      <c r="AL99" s="80">
        <v>0</v>
      </c>
      <c r="AM99" s="1" t="s">
        <v>213</v>
      </c>
      <c r="AN99" s="1" t="s">
        <v>164</v>
      </c>
      <c r="AO99" s="1" t="s">
        <v>164</v>
      </c>
      <c r="AP99" s="143">
        <v>0</v>
      </c>
      <c r="AQ99" s="1" t="s">
        <v>213</v>
      </c>
      <c r="AR99" s="142">
        <v>0</v>
      </c>
      <c r="AS99" s="142">
        <v>0</v>
      </c>
      <c r="AT99" s="142">
        <v>0</v>
      </c>
      <c r="AU99" s="4" t="s">
        <v>96</v>
      </c>
    </row>
    <row r="100" spans="1:47" x14ac:dyDescent="0.2">
      <c r="A100" s="168"/>
      <c r="B100" s="9" t="s">
        <v>24</v>
      </c>
      <c r="C100" s="1" t="s">
        <v>820</v>
      </c>
      <c r="D100" s="142" t="s">
        <v>106</v>
      </c>
      <c r="E100" s="80">
        <v>0</v>
      </c>
      <c r="F100" s="1" t="s">
        <v>169</v>
      </c>
      <c r="G100" s="80">
        <v>0</v>
      </c>
      <c r="H100" s="1" t="s">
        <v>163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819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818</v>
      </c>
      <c r="Z100" s="142" t="s">
        <v>106</v>
      </c>
      <c r="AA100" s="80">
        <v>0</v>
      </c>
      <c r="AB100" s="1" t="s">
        <v>169</v>
      </c>
      <c r="AC100" s="80">
        <v>0</v>
      </c>
      <c r="AD100" s="1" t="s">
        <v>213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817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8"/>
      <c r="B101" s="9" t="s">
        <v>25</v>
      </c>
      <c r="C101" s="1" t="s">
        <v>816</v>
      </c>
      <c r="D101" s="142" t="s">
        <v>106</v>
      </c>
      <c r="E101" s="80">
        <v>0</v>
      </c>
      <c r="F101" s="1" t="s">
        <v>163</v>
      </c>
      <c r="G101" s="1" t="s">
        <v>164</v>
      </c>
      <c r="H101" s="1" t="s">
        <v>164</v>
      </c>
      <c r="I101" s="143">
        <v>0</v>
      </c>
      <c r="J101" s="1" t="s">
        <v>163</v>
      </c>
      <c r="K101" s="142">
        <v>0</v>
      </c>
      <c r="L101" s="142">
        <v>0</v>
      </c>
      <c r="M101" s="142">
        <v>0</v>
      </c>
      <c r="N101" s="14" t="s">
        <v>815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814</v>
      </c>
      <c r="Z101" s="142" t="s">
        <v>106</v>
      </c>
      <c r="AA101" s="80">
        <v>0</v>
      </c>
      <c r="AB101" s="1" t="s">
        <v>213</v>
      </c>
      <c r="AC101" s="1" t="s">
        <v>164</v>
      </c>
      <c r="AD101" s="1" t="s">
        <v>164</v>
      </c>
      <c r="AE101" s="143">
        <v>0</v>
      </c>
      <c r="AF101" s="1" t="s">
        <v>213</v>
      </c>
      <c r="AG101" s="142">
        <v>0</v>
      </c>
      <c r="AH101" s="142">
        <v>0</v>
      </c>
      <c r="AI101" s="142">
        <v>0</v>
      </c>
      <c r="AJ101" s="14" t="s">
        <v>813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2">
        <v>0</v>
      </c>
      <c r="AU101" s="4" t="s">
        <v>96</v>
      </c>
    </row>
    <row r="102" spans="1:47" x14ac:dyDescent="0.2">
      <c r="A102" s="168"/>
      <c r="B102" s="9" t="s">
        <v>130</v>
      </c>
      <c r="C102" s="1" t="s">
        <v>812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811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810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809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8"/>
      <c r="B103" s="9" t="s">
        <v>131</v>
      </c>
      <c r="C103" s="1" t="s">
        <v>806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808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807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806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8"/>
      <c r="B104" s="9" t="s">
        <v>33</v>
      </c>
      <c r="C104" s="1" t="s">
        <v>805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804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803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802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2">
        <v>0</v>
      </c>
      <c r="AU104" s="4" t="s">
        <v>96</v>
      </c>
    </row>
    <row r="105" spans="1:47" x14ac:dyDescent="0.2">
      <c r="A105" s="168"/>
      <c r="B105" s="9" t="s">
        <v>34</v>
      </c>
      <c r="C105" s="1" t="s">
        <v>801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800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799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798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2">
        <v>0</v>
      </c>
      <c r="AU105" s="4" t="s">
        <v>96</v>
      </c>
    </row>
    <row r="106" spans="1:47" x14ac:dyDescent="0.2">
      <c r="A106" s="168"/>
      <c r="B106" s="9" t="s">
        <v>132</v>
      </c>
      <c r="C106" s="1" t="s">
        <v>797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796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795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794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8"/>
      <c r="B107" s="9" t="s">
        <v>133</v>
      </c>
      <c r="C107" s="1" t="s">
        <v>793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792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791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790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2">
        <v>0</v>
      </c>
      <c r="AU107" s="4" t="s">
        <v>96</v>
      </c>
    </row>
    <row r="108" spans="1:47" x14ac:dyDescent="0.2">
      <c r="A108" s="168"/>
      <c r="B108" s="9" t="s">
        <v>134</v>
      </c>
      <c r="C108" s="1" t="s">
        <v>789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788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787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786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8"/>
      <c r="B109" s="9" t="s">
        <v>135</v>
      </c>
      <c r="C109" s="1" t="s">
        <v>785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784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783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782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8"/>
      <c r="B110" s="9" t="s">
        <v>60</v>
      </c>
      <c r="C110" s="1" t="s">
        <v>781</v>
      </c>
      <c r="D110" s="142" t="s">
        <v>106</v>
      </c>
      <c r="E110" s="80">
        <v>0</v>
      </c>
      <c r="F110" s="1" t="s">
        <v>169</v>
      </c>
      <c r="G110" s="80">
        <v>0</v>
      </c>
      <c r="H110" s="1" t="s">
        <v>163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780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779</v>
      </c>
      <c r="Z110" s="142" t="s">
        <v>106</v>
      </c>
      <c r="AA110" s="80">
        <v>0</v>
      </c>
      <c r="AB110" s="1" t="s">
        <v>169</v>
      </c>
      <c r="AC110" s="80">
        <v>0</v>
      </c>
      <c r="AD110" s="1" t="s">
        <v>163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778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8"/>
      <c r="B111" s="9" t="s">
        <v>61</v>
      </c>
      <c r="C111" s="1" t="s">
        <v>777</v>
      </c>
      <c r="D111" s="142" t="s">
        <v>106</v>
      </c>
      <c r="E111" s="80">
        <v>0</v>
      </c>
      <c r="F111" s="1" t="s">
        <v>163</v>
      </c>
      <c r="G111" s="1" t="s">
        <v>164</v>
      </c>
      <c r="H111" s="1" t="s">
        <v>164</v>
      </c>
      <c r="I111" s="143">
        <v>0</v>
      </c>
      <c r="J111" s="1" t="s">
        <v>163</v>
      </c>
      <c r="K111" s="142">
        <v>0</v>
      </c>
      <c r="L111" s="142">
        <v>0</v>
      </c>
      <c r="M111" s="142">
        <v>0</v>
      </c>
      <c r="N111" s="14" t="s">
        <v>776</v>
      </c>
      <c r="O111" s="142" t="s">
        <v>106</v>
      </c>
      <c r="P111" s="80">
        <v>0</v>
      </c>
      <c r="Q111" s="1" t="s">
        <v>163</v>
      </c>
      <c r="R111" s="1" t="s">
        <v>164</v>
      </c>
      <c r="S111" s="1" t="s">
        <v>164</v>
      </c>
      <c r="T111" s="143">
        <v>0</v>
      </c>
      <c r="U111" s="1" t="s">
        <v>163</v>
      </c>
      <c r="V111" s="142">
        <v>0</v>
      </c>
      <c r="W111" s="142">
        <v>0</v>
      </c>
      <c r="X111" s="142">
        <v>0</v>
      </c>
      <c r="Y111" s="14" t="s">
        <v>775</v>
      </c>
      <c r="Z111" s="142" t="s">
        <v>106</v>
      </c>
      <c r="AA111" s="80">
        <v>0</v>
      </c>
      <c r="AB111" s="1" t="s">
        <v>163</v>
      </c>
      <c r="AC111" s="1" t="s">
        <v>164</v>
      </c>
      <c r="AD111" s="1" t="s">
        <v>164</v>
      </c>
      <c r="AE111" s="143">
        <v>0</v>
      </c>
      <c r="AF111" s="1" t="s">
        <v>163</v>
      </c>
      <c r="AG111" s="142">
        <v>0</v>
      </c>
      <c r="AH111" s="142">
        <v>0</v>
      </c>
      <c r="AI111" s="142">
        <v>0</v>
      </c>
      <c r="AJ111" s="14" t="s">
        <v>774</v>
      </c>
      <c r="AK111" s="142" t="s">
        <v>106</v>
      </c>
      <c r="AL111" s="80">
        <v>0</v>
      </c>
      <c r="AM111" s="1" t="s">
        <v>163</v>
      </c>
      <c r="AN111" s="1" t="s">
        <v>164</v>
      </c>
      <c r="AO111" s="1" t="s">
        <v>164</v>
      </c>
      <c r="AP111" s="143">
        <v>0</v>
      </c>
      <c r="AQ111" s="1" t="s">
        <v>163</v>
      </c>
      <c r="AR111" s="142">
        <v>0</v>
      </c>
      <c r="AS111" s="142">
        <v>0</v>
      </c>
      <c r="AT111" s="142">
        <v>0</v>
      </c>
      <c r="AU111" s="4" t="s">
        <v>96</v>
      </c>
    </row>
    <row r="112" spans="1:47" x14ac:dyDescent="0.2">
      <c r="A112" s="168"/>
      <c r="B112" s="9" t="s">
        <v>136</v>
      </c>
      <c r="C112" s="1" t="s">
        <v>773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772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771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770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8"/>
      <c r="B113" s="9" t="s">
        <v>137</v>
      </c>
      <c r="C113" s="1" t="s">
        <v>769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768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767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766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8"/>
      <c r="B114" s="9" t="s">
        <v>138</v>
      </c>
      <c r="C114" s="1" t="s">
        <v>765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764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763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762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8"/>
      <c r="B115" s="9" t="s">
        <v>139</v>
      </c>
      <c r="C115" s="1" t="s">
        <v>761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760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759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758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8"/>
      <c r="B116" s="9" t="s">
        <v>140</v>
      </c>
      <c r="C116" s="1" t="s">
        <v>757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756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755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754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8"/>
      <c r="B117" s="9" t="s">
        <v>141</v>
      </c>
      <c r="C117" s="1" t="s">
        <v>753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752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751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750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8"/>
      <c r="B118" s="9" t="s">
        <v>142</v>
      </c>
      <c r="C118" s="1" t="s">
        <v>749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748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747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746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8"/>
      <c r="B119" s="9" t="s">
        <v>143</v>
      </c>
      <c r="C119" s="1" t="s">
        <v>745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744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743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742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A96:A119"/>
    <mergeCell ref="A1:A2"/>
    <mergeCell ref="B1:B2"/>
    <mergeCell ref="C1:M1"/>
    <mergeCell ref="N1:X1"/>
    <mergeCell ref="A3:A95"/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028B-17D9-45E4-9D7C-E12DC2DAB980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9"/>
      <c r="B1" s="171" t="s">
        <v>95</v>
      </c>
      <c r="C1" s="163" t="s">
        <v>114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3" t="s">
        <v>115</v>
      </c>
      <c r="O1" s="164"/>
      <c r="P1" s="164"/>
      <c r="Q1" s="164"/>
      <c r="R1" s="164"/>
      <c r="S1" s="164"/>
      <c r="T1" s="164"/>
      <c r="U1" s="164"/>
      <c r="V1" s="164"/>
      <c r="W1" s="164"/>
      <c r="X1" s="165"/>
      <c r="Y1" s="163" t="s">
        <v>152</v>
      </c>
      <c r="Z1" s="164"/>
      <c r="AA1" s="164"/>
      <c r="AB1" s="164"/>
      <c r="AC1" s="164"/>
      <c r="AD1" s="164"/>
      <c r="AE1" s="164"/>
      <c r="AF1" s="164"/>
      <c r="AG1" s="164"/>
      <c r="AH1" s="164"/>
      <c r="AI1" s="165"/>
      <c r="AJ1" s="163" t="s">
        <v>153</v>
      </c>
      <c r="AK1" s="164"/>
      <c r="AL1" s="164"/>
      <c r="AM1" s="164"/>
      <c r="AN1" s="164"/>
      <c r="AO1" s="164"/>
      <c r="AP1" s="164"/>
      <c r="AQ1" s="164"/>
      <c r="AR1" s="164"/>
      <c r="AS1" s="164"/>
      <c r="AT1" s="165"/>
      <c r="AU1" s="66"/>
    </row>
    <row r="2" spans="1:47" s="5" customFormat="1" ht="21" thickBot="1" x14ac:dyDescent="0.25">
      <c r="A2" s="170"/>
      <c r="B2" s="172"/>
      <c r="C2" s="66" t="s">
        <v>154</v>
      </c>
      <c r="D2" s="166" t="s">
        <v>158</v>
      </c>
      <c r="E2" s="167"/>
      <c r="F2" s="167"/>
      <c r="G2" s="167"/>
      <c r="H2" s="167"/>
      <c r="I2" s="166" t="s">
        <v>159</v>
      </c>
      <c r="J2" s="167"/>
      <c r="K2" s="68" t="s">
        <v>157</v>
      </c>
      <c r="L2" s="77" t="s">
        <v>156</v>
      </c>
      <c r="M2" s="68" t="s">
        <v>155</v>
      </c>
      <c r="N2" s="66" t="s">
        <v>154</v>
      </c>
      <c r="O2" s="166" t="s">
        <v>158</v>
      </c>
      <c r="P2" s="167"/>
      <c r="Q2" s="167"/>
      <c r="R2" s="167"/>
      <c r="S2" s="167"/>
      <c r="T2" s="166" t="s">
        <v>159</v>
      </c>
      <c r="U2" s="167"/>
      <c r="V2" s="68" t="s">
        <v>157</v>
      </c>
      <c r="W2" s="68" t="s">
        <v>156</v>
      </c>
      <c r="X2" s="68" t="s">
        <v>155</v>
      </c>
      <c r="Y2" s="66" t="s">
        <v>154</v>
      </c>
      <c r="Z2" s="166" t="s">
        <v>158</v>
      </c>
      <c r="AA2" s="167"/>
      <c r="AB2" s="167"/>
      <c r="AC2" s="167"/>
      <c r="AD2" s="167"/>
      <c r="AE2" s="166" t="s">
        <v>159</v>
      </c>
      <c r="AF2" s="167"/>
      <c r="AG2" s="68" t="s">
        <v>157</v>
      </c>
      <c r="AH2" s="68" t="s">
        <v>156</v>
      </c>
      <c r="AI2" s="68" t="s">
        <v>155</v>
      </c>
      <c r="AJ2" s="66" t="s">
        <v>154</v>
      </c>
      <c r="AK2" s="166" t="s">
        <v>158</v>
      </c>
      <c r="AL2" s="167"/>
      <c r="AM2" s="167"/>
      <c r="AN2" s="167"/>
      <c r="AO2" s="167"/>
      <c r="AP2" s="166" t="s">
        <v>159</v>
      </c>
      <c r="AQ2" s="167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3" t="s">
        <v>100</v>
      </c>
      <c r="B3" s="9" t="s">
        <v>0</v>
      </c>
      <c r="C3" s="1" t="s">
        <v>3967</v>
      </c>
      <c r="D3" s="142" t="s">
        <v>106</v>
      </c>
      <c r="E3" s="80">
        <v>0</v>
      </c>
      <c r="F3" s="1" t="s">
        <v>169</v>
      </c>
      <c r="G3" s="80">
        <v>0</v>
      </c>
      <c r="H3" s="1" t="s">
        <v>163</v>
      </c>
      <c r="I3" s="143">
        <v>0</v>
      </c>
      <c r="J3" s="1" t="s">
        <v>163</v>
      </c>
      <c r="K3" s="142">
        <v>0</v>
      </c>
      <c r="L3" s="142">
        <v>0</v>
      </c>
      <c r="M3" s="142">
        <v>0</v>
      </c>
      <c r="N3" s="14" t="s">
        <v>3966</v>
      </c>
      <c r="O3" s="142" t="s">
        <v>106</v>
      </c>
      <c r="P3" s="80">
        <v>0</v>
      </c>
      <c r="Q3" s="1" t="s">
        <v>169</v>
      </c>
      <c r="R3" s="80">
        <v>0</v>
      </c>
      <c r="S3" s="1" t="s">
        <v>163</v>
      </c>
      <c r="T3" s="143">
        <v>0</v>
      </c>
      <c r="U3" s="1" t="s">
        <v>163</v>
      </c>
      <c r="V3" s="142">
        <v>0</v>
      </c>
      <c r="W3" s="142">
        <v>0</v>
      </c>
      <c r="X3" s="142">
        <v>0</v>
      </c>
      <c r="Y3" s="14" t="s">
        <v>3965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3955</v>
      </c>
      <c r="AH3" s="142">
        <v>395.5</v>
      </c>
      <c r="AI3" s="142">
        <v>397</v>
      </c>
      <c r="AJ3" s="14" t="s">
        <v>3964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3820</v>
      </c>
      <c r="AS3" s="142">
        <v>382</v>
      </c>
      <c r="AT3" s="142">
        <v>384.5</v>
      </c>
    </row>
    <row r="4" spans="1:47" x14ac:dyDescent="0.2">
      <c r="A4" s="174"/>
      <c r="B4" s="9" t="s">
        <v>1</v>
      </c>
      <c r="C4" s="1" t="s">
        <v>3963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342</v>
      </c>
      <c r="L4" s="142">
        <v>342</v>
      </c>
      <c r="M4" s="142">
        <v>342</v>
      </c>
      <c r="N4" s="14" t="s">
        <v>3962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292</v>
      </c>
      <c r="W4" s="142">
        <v>292</v>
      </c>
      <c r="X4" s="142">
        <v>292</v>
      </c>
      <c r="Y4" s="14" t="s">
        <v>3961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4091</v>
      </c>
      <c r="AH4" s="142">
        <v>409.1</v>
      </c>
      <c r="AI4" s="142">
        <v>392</v>
      </c>
      <c r="AJ4" s="14" t="s">
        <v>3960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3771</v>
      </c>
      <c r="AS4" s="142">
        <v>377.1</v>
      </c>
      <c r="AT4" s="142">
        <v>377</v>
      </c>
    </row>
    <row r="5" spans="1:47" x14ac:dyDescent="0.2">
      <c r="A5" s="174"/>
      <c r="B5" s="9" t="s">
        <v>2</v>
      </c>
      <c r="C5" s="1" t="s">
        <v>3959</v>
      </c>
      <c r="D5" s="142" t="s">
        <v>106</v>
      </c>
      <c r="E5" s="80">
        <v>0</v>
      </c>
      <c r="F5" s="1" t="s">
        <v>169</v>
      </c>
      <c r="G5" s="80">
        <v>0</v>
      </c>
      <c r="H5" s="1" t="s">
        <v>163</v>
      </c>
      <c r="I5" s="143">
        <v>0</v>
      </c>
      <c r="J5" s="1" t="s">
        <v>163</v>
      </c>
      <c r="K5" s="142">
        <v>0</v>
      </c>
      <c r="L5" s="142">
        <v>0</v>
      </c>
      <c r="M5" s="142">
        <v>0</v>
      </c>
      <c r="N5" s="14" t="s">
        <v>3958</v>
      </c>
      <c r="O5" s="142" t="s">
        <v>106</v>
      </c>
      <c r="P5" s="80">
        <v>0</v>
      </c>
      <c r="Q5" s="1" t="s">
        <v>169</v>
      </c>
      <c r="R5" s="80">
        <v>0</v>
      </c>
      <c r="S5" s="1" t="s">
        <v>163</v>
      </c>
      <c r="T5" s="143">
        <v>0</v>
      </c>
      <c r="U5" s="1" t="s">
        <v>163</v>
      </c>
      <c r="V5" s="142">
        <v>0</v>
      </c>
      <c r="W5" s="142">
        <v>0</v>
      </c>
      <c r="X5" s="142">
        <v>0</v>
      </c>
      <c r="Y5" s="14" t="s">
        <v>3957</v>
      </c>
      <c r="Z5" s="142" t="s">
        <v>106</v>
      </c>
      <c r="AA5" s="80">
        <v>0.6</v>
      </c>
      <c r="AB5" s="1" t="s">
        <v>964</v>
      </c>
      <c r="AC5" s="80">
        <v>1</v>
      </c>
      <c r="AD5" s="1" t="s">
        <v>516</v>
      </c>
      <c r="AE5" s="143">
        <v>0.8</v>
      </c>
      <c r="AF5" s="1" t="s">
        <v>1077</v>
      </c>
      <c r="AG5" s="142">
        <v>3072</v>
      </c>
      <c r="AH5" s="142">
        <v>384</v>
      </c>
      <c r="AI5" s="142">
        <v>393.5</v>
      </c>
      <c r="AJ5" s="14" t="s">
        <v>3956</v>
      </c>
      <c r="AK5" s="142" t="s">
        <v>106</v>
      </c>
      <c r="AL5" s="80">
        <v>0.6</v>
      </c>
      <c r="AM5" s="1" t="s">
        <v>964</v>
      </c>
      <c r="AN5" s="80">
        <v>1</v>
      </c>
      <c r="AO5" s="1" t="s">
        <v>516</v>
      </c>
      <c r="AP5" s="143">
        <v>0.8</v>
      </c>
      <c r="AQ5" s="1" t="s">
        <v>1077</v>
      </c>
      <c r="AR5" s="142">
        <v>3006</v>
      </c>
      <c r="AS5" s="142">
        <v>375.75</v>
      </c>
      <c r="AT5" s="142">
        <v>378</v>
      </c>
    </row>
    <row r="6" spans="1:47" x14ac:dyDescent="0.2">
      <c r="A6" s="174"/>
      <c r="B6" s="9" t="s">
        <v>3</v>
      </c>
      <c r="C6" s="1" t="s">
        <v>3955</v>
      </c>
      <c r="D6" s="142" t="s">
        <v>106</v>
      </c>
      <c r="E6" s="80">
        <v>0</v>
      </c>
      <c r="F6" s="1" t="s">
        <v>163</v>
      </c>
      <c r="G6" s="1" t="s">
        <v>164</v>
      </c>
      <c r="H6" s="1" t="s">
        <v>164</v>
      </c>
      <c r="I6" s="143">
        <v>0</v>
      </c>
      <c r="J6" s="1" t="s">
        <v>163</v>
      </c>
      <c r="K6" s="142">
        <v>0</v>
      </c>
      <c r="L6" s="142">
        <v>0</v>
      </c>
      <c r="M6" s="142">
        <v>0</v>
      </c>
      <c r="N6" s="14" t="s">
        <v>3954</v>
      </c>
      <c r="O6" s="142" t="s">
        <v>106</v>
      </c>
      <c r="P6" s="80">
        <v>0</v>
      </c>
      <c r="Q6" s="1" t="s">
        <v>163</v>
      </c>
      <c r="R6" s="1" t="s">
        <v>164</v>
      </c>
      <c r="S6" s="1" t="s">
        <v>164</v>
      </c>
      <c r="T6" s="143">
        <v>0</v>
      </c>
      <c r="U6" s="1" t="s">
        <v>163</v>
      </c>
      <c r="V6" s="142">
        <v>0</v>
      </c>
      <c r="W6" s="142">
        <v>0</v>
      </c>
      <c r="X6" s="142">
        <v>0</v>
      </c>
      <c r="Y6" s="14" t="s">
        <v>3953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4101</v>
      </c>
      <c r="AH6" s="142">
        <v>410.1</v>
      </c>
      <c r="AI6" s="142">
        <v>412.5</v>
      </c>
      <c r="AJ6" s="14" t="s">
        <v>3952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3877</v>
      </c>
      <c r="AS6" s="142">
        <v>387.7</v>
      </c>
      <c r="AT6" s="142">
        <v>382.5</v>
      </c>
    </row>
    <row r="7" spans="1:47" x14ac:dyDescent="0.2">
      <c r="A7" s="174"/>
      <c r="B7" s="9" t="s">
        <v>4</v>
      </c>
      <c r="C7" s="1" t="s">
        <v>3951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3950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3949</v>
      </c>
      <c r="Z7" s="142" t="s">
        <v>106</v>
      </c>
      <c r="AA7" s="80">
        <v>0.4</v>
      </c>
      <c r="AB7" s="1" t="s">
        <v>974</v>
      </c>
      <c r="AC7" s="80">
        <v>0</v>
      </c>
      <c r="AD7" s="1" t="s">
        <v>218</v>
      </c>
      <c r="AE7" s="143">
        <v>0.2</v>
      </c>
      <c r="AF7" s="1" t="s">
        <v>930</v>
      </c>
      <c r="AG7" s="142">
        <v>763</v>
      </c>
      <c r="AH7" s="142">
        <v>381.5</v>
      </c>
      <c r="AI7" s="142">
        <v>381.5</v>
      </c>
      <c r="AJ7" s="14" t="s">
        <v>3948</v>
      </c>
      <c r="AK7" s="142" t="s">
        <v>106</v>
      </c>
      <c r="AL7" s="80">
        <v>0.4</v>
      </c>
      <c r="AM7" s="1" t="s">
        <v>501</v>
      </c>
      <c r="AN7" s="80">
        <v>0</v>
      </c>
      <c r="AO7" s="1" t="s">
        <v>1253</v>
      </c>
      <c r="AP7" s="143">
        <v>0.2</v>
      </c>
      <c r="AQ7" s="1" t="s">
        <v>2702</v>
      </c>
      <c r="AR7" s="142">
        <v>1498</v>
      </c>
      <c r="AS7" s="142">
        <v>374.5</v>
      </c>
      <c r="AT7" s="142">
        <v>367</v>
      </c>
    </row>
    <row r="8" spans="1:47" x14ac:dyDescent="0.2">
      <c r="A8" s="174"/>
      <c r="B8" s="9" t="s">
        <v>5</v>
      </c>
      <c r="C8" s="1" t="s">
        <v>3947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3946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3945</v>
      </c>
      <c r="Z8" s="142" t="s">
        <v>106</v>
      </c>
      <c r="AA8" s="80">
        <v>0.7</v>
      </c>
      <c r="AB8" s="1" t="s">
        <v>973</v>
      </c>
      <c r="AC8" s="1" t="s">
        <v>164</v>
      </c>
      <c r="AD8" s="1" t="s">
        <v>164</v>
      </c>
      <c r="AE8" s="143">
        <v>0.7</v>
      </c>
      <c r="AF8" s="1" t="s">
        <v>973</v>
      </c>
      <c r="AG8" s="142">
        <v>3127</v>
      </c>
      <c r="AH8" s="142">
        <v>446.71</v>
      </c>
      <c r="AI8" s="142">
        <v>479</v>
      </c>
      <c r="AJ8" s="14" t="s">
        <v>3944</v>
      </c>
      <c r="AK8" s="142" t="s">
        <v>106</v>
      </c>
      <c r="AL8" s="80">
        <v>0.7</v>
      </c>
      <c r="AM8" s="1" t="s">
        <v>1646</v>
      </c>
      <c r="AN8" s="1" t="s">
        <v>164</v>
      </c>
      <c r="AO8" s="1" t="s">
        <v>164</v>
      </c>
      <c r="AP8" s="143">
        <v>0.7</v>
      </c>
      <c r="AQ8" s="1" t="s">
        <v>1646</v>
      </c>
      <c r="AR8" s="142">
        <v>6109</v>
      </c>
      <c r="AS8" s="142">
        <v>436.36</v>
      </c>
      <c r="AT8" s="142">
        <v>470</v>
      </c>
    </row>
    <row r="9" spans="1:47" x14ac:dyDescent="0.2">
      <c r="A9" s="174"/>
      <c r="B9" s="9" t="s">
        <v>6</v>
      </c>
      <c r="C9" s="1" t="s">
        <v>3943</v>
      </c>
      <c r="D9" s="142" t="s">
        <v>106</v>
      </c>
      <c r="E9" s="80">
        <v>0</v>
      </c>
      <c r="F9" s="1" t="s">
        <v>169</v>
      </c>
      <c r="G9" s="80">
        <v>0</v>
      </c>
      <c r="H9" s="1" t="s">
        <v>163</v>
      </c>
      <c r="I9" s="143">
        <v>0</v>
      </c>
      <c r="J9" s="1" t="s">
        <v>163</v>
      </c>
      <c r="K9" s="142">
        <v>0</v>
      </c>
      <c r="L9" s="142">
        <v>0</v>
      </c>
      <c r="M9" s="142">
        <v>0</v>
      </c>
      <c r="N9" s="14" t="s">
        <v>3942</v>
      </c>
      <c r="O9" s="142" t="s">
        <v>106</v>
      </c>
      <c r="P9" s="80">
        <v>0</v>
      </c>
      <c r="Q9" s="1" t="s">
        <v>169</v>
      </c>
      <c r="R9" s="80">
        <v>0</v>
      </c>
      <c r="S9" s="1" t="s">
        <v>939</v>
      </c>
      <c r="T9" s="143">
        <v>0</v>
      </c>
      <c r="U9" s="1" t="s">
        <v>939</v>
      </c>
      <c r="V9" s="142">
        <v>0</v>
      </c>
      <c r="W9" s="142">
        <v>0</v>
      </c>
      <c r="X9" s="142">
        <v>0</v>
      </c>
      <c r="Y9" s="14" t="s">
        <v>3941</v>
      </c>
      <c r="Z9" s="142" t="s">
        <v>106</v>
      </c>
      <c r="AA9" s="80">
        <v>0.2</v>
      </c>
      <c r="AB9" s="1" t="s">
        <v>1049</v>
      </c>
      <c r="AC9" s="80">
        <v>0</v>
      </c>
      <c r="AD9" s="1" t="s">
        <v>218</v>
      </c>
      <c r="AE9" s="143">
        <v>0.1</v>
      </c>
      <c r="AF9" s="1" t="s">
        <v>1235</v>
      </c>
      <c r="AG9" s="142">
        <v>357</v>
      </c>
      <c r="AH9" s="142">
        <v>357</v>
      </c>
      <c r="AI9" s="142">
        <v>357</v>
      </c>
      <c r="AJ9" s="14" t="s">
        <v>3940</v>
      </c>
      <c r="AK9" s="142" t="s">
        <v>106</v>
      </c>
      <c r="AL9" s="80">
        <v>0.2</v>
      </c>
      <c r="AM9" s="1" t="s">
        <v>930</v>
      </c>
      <c r="AN9" s="80">
        <v>0</v>
      </c>
      <c r="AO9" s="1" t="s">
        <v>213</v>
      </c>
      <c r="AP9" s="143">
        <v>0.1</v>
      </c>
      <c r="AQ9" s="1" t="s">
        <v>1233</v>
      </c>
      <c r="AR9" s="142">
        <v>687</v>
      </c>
      <c r="AS9" s="142">
        <v>343.5</v>
      </c>
      <c r="AT9" s="142">
        <v>343.5</v>
      </c>
    </row>
    <row r="10" spans="1:47" x14ac:dyDescent="0.2">
      <c r="A10" s="174"/>
      <c r="B10" s="9" t="s">
        <v>7</v>
      </c>
      <c r="C10" s="1" t="s">
        <v>3939</v>
      </c>
      <c r="D10" s="142" t="s">
        <v>106</v>
      </c>
      <c r="E10" s="80">
        <v>1</v>
      </c>
      <c r="F10" s="1" t="s">
        <v>452</v>
      </c>
      <c r="G10" s="1" t="s">
        <v>164</v>
      </c>
      <c r="H10" s="1" t="s">
        <v>164</v>
      </c>
      <c r="I10" s="143">
        <v>1</v>
      </c>
      <c r="J10" s="1" t="s">
        <v>452</v>
      </c>
      <c r="K10" s="142">
        <v>648</v>
      </c>
      <c r="L10" s="142">
        <v>648</v>
      </c>
      <c r="M10" s="142">
        <v>648</v>
      </c>
      <c r="N10" s="14" t="s">
        <v>3938</v>
      </c>
      <c r="O10" s="142" t="s">
        <v>106</v>
      </c>
      <c r="P10" s="80">
        <v>1</v>
      </c>
      <c r="Q10" s="1" t="s">
        <v>1073</v>
      </c>
      <c r="R10" s="1" t="s">
        <v>164</v>
      </c>
      <c r="S10" s="1" t="s">
        <v>164</v>
      </c>
      <c r="T10" s="143">
        <v>1</v>
      </c>
      <c r="U10" s="1" t="s">
        <v>1073</v>
      </c>
      <c r="V10" s="142">
        <v>1186</v>
      </c>
      <c r="W10" s="142">
        <v>593</v>
      </c>
      <c r="X10" s="142">
        <v>593</v>
      </c>
      <c r="Y10" s="14" t="s">
        <v>3937</v>
      </c>
      <c r="Z10" s="142" t="s">
        <v>106</v>
      </c>
      <c r="AA10" s="80">
        <v>1</v>
      </c>
      <c r="AB10" s="1" t="s">
        <v>529</v>
      </c>
      <c r="AC10" s="1" t="s">
        <v>164</v>
      </c>
      <c r="AD10" s="1" t="s">
        <v>164</v>
      </c>
      <c r="AE10" s="143">
        <v>1</v>
      </c>
      <c r="AF10" s="1" t="s">
        <v>529</v>
      </c>
      <c r="AG10" s="142">
        <v>5866</v>
      </c>
      <c r="AH10" s="142">
        <v>586.6</v>
      </c>
      <c r="AI10" s="142">
        <v>605.5</v>
      </c>
      <c r="AJ10" s="14" t="s">
        <v>3936</v>
      </c>
      <c r="AK10" s="142" t="s">
        <v>106</v>
      </c>
      <c r="AL10" s="80">
        <v>1</v>
      </c>
      <c r="AM10" s="1" t="s">
        <v>1070</v>
      </c>
      <c r="AN10" s="1" t="s">
        <v>164</v>
      </c>
      <c r="AO10" s="1" t="s">
        <v>164</v>
      </c>
      <c r="AP10" s="143">
        <v>1</v>
      </c>
      <c r="AQ10" s="1" t="s">
        <v>1070</v>
      </c>
      <c r="AR10" s="142">
        <v>10640</v>
      </c>
      <c r="AS10" s="142">
        <v>532</v>
      </c>
      <c r="AT10" s="142">
        <v>530</v>
      </c>
    </row>
    <row r="11" spans="1:47" x14ac:dyDescent="0.2">
      <c r="A11" s="174"/>
      <c r="B11" s="9" t="s">
        <v>8</v>
      </c>
      <c r="C11" s="1" t="s">
        <v>3935</v>
      </c>
      <c r="D11" s="142" t="s">
        <v>106</v>
      </c>
      <c r="E11" s="80">
        <v>0</v>
      </c>
      <c r="F11" s="1" t="s">
        <v>169</v>
      </c>
      <c r="G11" s="80">
        <v>0</v>
      </c>
      <c r="H11" s="1" t="s">
        <v>163</v>
      </c>
      <c r="I11" s="143">
        <v>0</v>
      </c>
      <c r="J11" s="1" t="s">
        <v>163</v>
      </c>
      <c r="K11" s="142">
        <v>0</v>
      </c>
      <c r="L11" s="142">
        <v>0</v>
      </c>
      <c r="M11" s="142">
        <v>0</v>
      </c>
      <c r="N11" s="14" t="s">
        <v>3934</v>
      </c>
      <c r="O11" s="142" t="s">
        <v>106</v>
      </c>
      <c r="P11" s="80">
        <v>0</v>
      </c>
      <c r="Q11" s="1" t="s">
        <v>163</v>
      </c>
      <c r="R11" s="80">
        <v>0</v>
      </c>
      <c r="S11" s="1" t="s">
        <v>163</v>
      </c>
      <c r="T11" s="143">
        <v>0</v>
      </c>
      <c r="U11" s="1" t="s">
        <v>939</v>
      </c>
      <c r="V11" s="142">
        <v>0</v>
      </c>
      <c r="W11" s="142">
        <v>0</v>
      </c>
      <c r="X11" s="142">
        <v>0</v>
      </c>
      <c r="Y11" s="14" t="s">
        <v>3933</v>
      </c>
      <c r="Z11" s="142" t="s">
        <v>106</v>
      </c>
      <c r="AA11" s="80">
        <v>0</v>
      </c>
      <c r="AB11" s="1" t="s">
        <v>218</v>
      </c>
      <c r="AC11" s="80">
        <v>0</v>
      </c>
      <c r="AD11" s="1" t="s">
        <v>218</v>
      </c>
      <c r="AE11" s="143">
        <v>0</v>
      </c>
      <c r="AF11" s="1" t="s">
        <v>213</v>
      </c>
      <c r="AG11" s="142">
        <v>0</v>
      </c>
      <c r="AH11" s="142">
        <v>0</v>
      </c>
      <c r="AI11" s="142">
        <v>0</v>
      </c>
      <c r="AJ11" s="14" t="s">
        <v>3932</v>
      </c>
      <c r="AK11" s="142" t="s">
        <v>106</v>
      </c>
      <c r="AL11" s="80">
        <v>0.33329999999999999</v>
      </c>
      <c r="AM11" s="1" t="s">
        <v>3931</v>
      </c>
      <c r="AN11" s="80">
        <v>0</v>
      </c>
      <c r="AO11" s="1" t="s">
        <v>218</v>
      </c>
      <c r="AP11" s="143">
        <v>0.25</v>
      </c>
      <c r="AQ11" s="1" t="s">
        <v>1008</v>
      </c>
      <c r="AR11" s="142">
        <v>1721</v>
      </c>
      <c r="AS11" s="142">
        <v>344.2</v>
      </c>
      <c r="AT11" s="142">
        <v>338</v>
      </c>
      <c r="AU11" s="4" t="s">
        <v>98</v>
      </c>
    </row>
    <row r="12" spans="1:47" x14ac:dyDescent="0.2">
      <c r="A12" s="174"/>
      <c r="B12" s="9" t="s">
        <v>9</v>
      </c>
      <c r="C12" s="1" t="s">
        <v>3930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3929</v>
      </c>
      <c r="O12" s="142" t="s">
        <v>106</v>
      </c>
      <c r="P12" s="80">
        <v>0</v>
      </c>
      <c r="Q12" s="1" t="s">
        <v>939</v>
      </c>
      <c r="R12" s="1" t="s">
        <v>164</v>
      </c>
      <c r="S12" s="1" t="s">
        <v>164</v>
      </c>
      <c r="T12" s="143">
        <v>0</v>
      </c>
      <c r="U12" s="1" t="s">
        <v>939</v>
      </c>
      <c r="V12" s="142">
        <v>0</v>
      </c>
      <c r="W12" s="142">
        <v>0</v>
      </c>
      <c r="X12" s="142">
        <v>0</v>
      </c>
      <c r="Y12" s="14" t="s">
        <v>3928</v>
      </c>
      <c r="Z12" s="142" t="s">
        <v>106</v>
      </c>
      <c r="AA12" s="80">
        <v>0</v>
      </c>
      <c r="AB12" s="1" t="s">
        <v>213</v>
      </c>
      <c r="AC12" s="1" t="s">
        <v>164</v>
      </c>
      <c r="AD12" s="1" t="s">
        <v>164</v>
      </c>
      <c r="AE12" s="143">
        <v>0</v>
      </c>
      <c r="AF12" s="1" t="s">
        <v>213</v>
      </c>
      <c r="AG12" s="142">
        <v>0</v>
      </c>
      <c r="AH12" s="142">
        <v>0</v>
      </c>
      <c r="AI12" s="142">
        <v>0</v>
      </c>
      <c r="AJ12" s="14" t="s">
        <v>3927</v>
      </c>
      <c r="AK12" s="142" t="s">
        <v>106</v>
      </c>
      <c r="AL12" s="80">
        <v>0.25</v>
      </c>
      <c r="AM12" s="1" t="s">
        <v>1008</v>
      </c>
      <c r="AN12" s="1" t="s">
        <v>164</v>
      </c>
      <c r="AO12" s="1" t="s">
        <v>164</v>
      </c>
      <c r="AP12" s="143">
        <v>0.25</v>
      </c>
      <c r="AQ12" s="1" t="s">
        <v>1008</v>
      </c>
      <c r="AR12" s="142">
        <v>1794</v>
      </c>
      <c r="AS12" s="142">
        <v>358.8</v>
      </c>
      <c r="AT12" s="142">
        <v>359</v>
      </c>
      <c r="AU12" s="4" t="s">
        <v>98</v>
      </c>
    </row>
    <row r="13" spans="1:47" x14ac:dyDescent="0.2">
      <c r="A13" s="174"/>
      <c r="B13" s="9" t="s">
        <v>12</v>
      </c>
      <c r="C13" s="1" t="s">
        <v>3926</v>
      </c>
      <c r="D13" s="142" t="s">
        <v>106</v>
      </c>
      <c r="E13" s="80">
        <v>0</v>
      </c>
      <c r="F13" s="1" t="s">
        <v>169</v>
      </c>
      <c r="G13" s="80">
        <v>0</v>
      </c>
      <c r="H13" s="1" t="s">
        <v>163</v>
      </c>
      <c r="I13" s="143">
        <v>0</v>
      </c>
      <c r="J13" s="1" t="s">
        <v>163</v>
      </c>
      <c r="K13" s="142">
        <v>0</v>
      </c>
      <c r="L13" s="142">
        <v>0</v>
      </c>
      <c r="M13" s="142">
        <v>0</v>
      </c>
      <c r="N13" s="14" t="s">
        <v>3925</v>
      </c>
      <c r="O13" s="142" t="s">
        <v>106</v>
      </c>
      <c r="P13" s="80">
        <v>0</v>
      </c>
      <c r="Q13" s="1" t="s">
        <v>169</v>
      </c>
      <c r="R13" s="80">
        <v>0</v>
      </c>
      <c r="S13" s="1" t="s">
        <v>163</v>
      </c>
      <c r="T13" s="143">
        <v>0</v>
      </c>
      <c r="U13" s="1" t="s">
        <v>163</v>
      </c>
      <c r="V13" s="142">
        <v>0</v>
      </c>
      <c r="W13" s="142">
        <v>0</v>
      </c>
      <c r="X13" s="142">
        <v>0</v>
      </c>
      <c r="Y13" s="14" t="s">
        <v>3924</v>
      </c>
      <c r="Z13" s="142" t="s">
        <v>106</v>
      </c>
      <c r="AA13" s="80">
        <v>1</v>
      </c>
      <c r="AB13" s="1" t="s">
        <v>516</v>
      </c>
      <c r="AC13" s="80">
        <v>1</v>
      </c>
      <c r="AD13" s="1" t="s">
        <v>516</v>
      </c>
      <c r="AE13" s="143">
        <v>1</v>
      </c>
      <c r="AF13" s="1" t="s">
        <v>529</v>
      </c>
      <c r="AG13" s="142">
        <v>3698</v>
      </c>
      <c r="AH13" s="142">
        <v>369.8</v>
      </c>
      <c r="AI13" s="142">
        <v>371</v>
      </c>
      <c r="AJ13" s="14" t="s">
        <v>3923</v>
      </c>
      <c r="AK13" s="142" t="s">
        <v>106</v>
      </c>
      <c r="AL13" s="80">
        <v>1</v>
      </c>
      <c r="AM13" s="1" t="s">
        <v>516</v>
      </c>
      <c r="AN13" s="80">
        <v>1</v>
      </c>
      <c r="AO13" s="1" t="s">
        <v>516</v>
      </c>
      <c r="AP13" s="143">
        <v>1</v>
      </c>
      <c r="AQ13" s="1" t="s">
        <v>529</v>
      </c>
      <c r="AR13" s="142">
        <v>3493</v>
      </c>
      <c r="AS13" s="142">
        <v>349.3</v>
      </c>
      <c r="AT13" s="142">
        <v>353.5</v>
      </c>
      <c r="AU13" s="4" t="s">
        <v>97</v>
      </c>
    </row>
    <row r="14" spans="1:47" x14ac:dyDescent="0.2">
      <c r="A14" s="174"/>
      <c r="B14" s="9" t="s">
        <v>13</v>
      </c>
      <c r="C14" s="1" t="s">
        <v>3922</v>
      </c>
      <c r="D14" s="142" t="s">
        <v>106</v>
      </c>
      <c r="E14" s="80">
        <v>1</v>
      </c>
      <c r="F14" s="1" t="s">
        <v>452</v>
      </c>
      <c r="G14" s="1" t="s">
        <v>164</v>
      </c>
      <c r="H14" s="1" t="s">
        <v>164</v>
      </c>
      <c r="I14" s="143">
        <v>1</v>
      </c>
      <c r="J14" s="1" t="s">
        <v>452</v>
      </c>
      <c r="K14" s="142">
        <v>320</v>
      </c>
      <c r="L14" s="142">
        <v>320</v>
      </c>
      <c r="M14" s="142">
        <v>320</v>
      </c>
      <c r="N14" s="14" t="s">
        <v>3921</v>
      </c>
      <c r="O14" s="142" t="s">
        <v>106</v>
      </c>
      <c r="P14" s="80">
        <v>1</v>
      </c>
      <c r="Q14" s="1" t="s">
        <v>452</v>
      </c>
      <c r="R14" s="1" t="s">
        <v>164</v>
      </c>
      <c r="S14" s="1" t="s">
        <v>164</v>
      </c>
      <c r="T14" s="143">
        <v>1</v>
      </c>
      <c r="U14" s="1" t="s">
        <v>452</v>
      </c>
      <c r="V14" s="142">
        <v>289</v>
      </c>
      <c r="W14" s="142">
        <v>289</v>
      </c>
      <c r="X14" s="142">
        <v>289</v>
      </c>
      <c r="Y14" s="14" t="s">
        <v>3920</v>
      </c>
      <c r="Z14" s="142" t="s">
        <v>106</v>
      </c>
      <c r="AA14" s="80">
        <v>1</v>
      </c>
      <c r="AB14" s="1" t="s">
        <v>529</v>
      </c>
      <c r="AC14" s="1" t="s">
        <v>164</v>
      </c>
      <c r="AD14" s="1" t="s">
        <v>164</v>
      </c>
      <c r="AE14" s="143">
        <v>1</v>
      </c>
      <c r="AF14" s="1" t="s">
        <v>529</v>
      </c>
      <c r="AG14" s="142">
        <v>3569</v>
      </c>
      <c r="AH14" s="142">
        <v>356.9</v>
      </c>
      <c r="AI14" s="142">
        <v>359.5</v>
      </c>
      <c r="AJ14" s="14" t="s">
        <v>3919</v>
      </c>
      <c r="AK14" s="142" t="s">
        <v>106</v>
      </c>
      <c r="AL14" s="80">
        <v>1</v>
      </c>
      <c r="AM14" s="1" t="s">
        <v>529</v>
      </c>
      <c r="AN14" s="1" t="s">
        <v>164</v>
      </c>
      <c r="AO14" s="1" t="s">
        <v>164</v>
      </c>
      <c r="AP14" s="143">
        <v>1</v>
      </c>
      <c r="AQ14" s="1" t="s">
        <v>529</v>
      </c>
      <c r="AR14" s="142">
        <v>3492</v>
      </c>
      <c r="AS14" s="142">
        <v>349.2</v>
      </c>
      <c r="AT14" s="142">
        <v>360</v>
      </c>
      <c r="AU14" s="4" t="s">
        <v>97</v>
      </c>
    </row>
    <row r="15" spans="1:47" x14ac:dyDescent="0.2">
      <c r="A15" s="174"/>
      <c r="B15" s="9" t="s">
        <v>14</v>
      </c>
      <c r="C15" s="1" t="s">
        <v>3918</v>
      </c>
      <c r="D15" s="142" t="s">
        <v>106</v>
      </c>
      <c r="E15" s="80">
        <v>0</v>
      </c>
      <c r="F15" s="1" t="s">
        <v>169</v>
      </c>
      <c r="G15" s="80">
        <v>0</v>
      </c>
      <c r="H15" s="1" t="s">
        <v>163</v>
      </c>
      <c r="I15" s="143">
        <v>0</v>
      </c>
      <c r="J15" s="1" t="s">
        <v>163</v>
      </c>
      <c r="K15" s="142">
        <v>0</v>
      </c>
      <c r="L15" s="142">
        <v>0</v>
      </c>
      <c r="M15" s="142">
        <v>0</v>
      </c>
      <c r="N15" s="14" t="s">
        <v>3917</v>
      </c>
      <c r="O15" s="142" t="s">
        <v>106</v>
      </c>
      <c r="P15" s="80">
        <v>0</v>
      </c>
      <c r="Q15" s="1" t="s">
        <v>169</v>
      </c>
      <c r="R15" s="80">
        <v>0</v>
      </c>
      <c r="S15" s="1" t="s">
        <v>163</v>
      </c>
      <c r="T15" s="143">
        <v>0</v>
      </c>
      <c r="U15" s="1" t="s">
        <v>163</v>
      </c>
      <c r="V15" s="142">
        <v>0</v>
      </c>
      <c r="W15" s="142">
        <v>0</v>
      </c>
      <c r="X15" s="142">
        <v>0</v>
      </c>
      <c r="Y15" s="14" t="s">
        <v>3916</v>
      </c>
      <c r="Z15" s="142" t="s">
        <v>106</v>
      </c>
      <c r="AA15" s="80">
        <v>0.2</v>
      </c>
      <c r="AB15" s="1" t="s">
        <v>1049</v>
      </c>
      <c r="AC15" s="80">
        <v>1</v>
      </c>
      <c r="AD15" s="1" t="s">
        <v>516</v>
      </c>
      <c r="AE15" s="143">
        <v>0.6</v>
      </c>
      <c r="AF15" s="1" t="s">
        <v>963</v>
      </c>
      <c r="AG15" s="142">
        <v>2197</v>
      </c>
      <c r="AH15" s="142">
        <v>366.17</v>
      </c>
      <c r="AI15" s="142">
        <v>363.5</v>
      </c>
      <c r="AJ15" s="14" t="s">
        <v>3915</v>
      </c>
      <c r="AK15" s="142" t="s">
        <v>106</v>
      </c>
      <c r="AL15" s="80">
        <v>0.2</v>
      </c>
      <c r="AM15" s="1" t="s">
        <v>1049</v>
      </c>
      <c r="AN15" s="80">
        <v>1</v>
      </c>
      <c r="AO15" s="1" t="s">
        <v>516</v>
      </c>
      <c r="AP15" s="143">
        <v>0.6</v>
      </c>
      <c r="AQ15" s="1" t="s">
        <v>963</v>
      </c>
      <c r="AR15" s="142">
        <v>2193</v>
      </c>
      <c r="AS15" s="142">
        <v>365.5</v>
      </c>
      <c r="AT15" s="142">
        <v>371</v>
      </c>
      <c r="AU15" s="4" t="s">
        <v>97</v>
      </c>
    </row>
    <row r="16" spans="1:47" x14ac:dyDescent="0.2">
      <c r="A16" s="174"/>
      <c r="B16" s="9" t="s">
        <v>15</v>
      </c>
      <c r="C16" s="1" t="s">
        <v>3914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3913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3912</v>
      </c>
      <c r="Z16" s="142" t="s">
        <v>106</v>
      </c>
      <c r="AA16" s="80">
        <v>0.6</v>
      </c>
      <c r="AB16" s="1" t="s">
        <v>963</v>
      </c>
      <c r="AC16" s="1" t="s">
        <v>164</v>
      </c>
      <c r="AD16" s="1" t="s">
        <v>164</v>
      </c>
      <c r="AE16" s="143">
        <v>0.6</v>
      </c>
      <c r="AF16" s="1" t="s">
        <v>963</v>
      </c>
      <c r="AG16" s="142">
        <v>2145</v>
      </c>
      <c r="AH16" s="142">
        <v>357.5</v>
      </c>
      <c r="AI16" s="142">
        <v>358.5</v>
      </c>
      <c r="AJ16" s="14" t="s">
        <v>3911</v>
      </c>
      <c r="AK16" s="142" t="s">
        <v>106</v>
      </c>
      <c r="AL16" s="80">
        <v>0.6</v>
      </c>
      <c r="AM16" s="1" t="s">
        <v>963</v>
      </c>
      <c r="AN16" s="1" t="s">
        <v>164</v>
      </c>
      <c r="AO16" s="1" t="s">
        <v>164</v>
      </c>
      <c r="AP16" s="143">
        <v>0.6</v>
      </c>
      <c r="AQ16" s="1" t="s">
        <v>963</v>
      </c>
      <c r="AR16" s="142">
        <v>2071</v>
      </c>
      <c r="AS16" s="142">
        <v>345.17</v>
      </c>
      <c r="AT16" s="142">
        <v>344.5</v>
      </c>
      <c r="AU16" s="4" t="s">
        <v>97</v>
      </c>
    </row>
    <row r="17" spans="1:47" x14ac:dyDescent="0.2">
      <c r="A17" s="174"/>
      <c r="B17" s="9" t="s">
        <v>16</v>
      </c>
      <c r="C17" s="1" t="s">
        <v>3910</v>
      </c>
      <c r="D17" s="142" t="s">
        <v>106</v>
      </c>
      <c r="E17" s="80">
        <v>0</v>
      </c>
      <c r="F17" s="1" t="s">
        <v>169</v>
      </c>
      <c r="G17" s="80">
        <v>0</v>
      </c>
      <c r="H17" s="1" t="s">
        <v>163</v>
      </c>
      <c r="I17" s="143">
        <v>0</v>
      </c>
      <c r="J17" s="1" t="s">
        <v>163</v>
      </c>
      <c r="K17" s="142">
        <v>0</v>
      </c>
      <c r="L17" s="142">
        <v>0</v>
      </c>
      <c r="M17" s="142">
        <v>0</v>
      </c>
      <c r="N17" s="14" t="s">
        <v>3909</v>
      </c>
      <c r="O17" s="142" t="s">
        <v>106</v>
      </c>
      <c r="P17" s="80">
        <v>0</v>
      </c>
      <c r="Q17" s="1" t="s">
        <v>169</v>
      </c>
      <c r="R17" s="80">
        <v>0</v>
      </c>
      <c r="S17" s="1" t="s">
        <v>163</v>
      </c>
      <c r="T17" s="143">
        <v>0</v>
      </c>
      <c r="U17" s="1" t="s">
        <v>163</v>
      </c>
      <c r="V17" s="142">
        <v>0</v>
      </c>
      <c r="W17" s="142">
        <v>0</v>
      </c>
      <c r="X17" s="142">
        <v>0</v>
      </c>
      <c r="Y17" s="14" t="s">
        <v>3908</v>
      </c>
      <c r="Z17" s="142" t="s">
        <v>106</v>
      </c>
      <c r="AA17" s="80">
        <v>1</v>
      </c>
      <c r="AB17" s="1" t="s">
        <v>516</v>
      </c>
      <c r="AC17" s="80">
        <v>1</v>
      </c>
      <c r="AD17" s="1" t="s">
        <v>516</v>
      </c>
      <c r="AE17" s="143">
        <v>1</v>
      </c>
      <c r="AF17" s="1" t="s">
        <v>529</v>
      </c>
      <c r="AG17" s="142">
        <v>3642</v>
      </c>
      <c r="AH17" s="142">
        <v>364.2</v>
      </c>
      <c r="AI17" s="142">
        <v>362</v>
      </c>
      <c r="AJ17" s="14" t="s">
        <v>3907</v>
      </c>
      <c r="AK17" s="142" t="s">
        <v>106</v>
      </c>
      <c r="AL17" s="80">
        <v>1</v>
      </c>
      <c r="AM17" s="1" t="s">
        <v>516</v>
      </c>
      <c r="AN17" s="80">
        <v>1</v>
      </c>
      <c r="AO17" s="1" t="s">
        <v>516</v>
      </c>
      <c r="AP17" s="143">
        <v>1</v>
      </c>
      <c r="AQ17" s="1" t="s">
        <v>529</v>
      </c>
      <c r="AR17" s="142">
        <v>3552</v>
      </c>
      <c r="AS17" s="142">
        <v>355.2</v>
      </c>
      <c r="AT17" s="142">
        <v>364</v>
      </c>
      <c r="AU17" s="4" t="s">
        <v>97</v>
      </c>
    </row>
    <row r="18" spans="1:47" x14ac:dyDescent="0.2">
      <c r="A18" s="174"/>
      <c r="B18" s="9" t="s">
        <v>17</v>
      </c>
      <c r="C18" s="1" t="s">
        <v>3906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3905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3904</v>
      </c>
      <c r="Z18" s="142" t="s">
        <v>106</v>
      </c>
      <c r="AA18" s="80">
        <v>0.5</v>
      </c>
      <c r="AB18" s="1" t="s">
        <v>511</v>
      </c>
      <c r="AC18" s="1" t="s">
        <v>164</v>
      </c>
      <c r="AD18" s="1" t="s">
        <v>164</v>
      </c>
      <c r="AE18" s="143">
        <v>0.5</v>
      </c>
      <c r="AF18" s="1" t="s">
        <v>511</v>
      </c>
      <c r="AG18" s="142">
        <v>1790</v>
      </c>
      <c r="AH18" s="142">
        <v>358</v>
      </c>
      <c r="AI18" s="142">
        <v>367</v>
      </c>
      <c r="AJ18" s="14" t="s">
        <v>3903</v>
      </c>
      <c r="AK18" s="142" t="s">
        <v>106</v>
      </c>
      <c r="AL18" s="80">
        <v>0.5</v>
      </c>
      <c r="AM18" s="1" t="s">
        <v>511</v>
      </c>
      <c r="AN18" s="1" t="s">
        <v>164</v>
      </c>
      <c r="AO18" s="1" t="s">
        <v>164</v>
      </c>
      <c r="AP18" s="143">
        <v>0.5</v>
      </c>
      <c r="AQ18" s="1" t="s">
        <v>511</v>
      </c>
      <c r="AR18" s="142">
        <v>1715</v>
      </c>
      <c r="AS18" s="142">
        <v>343</v>
      </c>
      <c r="AT18" s="142">
        <v>353</v>
      </c>
      <c r="AU18" s="4" t="s">
        <v>97</v>
      </c>
    </row>
    <row r="19" spans="1:47" x14ac:dyDescent="0.2">
      <c r="A19" s="174"/>
      <c r="B19" s="9" t="s">
        <v>18</v>
      </c>
      <c r="C19" s="1" t="s">
        <v>3902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3901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366</v>
      </c>
      <c r="W19" s="142">
        <v>366</v>
      </c>
      <c r="X19" s="142">
        <v>366</v>
      </c>
      <c r="Y19" s="14" t="s">
        <v>3900</v>
      </c>
      <c r="Z19" s="142" t="s">
        <v>106</v>
      </c>
      <c r="AA19" s="80">
        <v>0</v>
      </c>
      <c r="AB19" s="1" t="s">
        <v>218</v>
      </c>
      <c r="AC19" s="80">
        <v>0</v>
      </c>
      <c r="AD19" s="1" t="s">
        <v>218</v>
      </c>
      <c r="AE19" s="143">
        <v>0</v>
      </c>
      <c r="AF19" s="1" t="s">
        <v>213</v>
      </c>
      <c r="AG19" s="142">
        <v>0</v>
      </c>
      <c r="AH19" s="142">
        <v>0</v>
      </c>
      <c r="AI19" s="142">
        <v>0</v>
      </c>
      <c r="AJ19" s="14" t="s">
        <v>3899</v>
      </c>
      <c r="AK19" s="142" t="s">
        <v>106</v>
      </c>
      <c r="AL19" s="80">
        <v>0.66669999999999996</v>
      </c>
      <c r="AM19" s="1" t="s">
        <v>1129</v>
      </c>
      <c r="AN19" s="80">
        <v>0</v>
      </c>
      <c r="AO19" s="1" t="s">
        <v>218</v>
      </c>
      <c r="AP19" s="143">
        <v>0.5</v>
      </c>
      <c r="AQ19" s="1" t="s">
        <v>936</v>
      </c>
      <c r="AR19" s="142">
        <v>3713</v>
      </c>
      <c r="AS19" s="142">
        <v>371.3</v>
      </c>
      <c r="AT19" s="142">
        <v>373</v>
      </c>
      <c r="AU19" s="4" t="s">
        <v>99</v>
      </c>
    </row>
    <row r="20" spans="1:47" x14ac:dyDescent="0.2">
      <c r="A20" s="174"/>
      <c r="B20" s="9" t="s">
        <v>19</v>
      </c>
      <c r="C20" s="1" t="s">
        <v>3898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3897</v>
      </c>
      <c r="O20" s="142" t="s">
        <v>106</v>
      </c>
      <c r="P20" s="80">
        <v>0.5</v>
      </c>
      <c r="Q20" s="1" t="s">
        <v>1108</v>
      </c>
      <c r="R20" s="1" t="s">
        <v>164</v>
      </c>
      <c r="S20" s="1" t="s">
        <v>164</v>
      </c>
      <c r="T20" s="143">
        <v>0.5</v>
      </c>
      <c r="U20" s="1" t="s">
        <v>1108</v>
      </c>
      <c r="V20" s="142">
        <v>382</v>
      </c>
      <c r="W20" s="142">
        <v>382</v>
      </c>
      <c r="X20" s="142">
        <v>382</v>
      </c>
      <c r="Y20" s="14" t="s">
        <v>3896</v>
      </c>
      <c r="Z20" s="142" t="s">
        <v>106</v>
      </c>
      <c r="AA20" s="80">
        <v>0</v>
      </c>
      <c r="AB20" s="1" t="s">
        <v>213</v>
      </c>
      <c r="AC20" s="1" t="s">
        <v>164</v>
      </c>
      <c r="AD20" s="1" t="s">
        <v>164</v>
      </c>
      <c r="AE20" s="143">
        <v>0</v>
      </c>
      <c r="AF20" s="1" t="s">
        <v>213</v>
      </c>
      <c r="AG20" s="142">
        <v>0</v>
      </c>
      <c r="AH20" s="142">
        <v>0</v>
      </c>
      <c r="AI20" s="142">
        <v>0</v>
      </c>
      <c r="AJ20" s="14" t="s">
        <v>3895</v>
      </c>
      <c r="AK20" s="142" t="s">
        <v>106</v>
      </c>
      <c r="AL20" s="80">
        <v>0.5</v>
      </c>
      <c r="AM20" s="1" t="s">
        <v>936</v>
      </c>
      <c r="AN20" s="1" t="s">
        <v>164</v>
      </c>
      <c r="AO20" s="1" t="s">
        <v>164</v>
      </c>
      <c r="AP20" s="143">
        <v>0.5</v>
      </c>
      <c r="AQ20" s="1" t="s">
        <v>936</v>
      </c>
      <c r="AR20" s="142">
        <v>3700</v>
      </c>
      <c r="AS20" s="142">
        <v>370</v>
      </c>
      <c r="AT20" s="142">
        <v>371</v>
      </c>
      <c r="AU20" s="4" t="s">
        <v>99</v>
      </c>
    </row>
    <row r="21" spans="1:47" x14ac:dyDescent="0.2">
      <c r="A21" s="174"/>
      <c r="B21" s="9" t="s">
        <v>20</v>
      </c>
      <c r="C21" s="1" t="s">
        <v>3894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3893</v>
      </c>
      <c r="O21" s="142" t="s">
        <v>106</v>
      </c>
      <c r="P21" s="80">
        <v>1</v>
      </c>
      <c r="Q21" s="1" t="s">
        <v>452</v>
      </c>
      <c r="R21" s="80">
        <v>0</v>
      </c>
      <c r="S21" s="1" t="s">
        <v>163</v>
      </c>
      <c r="T21" s="143">
        <v>0.5</v>
      </c>
      <c r="U21" s="1" t="s">
        <v>1108</v>
      </c>
      <c r="V21" s="142">
        <v>306</v>
      </c>
      <c r="W21" s="142">
        <v>306</v>
      </c>
      <c r="X21" s="142">
        <v>306</v>
      </c>
      <c r="Y21" s="14" t="s">
        <v>3892</v>
      </c>
      <c r="Z21" s="142" t="s">
        <v>106</v>
      </c>
      <c r="AA21" s="80">
        <v>1</v>
      </c>
      <c r="AB21" s="1" t="s">
        <v>516</v>
      </c>
      <c r="AC21" s="80">
        <v>0.6</v>
      </c>
      <c r="AD21" s="1" t="s">
        <v>964</v>
      </c>
      <c r="AE21" s="143">
        <v>0.8</v>
      </c>
      <c r="AF21" s="1" t="s">
        <v>1077</v>
      </c>
      <c r="AG21" s="142">
        <v>3362</v>
      </c>
      <c r="AH21" s="142">
        <v>420.25</v>
      </c>
      <c r="AI21" s="142">
        <v>439</v>
      </c>
      <c r="AJ21" s="14" t="s">
        <v>3891</v>
      </c>
      <c r="AK21" s="142" t="s">
        <v>106</v>
      </c>
      <c r="AL21" s="80">
        <v>1</v>
      </c>
      <c r="AM21" s="1" t="s">
        <v>2400</v>
      </c>
      <c r="AN21" s="80">
        <v>0.6</v>
      </c>
      <c r="AO21" s="1" t="s">
        <v>964</v>
      </c>
      <c r="AP21" s="143">
        <v>0.9</v>
      </c>
      <c r="AQ21" s="1" t="s">
        <v>2078</v>
      </c>
      <c r="AR21" s="142">
        <v>6864</v>
      </c>
      <c r="AS21" s="142">
        <v>381.33</v>
      </c>
      <c r="AT21" s="142">
        <v>377</v>
      </c>
      <c r="AU21" s="4" t="s">
        <v>93</v>
      </c>
    </row>
    <row r="22" spans="1:47" x14ac:dyDescent="0.2">
      <c r="A22" s="174"/>
      <c r="B22" s="9" t="s">
        <v>21</v>
      </c>
      <c r="C22" s="1" t="s">
        <v>3890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414</v>
      </c>
      <c r="L22" s="142">
        <v>414</v>
      </c>
      <c r="M22" s="142">
        <v>414</v>
      </c>
      <c r="N22" s="14" t="s">
        <v>3889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703</v>
      </c>
      <c r="W22" s="142">
        <v>351.5</v>
      </c>
      <c r="X22" s="142">
        <v>351.5</v>
      </c>
      <c r="Y22" s="14" t="s">
        <v>3888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4158</v>
      </c>
      <c r="AH22" s="142">
        <v>415.8</v>
      </c>
      <c r="AI22" s="142">
        <v>420</v>
      </c>
      <c r="AJ22" s="14" t="s">
        <v>3887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8394</v>
      </c>
      <c r="AS22" s="142">
        <v>419.7</v>
      </c>
      <c r="AT22" s="142">
        <v>407.5</v>
      </c>
      <c r="AU22" s="4" t="s">
        <v>93</v>
      </c>
    </row>
    <row r="23" spans="1:47" x14ac:dyDescent="0.2">
      <c r="A23" s="174"/>
      <c r="B23" s="9" t="s">
        <v>26</v>
      </c>
      <c r="C23" s="1" t="s">
        <v>3886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3885</v>
      </c>
      <c r="O23" s="142" t="s">
        <v>106</v>
      </c>
      <c r="P23" s="80">
        <v>1</v>
      </c>
      <c r="Q23" s="1" t="s">
        <v>452</v>
      </c>
      <c r="R23" s="80">
        <v>0</v>
      </c>
      <c r="S23" s="1" t="s">
        <v>1161</v>
      </c>
      <c r="T23" s="143">
        <v>0.25</v>
      </c>
      <c r="U23" s="1" t="s">
        <v>1247</v>
      </c>
      <c r="V23" s="142">
        <v>311</v>
      </c>
      <c r="W23" s="142">
        <v>311</v>
      </c>
      <c r="X23" s="142">
        <v>311</v>
      </c>
      <c r="Y23" s="14" t="s">
        <v>3884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3883</v>
      </c>
      <c r="AK23" s="142" t="s">
        <v>106</v>
      </c>
      <c r="AL23" s="80">
        <v>0.76919999999999999</v>
      </c>
      <c r="AM23" s="1" t="s">
        <v>3132</v>
      </c>
      <c r="AN23" s="80">
        <v>0</v>
      </c>
      <c r="AO23" s="1" t="s">
        <v>1250</v>
      </c>
      <c r="AP23" s="143">
        <v>0.25</v>
      </c>
      <c r="AQ23" s="1" t="s">
        <v>3127</v>
      </c>
      <c r="AR23" s="142">
        <v>3679</v>
      </c>
      <c r="AS23" s="142">
        <v>367.9</v>
      </c>
      <c r="AT23" s="142">
        <v>371.5</v>
      </c>
      <c r="AU23" s="4" t="s">
        <v>99</v>
      </c>
    </row>
    <row r="24" spans="1:47" x14ac:dyDescent="0.2">
      <c r="A24" s="174"/>
      <c r="B24" s="9" t="s">
        <v>27</v>
      </c>
      <c r="C24" s="1" t="s">
        <v>3882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3881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375</v>
      </c>
      <c r="W24" s="142">
        <v>375</v>
      </c>
      <c r="X24" s="142">
        <v>375</v>
      </c>
      <c r="Y24" s="14" t="s">
        <v>3880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3879</v>
      </c>
      <c r="AK24" s="142" t="s">
        <v>106</v>
      </c>
      <c r="AL24" s="80">
        <v>0.25</v>
      </c>
      <c r="AM24" s="1" t="s">
        <v>3127</v>
      </c>
      <c r="AN24" s="1" t="s">
        <v>164</v>
      </c>
      <c r="AO24" s="1" t="s">
        <v>164</v>
      </c>
      <c r="AP24" s="143">
        <v>0.25</v>
      </c>
      <c r="AQ24" s="1" t="s">
        <v>3127</v>
      </c>
      <c r="AR24" s="142">
        <v>3728</v>
      </c>
      <c r="AS24" s="142">
        <v>372.8</v>
      </c>
      <c r="AT24" s="142">
        <v>369.5</v>
      </c>
      <c r="AU24" s="4" t="s">
        <v>99</v>
      </c>
    </row>
    <row r="25" spans="1:47" x14ac:dyDescent="0.2">
      <c r="A25" s="174"/>
      <c r="B25" s="9" t="s">
        <v>28</v>
      </c>
      <c r="C25" s="1" t="s">
        <v>3878</v>
      </c>
      <c r="D25" s="142" t="s">
        <v>106</v>
      </c>
      <c r="E25" s="80">
        <v>0</v>
      </c>
      <c r="F25" s="1" t="s">
        <v>169</v>
      </c>
      <c r="G25" s="80">
        <v>0</v>
      </c>
      <c r="H25" s="1" t="s">
        <v>163</v>
      </c>
      <c r="I25" s="143">
        <v>0</v>
      </c>
      <c r="J25" s="1" t="s">
        <v>163</v>
      </c>
      <c r="K25" s="142">
        <v>0</v>
      </c>
      <c r="L25" s="142">
        <v>0</v>
      </c>
      <c r="M25" s="142">
        <v>0</v>
      </c>
      <c r="N25" s="14" t="s">
        <v>3877</v>
      </c>
      <c r="O25" s="142" t="s">
        <v>106</v>
      </c>
      <c r="P25" s="80">
        <v>0</v>
      </c>
      <c r="Q25" s="1" t="s">
        <v>169</v>
      </c>
      <c r="R25" s="80">
        <v>0</v>
      </c>
      <c r="S25" s="1" t="s">
        <v>939</v>
      </c>
      <c r="T25" s="143">
        <v>0</v>
      </c>
      <c r="U25" s="1" t="s">
        <v>939</v>
      </c>
      <c r="V25" s="142">
        <v>0</v>
      </c>
      <c r="W25" s="142">
        <v>0</v>
      </c>
      <c r="X25" s="142">
        <v>0</v>
      </c>
      <c r="Y25" s="14" t="s">
        <v>3876</v>
      </c>
      <c r="Z25" s="142" t="s">
        <v>106</v>
      </c>
      <c r="AA25" s="80">
        <v>0</v>
      </c>
      <c r="AB25" s="1" t="s">
        <v>218</v>
      </c>
      <c r="AC25" s="80">
        <v>0</v>
      </c>
      <c r="AD25" s="1" t="s">
        <v>218</v>
      </c>
      <c r="AE25" s="143">
        <v>0</v>
      </c>
      <c r="AF25" s="1" t="s">
        <v>213</v>
      </c>
      <c r="AG25" s="142">
        <v>0</v>
      </c>
      <c r="AH25" s="142">
        <v>0</v>
      </c>
      <c r="AI25" s="142">
        <v>0</v>
      </c>
      <c r="AJ25" s="14" t="s">
        <v>3875</v>
      </c>
      <c r="AK25" s="142" t="s">
        <v>106</v>
      </c>
      <c r="AL25" s="80">
        <v>0</v>
      </c>
      <c r="AM25" s="1" t="s">
        <v>213</v>
      </c>
      <c r="AN25" s="80">
        <v>0</v>
      </c>
      <c r="AO25" s="1" t="s">
        <v>213</v>
      </c>
      <c r="AP25" s="143">
        <v>0</v>
      </c>
      <c r="AQ25" s="1" t="s">
        <v>1176</v>
      </c>
      <c r="AR25" s="142">
        <v>0</v>
      </c>
      <c r="AS25" s="142">
        <v>0</v>
      </c>
      <c r="AT25" s="142">
        <v>0</v>
      </c>
    </row>
    <row r="26" spans="1:47" x14ac:dyDescent="0.2">
      <c r="A26" s="174"/>
      <c r="B26" s="9" t="s">
        <v>112</v>
      </c>
      <c r="C26" s="1" t="s">
        <v>3874</v>
      </c>
      <c r="D26" s="142" t="s">
        <v>106</v>
      </c>
      <c r="E26" s="80">
        <v>0</v>
      </c>
      <c r="F26" s="1" t="s">
        <v>169</v>
      </c>
      <c r="G26" s="80">
        <v>0</v>
      </c>
      <c r="H26" s="1" t="s">
        <v>163</v>
      </c>
      <c r="I26" s="143">
        <v>0</v>
      </c>
      <c r="J26" s="1" t="s">
        <v>163</v>
      </c>
      <c r="K26" s="142">
        <v>0</v>
      </c>
      <c r="L26" s="142">
        <v>0</v>
      </c>
      <c r="M26" s="142">
        <v>0</v>
      </c>
      <c r="N26" s="14" t="s">
        <v>3873</v>
      </c>
      <c r="O26" s="142" t="s">
        <v>106</v>
      </c>
      <c r="P26" s="80">
        <v>0</v>
      </c>
      <c r="Q26" s="1" t="s">
        <v>169</v>
      </c>
      <c r="R26" s="80">
        <v>0</v>
      </c>
      <c r="S26" s="1" t="s">
        <v>939</v>
      </c>
      <c r="T26" s="143">
        <v>0</v>
      </c>
      <c r="U26" s="1" t="s">
        <v>939</v>
      </c>
      <c r="V26" s="142">
        <v>0</v>
      </c>
      <c r="W26" s="142">
        <v>0</v>
      </c>
      <c r="X26" s="142">
        <v>0</v>
      </c>
      <c r="Y26" s="14" t="s">
        <v>3872</v>
      </c>
      <c r="Z26" s="142" t="s">
        <v>106</v>
      </c>
      <c r="AA26" s="80">
        <v>0</v>
      </c>
      <c r="AB26" s="1" t="s">
        <v>218</v>
      </c>
      <c r="AC26" s="80">
        <v>0</v>
      </c>
      <c r="AD26" s="1" t="s">
        <v>218</v>
      </c>
      <c r="AE26" s="143">
        <v>0</v>
      </c>
      <c r="AF26" s="1" t="s">
        <v>213</v>
      </c>
      <c r="AG26" s="142">
        <v>0</v>
      </c>
      <c r="AH26" s="142">
        <v>0</v>
      </c>
      <c r="AI26" s="142">
        <v>0</v>
      </c>
      <c r="AJ26" s="14" t="s">
        <v>3871</v>
      </c>
      <c r="AK26" s="142" t="s">
        <v>106</v>
      </c>
      <c r="AL26" s="80">
        <v>0</v>
      </c>
      <c r="AM26" s="1" t="s">
        <v>213</v>
      </c>
      <c r="AN26" s="80">
        <v>0</v>
      </c>
      <c r="AO26" s="1" t="s">
        <v>213</v>
      </c>
      <c r="AP26" s="143">
        <v>0</v>
      </c>
      <c r="AQ26" s="1" t="s">
        <v>1176</v>
      </c>
      <c r="AR26" s="142">
        <v>0</v>
      </c>
      <c r="AS26" s="142">
        <v>0</v>
      </c>
      <c r="AT26" s="142">
        <v>0</v>
      </c>
    </row>
    <row r="27" spans="1:47" x14ac:dyDescent="0.2">
      <c r="A27" s="174"/>
      <c r="B27" s="9" t="s">
        <v>29</v>
      </c>
      <c r="C27" s="1" t="s">
        <v>3870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3869</v>
      </c>
      <c r="O27" s="142" t="s">
        <v>107</v>
      </c>
      <c r="P27" s="1" t="s">
        <v>164</v>
      </c>
      <c r="Q27" s="1" t="s">
        <v>164</v>
      </c>
      <c r="R27" s="1" t="s">
        <v>164</v>
      </c>
      <c r="S27" s="1" t="s">
        <v>164</v>
      </c>
      <c r="T27" s="143">
        <v>0.66669999999999996</v>
      </c>
      <c r="U27" s="1" t="s">
        <v>1881</v>
      </c>
      <c r="V27" s="142">
        <v>680</v>
      </c>
      <c r="W27" s="142">
        <v>340</v>
      </c>
      <c r="X27" s="142">
        <v>340</v>
      </c>
      <c r="Y27" s="14" t="s">
        <v>3868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3867</v>
      </c>
      <c r="AK27" s="142" t="s">
        <v>107</v>
      </c>
      <c r="AL27" s="1" t="s">
        <v>164</v>
      </c>
      <c r="AM27" s="1" t="s">
        <v>164</v>
      </c>
      <c r="AN27" s="1" t="s">
        <v>164</v>
      </c>
      <c r="AO27" s="1" t="s">
        <v>164</v>
      </c>
      <c r="AP27" s="143">
        <v>0.66669999999999996</v>
      </c>
      <c r="AQ27" s="1" t="s">
        <v>1881</v>
      </c>
      <c r="AR27" s="142">
        <v>684</v>
      </c>
      <c r="AS27" s="142">
        <v>342</v>
      </c>
      <c r="AT27" s="142">
        <v>342</v>
      </c>
      <c r="AU27" s="4" t="s">
        <v>99</v>
      </c>
    </row>
    <row r="28" spans="1:47" x14ac:dyDescent="0.2">
      <c r="A28" s="174"/>
      <c r="B28" s="9" t="s">
        <v>30</v>
      </c>
      <c r="C28" s="1" t="s">
        <v>3866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3865</v>
      </c>
      <c r="O28" s="142" t="s">
        <v>106</v>
      </c>
      <c r="P28" s="80">
        <v>0.66669999999999996</v>
      </c>
      <c r="Q28" s="1" t="s">
        <v>1881</v>
      </c>
      <c r="R28" s="1" t="s">
        <v>164</v>
      </c>
      <c r="S28" s="1" t="s">
        <v>164</v>
      </c>
      <c r="T28" s="143">
        <v>0.66669999999999996</v>
      </c>
      <c r="U28" s="1" t="s">
        <v>1881</v>
      </c>
      <c r="V28" s="142">
        <v>685</v>
      </c>
      <c r="W28" s="142">
        <v>342.5</v>
      </c>
      <c r="X28" s="142">
        <v>342.5</v>
      </c>
      <c r="Y28" s="14" t="s">
        <v>3864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3863</v>
      </c>
      <c r="AK28" s="142" t="s">
        <v>106</v>
      </c>
      <c r="AL28" s="80">
        <v>0.66669999999999996</v>
      </c>
      <c r="AM28" s="1" t="s">
        <v>1881</v>
      </c>
      <c r="AN28" s="1" t="s">
        <v>164</v>
      </c>
      <c r="AO28" s="1" t="s">
        <v>164</v>
      </c>
      <c r="AP28" s="143">
        <v>0.66669999999999996</v>
      </c>
      <c r="AQ28" s="1" t="s">
        <v>1881</v>
      </c>
      <c r="AR28" s="142">
        <v>691</v>
      </c>
      <c r="AS28" s="142">
        <v>345.5</v>
      </c>
      <c r="AT28" s="142">
        <v>345.5</v>
      </c>
      <c r="AU28" s="4" t="s">
        <v>99</v>
      </c>
    </row>
    <row r="29" spans="1:47" x14ac:dyDescent="0.2">
      <c r="A29" s="174"/>
      <c r="B29" s="9" t="s">
        <v>31</v>
      </c>
      <c r="C29" s="1" t="s">
        <v>3862</v>
      </c>
      <c r="D29" s="142" t="s">
        <v>106</v>
      </c>
      <c r="E29" s="80">
        <v>0</v>
      </c>
      <c r="F29" s="1" t="s">
        <v>169</v>
      </c>
      <c r="G29" s="80">
        <v>0</v>
      </c>
      <c r="H29" s="1" t="s">
        <v>163</v>
      </c>
      <c r="I29" s="143">
        <v>0</v>
      </c>
      <c r="J29" s="1" t="s">
        <v>163</v>
      </c>
      <c r="K29" s="142">
        <v>0</v>
      </c>
      <c r="L29" s="142">
        <v>0</v>
      </c>
      <c r="M29" s="142">
        <v>0</v>
      </c>
      <c r="N29" s="14" t="s">
        <v>3861</v>
      </c>
      <c r="O29" s="142" t="s">
        <v>106</v>
      </c>
      <c r="P29" s="80">
        <v>0</v>
      </c>
      <c r="Q29" s="1" t="s">
        <v>169</v>
      </c>
      <c r="R29" s="80">
        <v>0</v>
      </c>
      <c r="S29" s="1" t="s">
        <v>163</v>
      </c>
      <c r="T29" s="143">
        <v>0</v>
      </c>
      <c r="U29" s="1" t="s">
        <v>163</v>
      </c>
      <c r="V29" s="142">
        <v>0</v>
      </c>
      <c r="W29" s="142">
        <v>0</v>
      </c>
      <c r="X29" s="142">
        <v>0</v>
      </c>
      <c r="Y29" s="14" t="s">
        <v>3860</v>
      </c>
      <c r="Z29" s="142" t="s">
        <v>106</v>
      </c>
      <c r="AA29" s="80">
        <v>1</v>
      </c>
      <c r="AB29" s="1" t="s">
        <v>516</v>
      </c>
      <c r="AC29" s="80">
        <v>0</v>
      </c>
      <c r="AD29" s="1" t="s">
        <v>218</v>
      </c>
      <c r="AE29" s="143">
        <v>0.5</v>
      </c>
      <c r="AF29" s="1" t="s">
        <v>511</v>
      </c>
      <c r="AG29" s="142">
        <v>1750</v>
      </c>
      <c r="AH29" s="142">
        <v>350</v>
      </c>
      <c r="AI29" s="142">
        <v>348</v>
      </c>
      <c r="AJ29" s="14" t="s">
        <v>3859</v>
      </c>
      <c r="AK29" s="142" t="s">
        <v>106</v>
      </c>
      <c r="AL29" s="80">
        <v>1</v>
      </c>
      <c r="AM29" s="1" t="s">
        <v>516</v>
      </c>
      <c r="AN29" s="80">
        <v>0</v>
      </c>
      <c r="AO29" s="1" t="s">
        <v>218</v>
      </c>
      <c r="AP29" s="143">
        <v>0.5</v>
      </c>
      <c r="AQ29" s="1" t="s">
        <v>511</v>
      </c>
      <c r="AR29" s="142">
        <v>1735</v>
      </c>
      <c r="AS29" s="142">
        <v>347</v>
      </c>
      <c r="AT29" s="142">
        <v>361</v>
      </c>
    </row>
    <row r="30" spans="1:47" x14ac:dyDescent="0.2">
      <c r="A30" s="174"/>
      <c r="B30" s="9" t="s">
        <v>32</v>
      </c>
      <c r="C30" s="1" t="s">
        <v>3858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529</v>
      </c>
      <c r="L30" s="142">
        <v>529</v>
      </c>
      <c r="M30" s="142">
        <v>529</v>
      </c>
      <c r="N30" s="14" t="s">
        <v>3857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498</v>
      </c>
      <c r="W30" s="142">
        <v>498</v>
      </c>
      <c r="X30" s="142">
        <v>498</v>
      </c>
      <c r="Y30" s="14" t="s">
        <v>3856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3683</v>
      </c>
      <c r="AH30" s="142">
        <v>368.3</v>
      </c>
      <c r="AI30" s="142">
        <v>372.5</v>
      </c>
      <c r="AJ30" s="14" t="s">
        <v>3855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3657</v>
      </c>
      <c r="AS30" s="142">
        <v>365.7</v>
      </c>
      <c r="AT30" s="142">
        <v>370.5</v>
      </c>
    </row>
    <row r="31" spans="1:47" x14ac:dyDescent="0.2">
      <c r="A31" s="174"/>
      <c r="B31" s="9" t="s">
        <v>35</v>
      </c>
      <c r="C31" s="1" t="s">
        <v>3854</v>
      </c>
      <c r="D31" s="142" t="s">
        <v>106</v>
      </c>
      <c r="E31" s="80">
        <v>0</v>
      </c>
      <c r="F31" s="1" t="s">
        <v>169</v>
      </c>
      <c r="G31" s="80">
        <v>0</v>
      </c>
      <c r="H31" s="1" t="s">
        <v>163</v>
      </c>
      <c r="I31" s="143">
        <v>0</v>
      </c>
      <c r="J31" s="1" t="s">
        <v>163</v>
      </c>
      <c r="K31" s="142">
        <v>0</v>
      </c>
      <c r="L31" s="142">
        <v>0</v>
      </c>
      <c r="M31" s="142">
        <v>0</v>
      </c>
      <c r="N31" s="14" t="s">
        <v>3853</v>
      </c>
      <c r="O31" s="142" t="s">
        <v>106</v>
      </c>
      <c r="P31" s="80">
        <v>0</v>
      </c>
      <c r="Q31" s="1" t="s">
        <v>169</v>
      </c>
      <c r="R31" s="80">
        <v>0</v>
      </c>
      <c r="S31" s="1" t="s">
        <v>163</v>
      </c>
      <c r="T31" s="143">
        <v>0</v>
      </c>
      <c r="U31" s="1" t="s">
        <v>163</v>
      </c>
      <c r="V31" s="142">
        <v>0</v>
      </c>
      <c r="W31" s="142">
        <v>0</v>
      </c>
      <c r="X31" s="142">
        <v>0</v>
      </c>
      <c r="Y31" s="14" t="s">
        <v>3852</v>
      </c>
      <c r="Z31" s="142" t="s">
        <v>106</v>
      </c>
      <c r="AA31" s="80">
        <v>0.8</v>
      </c>
      <c r="AB31" s="1" t="s">
        <v>506</v>
      </c>
      <c r="AC31" s="80">
        <v>0.8</v>
      </c>
      <c r="AD31" s="1" t="s">
        <v>506</v>
      </c>
      <c r="AE31" s="143">
        <v>0.8</v>
      </c>
      <c r="AF31" s="1" t="s">
        <v>1077</v>
      </c>
      <c r="AG31" s="142">
        <v>3600</v>
      </c>
      <c r="AH31" s="142">
        <v>450</v>
      </c>
      <c r="AI31" s="142">
        <v>459.5</v>
      </c>
      <c r="AJ31" s="14" t="s">
        <v>3851</v>
      </c>
      <c r="AK31" s="142" t="s">
        <v>106</v>
      </c>
      <c r="AL31" s="80">
        <v>0.8</v>
      </c>
      <c r="AM31" s="1" t="s">
        <v>506</v>
      </c>
      <c r="AN31" s="80">
        <v>0.8</v>
      </c>
      <c r="AO31" s="1" t="s">
        <v>506</v>
      </c>
      <c r="AP31" s="143">
        <v>0.8</v>
      </c>
      <c r="AQ31" s="1" t="s">
        <v>1077</v>
      </c>
      <c r="AR31" s="142">
        <v>3577</v>
      </c>
      <c r="AS31" s="142">
        <v>447.12</v>
      </c>
      <c r="AT31" s="142">
        <v>432.5</v>
      </c>
      <c r="AU31" s="4" t="s">
        <v>102</v>
      </c>
    </row>
    <row r="32" spans="1:47" x14ac:dyDescent="0.2">
      <c r="A32" s="174"/>
      <c r="B32" s="9" t="s">
        <v>36</v>
      </c>
      <c r="C32" s="1" t="s">
        <v>3850</v>
      </c>
      <c r="D32" s="142" t="s">
        <v>106</v>
      </c>
      <c r="E32" s="80">
        <v>0</v>
      </c>
      <c r="F32" s="1" t="s">
        <v>163</v>
      </c>
      <c r="G32" s="1" t="s">
        <v>164</v>
      </c>
      <c r="H32" s="1" t="s">
        <v>164</v>
      </c>
      <c r="I32" s="143">
        <v>0</v>
      </c>
      <c r="J32" s="1" t="s">
        <v>163</v>
      </c>
      <c r="K32" s="142">
        <v>0</v>
      </c>
      <c r="L32" s="142">
        <v>0</v>
      </c>
      <c r="M32" s="142">
        <v>0</v>
      </c>
      <c r="N32" s="14" t="s">
        <v>3849</v>
      </c>
      <c r="O32" s="142" t="s">
        <v>106</v>
      </c>
      <c r="P32" s="80">
        <v>0</v>
      </c>
      <c r="Q32" s="1" t="s">
        <v>163</v>
      </c>
      <c r="R32" s="1" t="s">
        <v>164</v>
      </c>
      <c r="S32" s="1" t="s">
        <v>164</v>
      </c>
      <c r="T32" s="143">
        <v>0</v>
      </c>
      <c r="U32" s="1" t="s">
        <v>163</v>
      </c>
      <c r="V32" s="142">
        <v>0</v>
      </c>
      <c r="W32" s="142">
        <v>0</v>
      </c>
      <c r="X32" s="142">
        <v>0</v>
      </c>
      <c r="Y32" s="14" t="s">
        <v>3848</v>
      </c>
      <c r="Z32" s="142" t="s">
        <v>106</v>
      </c>
      <c r="AA32" s="80">
        <v>0.9</v>
      </c>
      <c r="AB32" s="1" t="s">
        <v>951</v>
      </c>
      <c r="AC32" s="1" t="s">
        <v>164</v>
      </c>
      <c r="AD32" s="1" t="s">
        <v>164</v>
      </c>
      <c r="AE32" s="143">
        <v>0.9</v>
      </c>
      <c r="AF32" s="1" t="s">
        <v>951</v>
      </c>
      <c r="AG32" s="142">
        <v>4031</v>
      </c>
      <c r="AH32" s="142">
        <v>447.89</v>
      </c>
      <c r="AI32" s="142">
        <v>448</v>
      </c>
      <c r="AJ32" s="14" t="s">
        <v>3847</v>
      </c>
      <c r="AK32" s="142" t="s">
        <v>106</v>
      </c>
      <c r="AL32" s="80">
        <v>0.9</v>
      </c>
      <c r="AM32" s="1" t="s">
        <v>951</v>
      </c>
      <c r="AN32" s="1" t="s">
        <v>164</v>
      </c>
      <c r="AO32" s="1" t="s">
        <v>164</v>
      </c>
      <c r="AP32" s="143">
        <v>0.9</v>
      </c>
      <c r="AQ32" s="1" t="s">
        <v>951</v>
      </c>
      <c r="AR32" s="142">
        <v>3871</v>
      </c>
      <c r="AS32" s="142">
        <v>430.11</v>
      </c>
      <c r="AT32" s="142">
        <v>453</v>
      </c>
      <c r="AU32" s="4" t="s">
        <v>102</v>
      </c>
    </row>
    <row r="33" spans="1:47" x14ac:dyDescent="0.2">
      <c r="A33" s="174"/>
      <c r="B33" s="9" t="s">
        <v>37</v>
      </c>
      <c r="C33" s="1" t="s">
        <v>3846</v>
      </c>
      <c r="D33" s="142" t="s">
        <v>106</v>
      </c>
      <c r="E33" s="80">
        <v>0</v>
      </c>
      <c r="F33" s="1" t="s">
        <v>169</v>
      </c>
      <c r="G33" s="80">
        <v>0</v>
      </c>
      <c r="H33" s="1" t="s">
        <v>163</v>
      </c>
      <c r="I33" s="143">
        <v>0</v>
      </c>
      <c r="J33" s="1" t="s">
        <v>163</v>
      </c>
      <c r="K33" s="142">
        <v>0</v>
      </c>
      <c r="L33" s="142">
        <v>0</v>
      </c>
      <c r="M33" s="142">
        <v>0</v>
      </c>
      <c r="N33" s="14" t="s">
        <v>3845</v>
      </c>
      <c r="O33" s="142" t="s">
        <v>106</v>
      </c>
      <c r="P33" s="80">
        <v>0</v>
      </c>
      <c r="Q33" s="1" t="s">
        <v>169</v>
      </c>
      <c r="R33" s="80">
        <v>0</v>
      </c>
      <c r="S33" s="1" t="s">
        <v>163</v>
      </c>
      <c r="T33" s="143">
        <v>0</v>
      </c>
      <c r="U33" s="1" t="s">
        <v>163</v>
      </c>
      <c r="V33" s="142">
        <v>0</v>
      </c>
      <c r="W33" s="142">
        <v>0</v>
      </c>
      <c r="X33" s="142">
        <v>0</v>
      </c>
      <c r="Y33" s="14" t="s">
        <v>3844</v>
      </c>
      <c r="Z33" s="142" t="s">
        <v>106</v>
      </c>
      <c r="AA33" s="80">
        <v>0.2</v>
      </c>
      <c r="AB33" s="1" t="s">
        <v>1049</v>
      </c>
      <c r="AC33" s="80">
        <v>0</v>
      </c>
      <c r="AD33" s="1" t="s">
        <v>218</v>
      </c>
      <c r="AE33" s="143">
        <v>0.1</v>
      </c>
      <c r="AF33" s="1" t="s">
        <v>1235</v>
      </c>
      <c r="AG33" s="142">
        <v>362</v>
      </c>
      <c r="AH33" s="142">
        <v>362</v>
      </c>
      <c r="AI33" s="142">
        <v>362</v>
      </c>
      <c r="AJ33" s="14" t="s">
        <v>3843</v>
      </c>
      <c r="AK33" s="142" t="s">
        <v>106</v>
      </c>
      <c r="AL33" s="80">
        <v>0.2</v>
      </c>
      <c r="AM33" s="1" t="s">
        <v>1049</v>
      </c>
      <c r="AN33" s="80">
        <v>0</v>
      </c>
      <c r="AO33" s="1" t="s">
        <v>218</v>
      </c>
      <c r="AP33" s="143">
        <v>0.1</v>
      </c>
      <c r="AQ33" s="1" t="s">
        <v>1235</v>
      </c>
      <c r="AR33" s="142">
        <v>348</v>
      </c>
      <c r="AS33" s="142">
        <v>348</v>
      </c>
      <c r="AT33" s="142">
        <v>348</v>
      </c>
      <c r="AU33" s="4" t="s">
        <v>102</v>
      </c>
    </row>
    <row r="34" spans="1:47" x14ac:dyDescent="0.2">
      <c r="A34" s="174"/>
      <c r="B34" s="9" t="s">
        <v>38</v>
      </c>
      <c r="C34" s="1" t="s">
        <v>3842</v>
      </c>
      <c r="D34" s="142" t="s">
        <v>106</v>
      </c>
      <c r="E34" s="80">
        <v>1</v>
      </c>
      <c r="F34" s="1" t="s">
        <v>452</v>
      </c>
      <c r="G34" s="1" t="s">
        <v>164</v>
      </c>
      <c r="H34" s="1" t="s">
        <v>164</v>
      </c>
      <c r="I34" s="143">
        <v>1</v>
      </c>
      <c r="J34" s="1" t="s">
        <v>452</v>
      </c>
      <c r="K34" s="142">
        <v>317</v>
      </c>
      <c r="L34" s="142">
        <v>317</v>
      </c>
      <c r="M34" s="142">
        <v>317</v>
      </c>
      <c r="N34" s="14" t="s">
        <v>3841</v>
      </c>
      <c r="O34" s="142" t="s">
        <v>106</v>
      </c>
      <c r="P34" s="80">
        <v>1</v>
      </c>
      <c r="Q34" s="1" t="s">
        <v>452</v>
      </c>
      <c r="R34" s="1" t="s">
        <v>164</v>
      </c>
      <c r="S34" s="1" t="s">
        <v>164</v>
      </c>
      <c r="T34" s="143">
        <v>1</v>
      </c>
      <c r="U34" s="1" t="s">
        <v>452</v>
      </c>
      <c r="V34" s="142">
        <v>272</v>
      </c>
      <c r="W34" s="142">
        <v>272</v>
      </c>
      <c r="X34" s="142">
        <v>272</v>
      </c>
      <c r="Y34" s="14" t="s">
        <v>3840</v>
      </c>
      <c r="Z34" s="142" t="s">
        <v>106</v>
      </c>
      <c r="AA34" s="80">
        <v>1</v>
      </c>
      <c r="AB34" s="1" t="s">
        <v>529</v>
      </c>
      <c r="AC34" s="1" t="s">
        <v>164</v>
      </c>
      <c r="AD34" s="1" t="s">
        <v>164</v>
      </c>
      <c r="AE34" s="143">
        <v>1</v>
      </c>
      <c r="AF34" s="1" t="s">
        <v>529</v>
      </c>
      <c r="AG34" s="142">
        <v>3507</v>
      </c>
      <c r="AH34" s="142">
        <v>350.7</v>
      </c>
      <c r="AI34" s="142">
        <v>349.5</v>
      </c>
      <c r="AJ34" s="14" t="s">
        <v>3839</v>
      </c>
      <c r="AK34" s="142" t="s">
        <v>106</v>
      </c>
      <c r="AL34" s="80">
        <v>1</v>
      </c>
      <c r="AM34" s="1" t="s">
        <v>529</v>
      </c>
      <c r="AN34" s="1" t="s">
        <v>164</v>
      </c>
      <c r="AO34" s="1" t="s">
        <v>164</v>
      </c>
      <c r="AP34" s="143">
        <v>1</v>
      </c>
      <c r="AQ34" s="1" t="s">
        <v>529</v>
      </c>
      <c r="AR34" s="142">
        <v>3396</v>
      </c>
      <c r="AS34" s="142">
        <v>339.6</v>
      </c>
      <c r="AT34" s="142">
        <v>346.5</v>
      </c>
      <c r="AU34" s="4" t="s">
        <v>102</v>
      </c>
    </row>
    <row r="35" spans="1:47" x14ac:dyDescent="0.2">
      <c r="A35" s="174"/>
      <c r="B35" s="9" t="s">
        <v>39</v>
      </c>
      <c r="C35" s="1" t="s">
        <v>3838</v>
      </c>
      <c r="D35" s="142" t="s">
        <v>106</v>
      </c>
      <c r="E35" s="80">
        <v>0</v>
      </c>
      <c r="F35" s="1" t="s">
        <v>169</v>
      </c>
      <c r="G35" s="80">
        <v>0</v>
      </c>
      <c r="H35" s="1" t="s">
        <v>163</v>
      </c>
      <c r="I35" s="143">
        <v>0</v>
      </c>
      <c r="J35" s="1" t="s">
        <v>163</v>
      </c>
      <c r="K35" s="142">
        <v>0</v>
      </c>
      <c r="L35" s="142">
        <v>0</v>
      </c>
      <c r="M35" s="142">
        <v>0</v>
      </c>
      <c r="N35" s="14" t="s">
        <v>3837</v>
      </c>
      <c r="O35" s="142" t="s">
        <v>106</v>
      </c>
      <c r="P35" s="80">
        <v>0</v>
      </c>
      <c r="Q35" s="1" t="s">
        <v>169</v>
      </c>
      <c r="R35" s="80">
        <v>0</v>
      </c>
      <c r="S35" s="1" t="s">
        <v>163</v>
      </c>
      <c r="T35" s="143">
        <v>0</v>
      </c>
      <c r="U35" s="1" t="s">
        <v>163</v>
      </c>
      <c r="V35" s="142">
        <v>0</v>
      </c>
      <c r="W35" s="142">
        <v>0</v>
      </c>
      <c r="X35" s="142">
        <v>0</v>
      </c>
      <c r="Y35" s="14" t="s">
        <v>3836</v>
      </c>
      <c r="Z35" s="142" t="s">
        <v>106</v>
      </c>
      <c r="AA35" s="80">
        <v>0</v>
      </c>
      <c r="AB35" s="1" t="s">
        <v>218</v>
      </c>
      <c r="AC35" s="80">
        <v>1</v>
      </c>
      <c r="AD35" s="1" t="s">
        <v>516</v>
      </c>
      <c r="AE35" s="143">
        <v>0.5</v>
      </c>
      <c r="AF35" s="1" t="s">
        <v>511</v>
      </c>
      <c r="AG35" s="142">
        <v>1788</v>
      </c>
      <c r="AH35" s="142">
        <v>357.6</v>
      </c>
      <c r="AI35" s="142">
        <v>367</v>
      </c>
      <c r="AJ35" s="14" t="s">
        <v>3835</v>
      </c>
      <c r="AK35" s="142" t="s">
        <v>106</v>
      </c>
      <c r="AL35" s="80">
        <v>0</v>
      </c>
      <c r="AM35" s="1" t="s">
        <v>218</v>
      </c>
      <c r="AN35" s="80">
        <v>1</v>
      </c>
      <c r="AO35" s="1" t="s">
        <v>516</v>
      </c>
      <c r="AP35" s="143">
        <v>0.5</v>
      </c>
      <c r="AQ35" s="1" t="s">
        <v>511</v>
      </c>
      <c r="AR35" s="142">
        <v>1779</v>
      </c>
      <c r="AS35" s="142">
        <v>355.8</v>
      </c>
      <c r="AT35" s="142">
        <v>361</v>
      </c>
      <c r="AU35" s="4" t="s">
        <v>102</v>
      </c>
    </row>
    <row r="36" spans="1:47" x14ac:dyDescent="0.2">
      <c r="A36" s="174"/>
      <c r="B36" s="9" t="s">
        <v>40</v>
      </c>
      <c r="C36" s="1" t="s">
        <v>3834</v>
      </c>
      <c r="D36" s="142" t="s">
        <v>106</v>
      </c>
      <c r="E36" s="80">
        <v>0</v>
      </c>
      <c r="F36" s="1" t="s">
        <v>169</v>
      </c>
      <c r="G36" s="80">
        <v>0</v>
      </c>
      <c r="H36" s="1" t="s">
        <v>163</v>
      </c>
      <c r="I36" s="143">
        <v>0</v>
      </c>
      <c r="J36" s="1" t="s">
        <v>163</v>
      </c>
      <c r="K36" s="142">
        <v>0</v>
      </c>
      <c r="L36" s="142">
        <v>0</v>
      </c>
      <c r="M36" s="142">
        <v>0</v>
      </c>
      <c r="N36" s="14" t="s">
        <v>3833</v>
      </c>
      <c r="O36" s="142" t="s">
        <v>106</v>
      </c>
      <c r="P36" s="80">
        <v>0</v>
      </c>
      <c r="Q36" s="1" t="s">
        <v>169</v>
      </c>
      <c r="R36" s="80">
        <v>0</v>
      </c>
      <c r="S36" s="1" t="s">
        <v>163</v>
      </c>
      <c r="T36" s="143">
        <v>0</v>
      </c>
      <c r="U36" s="1" t="s">
        <v>163</v>
      </c>
      <c r="V36" s="142">
        <v>0</v>
      </c>
      <c r="W36" s="142">
        <v>0</v>
      </c>
      <c r="X36" s="142">
        <v>0</v>
      </c>
      <c r="Y36" s="14" t="s">
        <v>3832</v>
      </c>
      <c r="Z36" s="142" t="s">
        <v>106</v>
      </c>
      <c r="AA36" s="80">
        <v>0</v>
      </c>
      <c r="AB36" s="1" t="s">
        <v>218</v>
      </c>
      <c r="AC36" s="80">
        <v>1</v>
      </c>
      <c r="AD36" s="1" t="s">
        <v>516</v>
      </c>
      <c r="AE36" s="143">
        <v>0.5</v>
      </c>
      <c r="AF36" s="1" t="s">
        <v>511</v>
      </c>
      <c r="AG36" s="142">
        <v>1976</v>
      </c>
      <c r="AH36" s="142">
        <v>395.2</v>
      </c>
      <c r="AI36" s="142">
        <v>408</v>
      </c>
      <c r="AJ36" s="14" t="s">
        <v>3831</v>
      </c>
      <c r="AK36" s="142" t="s">
        <v>106</v>
      </c>
      <c r="AL36" s="80">
        <v>0</v>
      </c>
      <c r="AM36" s="1" t="s">
        <v>218</v>
      </c>
      <c r="AN36" s="80">
        <v>1</v>
      </c>
      <c r="AO36" s="1" t="s">
        <v>516</v>
      </c>
      <c r="AP36" s="143">
        <v>0.5</v>
      </c>
      <c r="AQ36" s="1" t="s">
        <v>511</v>
      </c>
      <c r="AR36" s="142">
        <v>2096</v>
      </c>
      <c r="AS36" s="142">
        <v>419.2</v>
      </c>
      <c r="AT36" s="142">
        <v>430</v>
      </c>
    </row>
    <row r="37" spans="1:47" x14ac:dyDescent="0.2">
      <c r="A37" s="174"/>
      <c r="B37" s="9" t="s">
        <v>41</v>
      </c>
      <c r="C37" s="1" t="s">
        <v>3830</v>
      </c>
      <c r="D37" s="142" t="s">
        <v>106</v>
      </c>
      <c r="E37" s="80">
        <v>0</v>
      </c>
      <c r="F37" s="1" t="s">
        <v>163</v>
      </c>
      <c r="G37" s="1" t="s">
        <v>164</v>
      </c>
      <c r="H37" s="1" t="s">
        <v>164</v>
      </c>
      <c r="I37" s="143">
        <v>0</v>
      </c>
      <c r="J37" s="1" t="s">
        <v>163</v>
      </c>
      <c r="K37" s="142">
        <v>0</v>
      </c>
      <c r="L37" s="142">
        <v>0</v>
      </c>
      <c r="M37" s="142">
        <v>0</v>
      </c>
      <c r="N37" s="14" t="s">
        <v>3829</v>
      </c>
      <c r="O37" s="142" t="s">
        <v>106</v>
      </c>
      <c r="P37" s="80">
        <v>0</v>
      </c>
      <c r="Q37" s="1" t="s">
        <v>163</v>
      </c>
      <c r="R37" s="1" t="s">
        <v>164</v>
      </c>
      <c r="S37" s="1" t="s">
        <v>164</v>
      </c>
      <c r="T37" s="143">
        <v>0</v>
      </c>
      <c r="U37" s="1" t="s">
        <v>163</v>
      </c>
      <c r="V37" s="142">
        <v>0</v>
      </c>
      <c r="W37" s="142">
        <v>0</v>
      </c>
      <c r="X37" s="142">
        <v>0</v>
      </c>
      <c r="Y37" s="14" t="s">
        <v>3828</v>
      </c>
      <c r="Z37" s="142" t="s">
        <v>106</v>
      </c>
      <c r="AA37" s="80">
        <v>0</v>
      </c>
      <c r="AB37" s="1" t="s">
        <v>213</v>
      </c>
      <c r="AC37" s="1" t="s">
        <v>164</v>
      </c>
      <c r="AD37" s="1" t="s">
        <v>164</v>
      </c>
      <c r="AE37" s="143">
        <v>0</v>
      </c>
      <c r="AF37" s="1" t="s">
        <v>213</v>
      </c>
      <c r="AG37" s="142">
        <v>0</v>
      </c>
      <c r="AH37" s="142">
        <v>0</v>
      </c>
      <c r="AI37" s="142">
        <v>0</v>
      </c>
      <c r="AJ37" s="14" t="s">
        <v>3827</v>
      </c>
      <c r="AK37" s="142" t="s">
        <v>106</v>
      </c>
      <c r="AL37" s="80">
        <v>0</v>
      </c>
      <c r="AM37" s="1" t="s">
        <v>213</v>
      </c>
      <c r="AN37" s="1" t="s">
        <v>164</v>
      </c>
      <c r="AO37" s="1" t="s">
        <v>164</v>
      </c>
      <c r="AP37" s="143">
        <v>0</v>
      </c>
      <c r="AQ37" s="1" t="s">
        <v>213</v>
      </c>
      <c r="AR37" s="142">
        <v>0</v>
      </c>
      <c r="AS37" s="142">
        <v>0</v>
      </c>
      <c r="AT37" s="142">
        <v>0</v>
      </c>
    </row>
    <row r="38" spans="1:47" x14ac:dyDescent="0.2">
      <c r="A38" s="174"/>
      <c r="B38" s="9" t="s">
        <v>42</v>
      </c>
      <c r="C38" s="1" t="s">
        <v>3826</v>
      </c>
      <c r="D38" s="142" t="s">
        <v>106</v>
      </c>
      <c r="E38" s="80">
        <v>0</v>
      </c>
      <c r="F38" s="1" t="s">
        <v>169</v>
      </c>
      <c r="G38" s="80">
        <v>0</v>
      </c>
      <c r="H38" s="1" t="s">
        <v>163</v>
      </c>
      <c r="I38" s="143">
        <v>0</v>
      </c>
      <c r="J38" s="1" t="s">
        <v>163</v>
      </c>
      <c r="K38" s="142">
        <v>0</v>
      </c>
      <c r="L38" s="142">
        <v>0</v>
      </c>
      <c r="M38" s="142">
        <v>0</v>
      </c>
      <c r="N38" s="14" t="s">
        <v>3825</v>
      </c>
      <c r="O38" s="142" t="s">
        <v>106</v>
      </c>
      <c r="P38" s="80">
        <v>0</v>
      </c>
      <c r="Q38" s="1" t="s">
        <v>169</v>
      </c>
      <c r="R38" s="80">
        <v>0</v>
      </c>
      <c r="S38" s="1" t="s">
        <v>163</v>
      </c>
      <c r="T38" s="143">
        <v>0</v>
      </c>
      <c r="U38" s="1" t="s">
        <v>163</v>
      </c>
      <c r="V38" s="142">
        <v>0</v>
      </c>
      <c r="W38" s="142">
        <v>0</v>
      </c>
      <c r="X38" s="142">
        <v>0</v>
      </c>
      <c r="Y38" s="14" t="s">
        <v>3824</v>
      </c>
      <c r="Z38" s="142" t="s">
        <v>106</v>
      </c>
      <c r="AA38" s="80">
        <v>1</v>
      </c>
      <c r="AB38" s="1" t="s">
        <v>516</v>
      </c>
      <c r="AC38" s="80">
        <v>1</v>
      </c>
      <c r="AD38" s="1" t="s">
        <v>516</v>
      </c>
      <c r="AE38" s="143">
        <v>1</v>
      </c>
      <c r="AF38" s="1" t="s">
        <v>529</v>
      </c>
      <c r="AG38" s="142">
        <v>3979</v>
      </c>
      <c r="AH38" s="142">
        <v>397.9</v>
      </c>
      <c r="AI38" s="142">
        <v>392.5</v>
      </c>
      <c r="AJ38" s="14" t="s">
        <v>3823</v>
      </c>
      <c r="AK38" s="142" t="s">
        <v>106</v>
      </c>
      <c r="AL38" s="80">
        <v>1</v>
      </c>
      <c r="AM38" s="1" t="s">
        <v>516</v>
      </c>
      <c r="AN38" s="80">
        <v>1</v>
      </c>
      <c r="AO38" s="1" t="s">
        <v>516</v>
      </c>
      <c r="AP38" s="143">
        <v>1</v>
      </c>
      <c r="AQ38" s="1" t="s">
        <v>529</v>
      </c>
      <c r="AR38" s="142">
        <v>3579</v>
      </c>
      <c r="AS38" s="142">
        <v>357.9</v>
      </c>
      <c r="AT38" s="142">
        <v>368.5</v>
      </c>
      <c r="AU38" s="4" t="s">
        <v>97</v>
      </c>
    </row>
    <row r="39" spans="1:47" x14ac:dyDescent="0.2">
      <c r="A39" s="174"/>
      <c r="B39" s="9" t="s">
        <v>43</v>
      </c>
      <c r="C39" s="1" t="s">
        <v>3822</v>
      </c>
      <c r="D39" s="142" t="s">
        <v>106</v>
      </c>
      <c r="E39" s="80">
        <v>1</v>
      </c>
      <c r="F39" s="1" t="s">
        <v>452</v>
      </c>
      <c r="G39" s="1" t="s">
        <v>164</v>
      </c>
      <c r="H39" s="1" t="s">
        <v>164</v>
      </c>
      <c r="I39" s="143">
        <v>1</v>
      </c>
      <c r="J39" s="1" t="s">
        <v>452</v>
      </c>
      <c r="K39" s="142">
        <v>393</v>
      </c>
      <c r="L39" s="142">
        <v>393</v>
      </c>
      <c r="M39" s="142">
        <v>393</v>
      </c>
      <c r="N39" s="14" t="s">
        <v>3821</v>
      </c>
      <c r="O39" s="142" t="s">
        <v>106</v>
      </c>
      <c r="P39" s="80">
        <v>1</v>
      </c>
      <c r="Q39" s="1" t="s">
        <v>452</v>
      </c>
      <c r="R39" s="1" t="s">
        <v>164</v>
      </c>
      <c r="S39" s="1" t="s">
        <v>164</v>
      </c>
      <c r="T39" s="143">
        <v>1</v>
      </c>
      <c r="U39" s="1" t="s">
        <v>452</v>
      </c>
      <c r="V39" s="142">
        <v>282</v>
      </c>
      <c r="W39" s="142">
        <v>282</v>
      </c>
      <c r="X39" s="142">
        <v>282</v>
      </c>
      <c r="Y39" s="14" t="s">
        <v>3820</v>
      </c>
      <c r="Z39" s="142" t="s">
        <v>106</v>
      </c>
      <c r="AA39" s="80">
        <v>1</v>
      </c>
      <c r="AB39" s="1" t="s">
        <v>529</v>
      </c>
      <c r="AC39" s="1" t="s">
        <v>164</v>
      </c>
      <c r="AD39" s="1" t="s">
        <v>164</v>
      </c>
      <c r="AE39" s="143">
        <v>1</v>
      </c>
      <c r="AF39" s="1" t="s">
        <v>529</v>
      </c>
      <c r="AG39" s="142">
        <v>3740</v>
      </c>
      <c r="AH39" s="142">
        <v>374</v>
      </c>
      <c r="AI39" s="142">
        <v>358.5</v>
      </c>
      <c r="AJ39" s="14" t="s">
        <v>3819</v>
      </c>
      <c r="AK39" s="142" t="s">
        <v>106</v>
      </c>
      <c r="AL39" s="80">
        <v>1</v>
      </c>
      <c r="AM39" s="1" t="s">
        <v>529</v>
      </c>
      <c r="AN39" s="1" t="s">
        <v>164</v>
      </c>
      <c r="AO39" s="1" t="s">
        <v>164</v>
      </c>
      <c r="AP39" s="143">
        <v>1</v>
      </c>
      <c r="AQ39" s="1" t="s">
        <v>529</v>
      </c>
      <c r="AR39" s="142">
        <v>3415</v>
      </c>
      <c r="AS39" s="142">
        <v>341.5</v>
      </c>
      <c r="AT39" s="142">
        <v>353</v>
      </c>
      <c r="AU39" s="4" t="s">
        <v>97</v>
      </c>
    </row>
    <row r="40" spans="1:47" x14ac:dyDescent="0.2">
      <c r="A40" s="174"/>
      <c r="B40" s="9" t="s">
        <v>44</v>
      </c>
      <c r="C40" s="1" t="s">
        <v>3818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3817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3816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3815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4"/>
      <c r="B41" s="9" t="s">
        <v>45</v>
      </c>
      <c r="C41" s="1" t="s">
        <v>3814</v>
      </c>
      <c r="D41" s="142" t="s">
        <v>106</v>
      </c>
      <c r="E41" s="80">
        <v>1</v>
      </c>
      <c r="F41" s="1" t="s">
        <v>452</v>
      </c>
      <c r="G41" s="1" t="s">
        <v>164</v>
      </c>
      <c r="H41" s="1" t="s">
        <v>164</v>
      </c>
      <c r="I41" s="143">
        <v>1</v>
      </c>
      <c r="J41" s="1" t="s">
        <v>452</v>
      </c>
      <c r="K41" s="142">
        <v>1205</v>
      </c>
      <c r="L41" s="142">
        <v>1205</v>
      </c>
      <c r="M41" s="142">
        <v>1205</v>
      </c>
      <c r="N41" s="14" t="s">
        <v>3813</v>
      </c>
      <c r="O41" s="142" t="s">
        <v>106</v>
      </c>
      <c r="P41" s="80">
        <v>1</v>
      </c>
      <c r="Q41" s="1" t="s">
        <v>1280</v>
      </c>
      <c r="R41" s="1" t="s">
        <v>164</v>
      </c>
      <c r="S41" s="1" t="s">
        <v>164</v>
      </c>
      <c r="T41" s="143">
        <v>1</v>
      </c>
      <c r="U41" s="1" t="s">
        <v>1280</v>
      </c>
      <c r="V41" s="142">
        <v>4958</v>
      </c>
      <c r="W41" s="142">
        <v>1239.5</v>
      </c>
      <c r="X41" s="142">
        <v>1242.5</v>
      </c>
      <c r="Y41" s="14" t="s">
        <v>3812</v>
      </c>
      <c r="Z41" s="142" t="s">
        <v>106</v>
      </c>
      <c r="AA41" s="80">
        <v>1</v>
      </c>
      <c r="AB41" s="1" t="s">
        <v>529</v>
      </c>
      <c r="AC41" s="1" t="s">
        <v>164</v>
      </c>
      <c r="AD41" s="1" t="s">
        <v>164</v>
      </c>
      <c r="AE41" s="143">
        <v>1</v>
      </c>
      <c r="AF41" s="1" t="s">
        <v>529</v>
      </c>
      <c r="AG41" s="142">
        <v>10376</v>
      </c>
      <c r="AH41" s="142">
        <v>1037.5999999999999</v>
      </c>
      <c r="AI41" s="142">
        <v>1044</v>
      </c>
      <c r="AJ41" s="14" t="s">
        <v>3811</v>
      </c>
      <c r="AK41" s="142" t="s">
        <v>106</v>
      </c>
      <c r="AL41" s="80">
        <v>1</v>
      </c>
      <c r="AM41" s="1" t="s">
        <v>1564</v>
      </c>
      <c r="AN41" s="1" t="s">
        <v>164</v>
      </c>
      <c r="AO41" s="1" t="s">
        <v>164</v>
      </c>
      <c r="AP41" s="143">
        <v>1</v>
      </c>
      <c r="AQ41" s="1" t="s">
        <v>1564</v>
      </c>
      <c r="AR41" s="142">
        <v>41661</v>
      </c>
      <c r="AS41" s="142">
        <v>1041.53</v>
      </c>
      <c r="AT41" s="142">
        <v>1038.5</v>
      </c>
      <c r="AU41" s="4" t="s">
        <v>94</v>
      </c>
    </row>
    <row r="42" spans="1:47" x14ac:dyDescent="0.2">
      <c r="A42" s="174"/>
      <c r="B42" s="9" t="s">
        <v>46</v>
      </c>
      <c r="C42" s="1" t="s">
        <v>3810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3809</v>
      </c>
      <c r="O42" s="142" t="s">
        <v>106</v>
      </c>
      <c r="P42" s="80">
        <v>0</v>
      </c>
      <c r="Q42" s="1" t="s">
        <v>939</v>
      </c>
      <c r="R42" s="80">
        <v>0</v>
      </c>
      <c r="S42" s="1" t="s">
        <v>163</v>
      </c>
      <c r="T42" s="143">
        <v>0</v>
      </c>
      <c r="U42" s="1" t="s">
        <v>1161</v>
      </c>
      <c r="V42" s="142">
        <v>0</v>
      </c>
      <c r="W42" s="142">
        <v>0</v>
      </c>
      <c r="X42" s="142">
        <v>0</v>
      </c>
      <c r="Y42" s="14" t="s">
        <v>3808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1860</v>
      </c>
      <c r="AH42" s="142">
        <v>372</v>
      </c>
      <c r="AI42" s="142">
        <v>369</v>
      </c>
      <c r="AJ42" s="14" t="s">
        <v>3807</v>
      </c>
      <c r="AK42" s="142" t="s">
        <v>106</v>
      </c>
      <c r="AL42" s="80">
        <v>0.6</v>
      </c>
      <c r="AM42" s="1" t="s">
        <v>3806</v>
      </c>
      <c r="AN42" s="80">
        <v>0</v>
      </c>
      <c r="AO42" s="1" t="s">
        <v>218</v>
      </c>
      <c r="AP42" s="143">
        <v>0.5</v>
      </c>
      <c r="AQ42" s="1" t="s">
        <v>3801</v>
      </c>
      <c r="AR42" s="142">
        <v>5356</v>
      </c>
      <c r="AS42" s="142">
        <v>357.07</v>
      </c>
      <c r="AT42" s="142">
        <v>358</v>
      </c>
      <c r="AU42" s="4" t="s">
        <v>98</v>
      </c>
    </row>
    <row r="43" spans="1:47" x14ac:dyDescent="0.2">
      <c r="A43" s="174"/>
      <c r="B43" s="9" t="s">
        <v>47</v>
      </c>
      <c r="C43" s="1" t="s">
        <v>3805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3804</v>
      </c>
      <c r="O43" s="142" t="s">
        <v>106</v>
      </c>
      <c r="P43" s="80">
        <v>0</v>
      </c>
      <c r="Q43" s="1" t="s">
        <v>1161</v>
      </c>
      <c r="R43" s="1" t="s">
        <v>164</v>
      </c>
      <c r="S43" s="1" t="s">
        <v>164</v>
      </c>
      <c r="T43" s="143">
        <v>0</v>
      </c>
      <c r="U43" s="1" t="s">
        <v>1161</v>
      </c>
      <c r="V43" s="142">
        <v>0</v>
      </c>
      <c r="W43" s="142">
        <v>0</v>
      </c>
      <c r="X43" s="142">
        <v>0</v>
      </c>
      <c r="Y43" s="14" t="s">
        <v>3803</v>
      </c>
      <c r="Z43" s="142" t="s">
        <v>106</v>
      </c>
      <c r="AA43" s="80">
        <v>0.5</v>
      </c>
      <c r="AB43" s="1" t="s">
        <v>511</v>
      </c>
      <c r="AC43" s="1" t="s">
        <v>164</v>
      </c>
      <c r="AD43" s="1" t="s">
        <v>164</v>
      </c>
      <c r="AE43" s="143">
        <v>0.5</v>
      </c>
      <c r="AF43" s="1" t="s">
        <v>511</v>
      </c>
      <c r="AG43" s="142">
        <v>1864</v>
      </c>
      <c r="AH43" s="142">
        <v>372.8</v>
      </c>
      <c r="AI43" s="142">
        <v>371</v>
      </c>
      <c r="AJ43" s="14" t="s">
        <v>3802</v>
      </c>
      <c r="AK43" s="142" t="s">
        <v>106</v>
      </c>
      <c r="AL43" s="80">
        <v>0.5</v>
      </c>
      <c r="AM43" s="1" t="s">
        <v>3801</v>
      </c>
      <c r="AN43" s="1" t="s">
        <v>164</v>
      </c>
      <c r="AO43" s="1" t="s">
        <v>164</v>
      </c>
      <c r="AP43" s="143">
        <v>0.5</v>
      </c>
      <c r="AQ43" s="1" t="s">
        <v>3801</v>
      </c>
      <c r="AR43" s="142">
        <v>5439</v>
      </c>
      <c r="AS43" s="142">
        <v>362.6</v>
      </c>
      <c r="AT43" s="142">
        <v>362</v>
      </c>
      <c r="AU43" s="4" t="s">
        <v>98</v>
      </c>
    </row>
    <row r="44" spans="1:47" x14ac:dyDescent="0.2">
      <c r="A44" s="174"/>
      <c r="B44" s="9" t="s">
        <v>48</v>
      </c>
      <c r="C44" s="1" t="s">
        <v>3800</v>
      </c>
      <c r="D44" s="142" t="s">
        <v>106</v>
      </c>
      <c r="E44" s="80">
        <v>0</v>
      </c>
      <c r="F44" s="1" t="s">
        <v>169</v>
      </c>
      <c r="G44" s="80">
        <v>0</v>
      </c>
      <c r="H44" s="1" t="s">
        <v>163</v>
      </c>
      <c r="I44" s="143">
        <v>0</v>
      </c>
      <c r="J44" s="1" t="s">
        <v>163</v>
      </c>
      <c r="K44" s="142">
        <v>0</v>
      </c>
      <c r="L44" s="142">
        <v>0</v>
      </c>
      <c r="M44" s="142">
        <v>0</v>
      </c>
      <c r="N44" s="14" t="s">
        <v>3799</v>
      </c>
      <c r="O44" s="142" t="s">
        <v>106</v>
      </c>
      <c r="P44" s="80">
        <v>0</v>
      </c>
      <c r="Q44" s="1" t="s">
        <v>169</v>
      </c>
      <c r="R44" s="80">
        <v>0</v>
      </c>
      <c r="S44" s="1" t="s">
        <v>939</v>
      </c>
      <c r="T44" s="143">
        <v>0</v>
      </c>
      <c r="U44" s="1" t="s">
        <v>939</v>
      </c>
      <c r="V44" s="142">
        <v>0</v>
      </c>
      <c r="W44" s="142">
        <v>0</v>
      </c>
      <c r="X44" s="142">
        <v>0</v>
      </c>
      <c r="Y44" s="14" t="s">
        <v>3798</v>
      </c>
      <c r="Z44" s="142" t="s">
        <v>106</v>
      </c>
      <c r="AA44" s="80">
        <v>0.8</v>
      </c>
      <c r="AB44" s="1" t="s">
        <v>506</v>
      </c>
      <c r="AC44" s="80">
        <v>0.4</v>
      </c>
      <c r="AD44" s="1" t="s">
        <v>974</v>
      </c>
      <c r="AE44" s="143">
        <v>0.6</v>
      </c>
      <c r="AF44" s="1" t="s">
        <v>963</v>
      </c>
      <c r="AG44" s="142">
        <v>2354</v>
      </c>
      <c r="AH44" s="142">
        <v>392.33</v>
      </c>
      <c r="AI44" s="142">
        <v>388.5</v>
      </c>
      <c r="AJ44" s="14" t="s">
        <v>3797</v>
      </c>
      <c r="AK44" s="142" t="s">
        <v>106</v>
      </c>
      <c r="AL44" s="80">
        <v>0.8</v>
      </c>
      <c r="AM44" s="1" t="s">
        <v>1077</v>
      </c>
      <c r="AN44" s="80">
        <v>0.4</v>
      </c>
      <c r="AO44" s="1" t="s">
        <v>501</v>
      </c>
      <c r="AP44" s="143">
        <v>0.6</v>
      </c>
      <c r="AQ44" s="1" t="s">
        <v>1239</v>
      </c>
      <c r="AR44" s="142">
        <v>4622</v>
      </c>
      <c r="AS44" s="142">
        <v>385.17</v>
      </c>
      <c r="AT44" s="142">
        <v>385</v>
      </c>
    </row>
    <row r="45" spans="1:47" x14ac:dyDescent="0.2">
      <c r="A45" s="174"/>
      <c r="B45" s="9" t="s">
        <v>49</v>
      </c>
      <c r="C45" s="1" t="s">
        <v>3796</v>
      </c>
      <c r="D45" s="142" t="s">
        <v>106</v>
      </c>
      <c r="E45" s="80">
        <v>0</v>
      </c>
      <c r="F45" s="1" t="s">
        <v>163</v>
      </c>
      <c r="G45" s="1" t="s">
        <v>164</v>
      </c>
      <c r="H45" s="1" t="s">
        <v>164</v>
      </c>
      <c r="I45" s="143">
        <v>0</v>
      </c>
      <c r="J45" s="1" t="s">
        <v>163</v>
      </c>
      <c r="K45" s="142">
        <v>0</v>
      </c>
      <c r="L45" s="142">
        <v>0</v>
      </c>
      <c r="M45" s="142">
        <v>0</v>
      </c>
      <c r="N45" s="14" t="s">
        <v>3795</v>
      </c>
      <c r="O45" s="142" t="s">
        <v>106</v>
      </c>
      <c r="P45" s="80">
        <v>0</v>
      </c>
      <c r="Q45" s="1" t="s">
        <v>939</v>
      </c>
      <c r="R45" s="1" t="s">
        <v>164</v>
      </c>
      <c r="S45" s="1" t="s">
        <v>164</v>
      </c>
      <c r="T45" s="143">
        <v>0</v>
      </c>
      <c r="U45" s="1" t="s">
        <v>939</v>
      </c>
      <c r="V45" s="142">
        <v>0</v>
      </c>
      <c r="W45" s="142">
        <v>0</v>
      </c>
      <c r="X45" s="142">
        <v>0</v>
      </c>
      <c r="Y45" s="14" t="s">
        <v>3794</v>
      </c>
      <c r="Z45" s="142" t="s">
        <v>106</v>
      </c>
      <c r="AA45" s="80">
        <v>0.4</v>
      </c>
      <c r="AB45" s="1" t="s">
        <v>501</v>
      </c>
      <c r="AC45" s="1" t="s">
        <v>164</v>
      </c>
      <c r="AD45" s="1" t="s">
        <v>164</v>
      </c>
      <c r="AE45" s="143">
        <v>0.4</v>
      </c>
      <c r="AF45" s="1" t="s">
        <v>501</v>
      </c>
      <c r="AG45" s="142">
        <v>1558</v>
      </c>
      <c r="AH45" s="142">
        <v>389.5</v>
      </c>
      <c r="AI45" s="142">
        <v>388</v>
      </c>
      <c r="AJ45" s="14" t="s">
        <v>3793</v>
      </c>
      <c r="AK45" s="142" t="s">
        <v>106</v>
      </c>
      <c r="AL45" s="80">
        <v>0.4</v>
      </c>
      <c r="AM45" s="1" t="s">
        <v>3792</v>
      </c>
      <c r="AN45" s="1" t="s">
        <v>164</v>
      </c>
      <c r="AO45" s="1" t="s">
        <v>164</v>
      </c>
      <c r="AP45" s="143">
        <v>0.4</v>
      </c>
      <c r="AQ45" s="1" t="s">
        <v>3792</v>
      </c>
      <c r="AR45" s="142">
        <v>3070</v>
      </c>
      <c r="AS45" s="142">
        <v>383.75</v>
      </c>
      <c r="AT45" s="142">
        <v>383</v>
      </c>
    </row>
    <row r="46" spans="1:47" x14ac:dyDescent="0.2">
      <c r="A46" s="174"/>
      <c r="B46" s="9" t="s">
        <v>50</v>
      </c>
      <c r="C46" s="1" t="s">
        <v>3791</v>
      </c>
      <c r="D46" s="142" t="s">
        <v>106</v>
      </c>
      <c r="E46" s="80">
        <v>0</v>
      </c>
      <c r="F46" s="1" t="s">
        <v>169</v>
      </c>
      <c r="G46" s="80">
        <v>0</v>
      </c>
      <c r="H46" s="1" t="s">
        <v>163</v>
      </c>
      <c r="I46" s="143">
        <v>0</v>
      </c>
      <c r="J46" s="1" t="s">
        <v>163</v>
      </c>
      <c r="K46" s="142">
        <v>0</v>
      </c>
      <c r="L46" s="142">
        <v>0</v>
      </c>
      <c r="M46" s="142">
        <v>0</v>
      </c>
      <c r="N46" s="14" t="s">
        <v>3790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3789</v>
      </c>
      <c r="Z46" s="142" t="s">
        <v>106</v>
      </c>
      <c r="AA46" s="80">
        <v>0</v>
      </c>
      <c r="AB46" s="1" t="s">
        <v>218</v>
      </c>
      <c r="AC46" s="80">
        <v>0</v>
      </c>
      <c r="AD46" s="1" t="s">
        <v>218</v>
      </c>
      <c r="AE46" s="143">
        <v>0</v>
      </c>
      <c r="AF46" s="1" t="s">
        <v>213</v>
      </c>
      <c r="AG46" s="142">
        <v>0</v>
      </c>
      <c r="AH46" s="142">
        <v>0</v>
      </c>
      <c r="AI46" s="142">
        <v>0</v>
      </c>
      <c r="AJ46" s="14" t="s">
        <v>3788</v>
      </c>
      <c r="AK46" s="142" t="s">
        <v>106</v>
      </c>
      <c r="AL46" s="80">
        <v>0.8</v>
      </c>
      <c r="AM46" s="1" t="s">
        <v>506</v>
      </c>
      <c r="AN46" s="80">
        <v>0</v>
      </c>
      <c r="AO46" s="1" t="s">
        <v>218</v>
      </c>
      <c r="AP46" s="143">
        <v>0.4</v>
      </c>
      <c r="AQ46" s="1" t="s">
        <v>501</v>
      </c>
      <c r="AR46" s="142">
        <v>1647</v>
      </c>
      <c r="AS46" s="142">
        <v>411.75</v>
      </c>
      <c r="AT46" s="142">
        <v>411.5</v>
      </c>
    </row>
    <row r="47" spans="1:47" x14ac:dyDescent="0.2">
      <c r="A47" s="174"/>
      <c r="B47" s="9" t="s">
        <v>51</v>
      </c>
      <c r="C47" s="1" t="s">
        <v>3787</v>
      </c>
      <c r="D47" s="142" t="s">
        <v>106</v>
      </c>
      <c r="E47" s="80">
        <v>0</v>
      </c>
      <c r="F47" s="1" t="s">
        <v>163</v>
      </c>
      <c r="G47" s="1" t="s">
        <v>164</v>
      </c>
      <c r="H47" s="1" t="s">
        <v>164</v>
      </c>
      <c r="I47" s="143">
        <v>0</v>
      </c>
      <c r="J47" s="1" t="s">
        <v>163</v>
      </c>
      <c r="K47" s="142">
        <v>0</v>
      </c>
      <c r="L47" s="142">
        <v>0</v>
      </c>
      <c r="M47" s="142">
        <v>0</v>
      </c>
      <c r="N47" s="14" t="s">
        <v>3786</v>
      </c>
      <c r="O47" s="142" t="s">
        <v>106</v>
      </c>
      <c r="P47" s="80">
        <v>0</v>
      </c>
      <c r="Q47" s="1" t="s">
        <v>939</v>
      </c>
      <c r="R47" s="1" t="s">
        <v>164</v>
      </c>
      <c r="S47" s="1" t="s">
        <v>164</v>
      </c>
      <c r="T47" s="143">
        <v>0</v>
      </c>
      <c r="U47" s="1" t="s">
        <v>939</v>
      </c>
      <c r="V47" s="142">
        <v>0</v>
      </c>
      <c r="W47" s="142">
        <v>0</v>
      </c>
      <c r="X47" s="142">
        <v>0</v>
      </c>
      <c r="Y47" s="14" t="s">
        <v>3785</v>
      </c>
      <c r="Z47" s="142" t="s">
        <v>106</v>
      </c>
      <c r="AA47" s="80">
        <v>0</v>
      </c>
      <c r="AB47" s="1" t="s">
        <v>213</v>
      </c>
      <c r="AC47" s="1" t="s">
        <v>164</v>
      </c>
      <c r="AD47" s="1" t="s">
        <v>164</v>
      </c>
      <c r="AE47" s="143">
        <v>0</v>
      </c>
      <c r="AF47" s="1" t="s">
        <v>213</v>
      </c>
      <c r="AG47" s="142">
        <v>0</v>
      </c>
      <c r="AH47" s="142">
        <v>0</v>
      </c>
      <c r="AI47" s="142">
        <v>0</v>
      </c>
      <c r="AJ47" s="14" t="s">
        <v>3784</v>
      </c>
      <c r="AK47" s="142" t="s">
        <v>106</v>
      </c>
      <c r="AL47" s="80">
        <v>0.5</v>
      </c>
      <c r="AM47" s="1" t="s">
        <v>936</v>
      </c>
      <c r="AN47" s="1" t="s">
        <v>164</v>
      </c>
      <c r="AO47" s="1" t="s">
        <v>164</v>
      </c>
      <c r="AP47" s="143">
        <v>0.5</v>
      </c>
      <c r="AQ47" s="1" t="s">
        <v>936</v>
      </c>
      <c r="AR47" s="142">
        <v>3767</v>
      </c>
      <c r="AS47" s="142">
        <v>376.7</v>
      </c>
      <c r="AT47" s="142">
        <v>378</v>
      </c>
    </row>
    <row r="48" spans="1:47" x14ac:dyDescent="0.2">
      <c r="A48" s="174"/>
      <c r="B48" s="9" t="s">
        <v>52</v>
      </c>
      <c r="C48" s="1" t="s">
        <v>3783</v>
      </c>
      <c r="D48" s="142" t="s">
        <v>106</v>
      </c>
      <c r="E48" s="80">
        <v>0</v>
      </c>
      <c r="F48" s="1" t="s">
        <v>169</v>
      </c>
      <c r="G48" s="80">
        <v>0</v>
      </c>
      <c r="H48" s="1" t="s">
        <v>163</v>
      </c>
      <c r="I48" s="143">
        <v>0</v>
      </c>
      <c r="J48" s="1" t="s">
        <v>163</v>
      </c>
      <c r="K48" s="142">
        <v>0</v>
      </c>
      <c r="L48" s="142">
        <v>0</v>
      </c>
      <c r="M48" s="142">
        <v>0</v>
      </c>
      <c r="N48" s="14" t="s">
        <v>3782</v>
      </c>
      <c r="O48" s="142" t="s">
        <v>106</v>
      </c>
      <c r="P48" s="80">
        <v>0</v>
      </c>
      <c r="Q48" s="1" t="s">
        <v>169</v>
      </c>
      <c r="R48" s="80">
        <v>0</v>
      </c>
      <c r="S48" s="1" t="s">
        <v>163</v>
      </c>
      <c r="T48" s="143">
        <v>0</v>
      </c>
      <c r="U48" s="1" t="s">
        <v>163</v>
      </c>
      <c r="V48" s="142">
        <v>0</v>
      </c>
      <c r="W48" s="142">
        <v>0</v>
      </c>
      <c r="X48" s="142">
        <v>0</v>
      </c>
      <c r="Y48" s="14" t="s">
        <v>3781</v>
      </c>
      <c r="Z48" s="142" t="s">
        <v>106</v>
      </c>
      <c r="AA48" s="80">
        <v>0.4</v>
      </c>
      <c r="AB48" s="1" t="s">
        <v>974</v>
      </c>
      <c r="AC48" s="80">
        <v>0</v>
      </c>
      <c r="AD48" s="1" t="s">
        <v>218</v>
      </c>
      <c r="AE48" s="143">
        <v>0.2</v>
      </c>
      <c r="AF48" s="1" t="s">
        <v>930</v>
      </c>
      <c r="AG48" s="142">
        <v>824</v>
      </c>
      <c r="AH48" s="142">
        <v>412</v>
      </c>
      <c r="AI48" s="142">
        <v>412</v>
      </c>
      <c r="AJ48" s="14" t="s">
        <v>3780</v>
      </c>
      <c r="AK48" s="142" t="s">
        <v>106</v>
      </c>
      <c r="AL48" s="80">
        <v>0.4</v>
      </c>
      <c r="AM48" s="1" t="s">
        <v>974</v>
      </c>
      <c r="AN48" s="80">
        <v>0</v>
      </c>
      <c r="AO48" s="1" t="s">
        <v>218</v>
      </c>
      <c r="AP48" s="143">
        <v>0.2</v>
      </c>
      <c r="AQ48" s="1" t="s">
        <v>930</v>
      </c>
      <c r="AR48" s="142">
        <v>780</v>
      </c>
      <c r="AS48" s="142">
        <v>390</v>
      </c>
      <c r="AT48" s="142">
        <v>390</v>
      </c>
    </row>
    <row r="49" spans="1:47" x14ac:dyDescent="0.2">
      <c r="A49" s="174"/>
      <c r="B49" s="9" t="s">
        <v>53</v>
      </c>
      <c r="C49" s="1" t="s">
        <v>3779</v>
      </c>
      <c r="D49" s="142" t="s">
        <v>106</v>
      </c>
      <c r="E49" s="80">
        <v>0</v>
      </c>
      <c r="F49" s="1" t="s">
        <v>163</v>
      </c>
      <c r="G49" s="1" t="s">
        <v>164</v>
      </c>
      <c r="H49" s="1" t="s">
        <v>164</v>
      </c>
      <c r="I49" s="143">
        <v>0</v>
      </c>
      <c r="J49" s="1" t="s">
        <v>163</v>
      </c>
      <c r="K49" s="142">
        <v>0</v>
      </c>
      <c r="L49" s="142">
        <v>0</v>
      </c>
      <c r="M49" s="142">
        <v>0</v>
      </c>
      <c r="N49" s="14" t="s">
        <v>3778</v>
      </c>
      <c r="O49" s="142" t="s">
        <v>106</v>
      </c>
      <c r="P49" s="80">
        <v>0</v>
      </c>
      <c r="Q49" s="1" t="s">
        <v>163</v>
      </c>
      <c r="R49" s="1" t="s">
        <v>164</v>
      </c>
      <c r="S49" s="1" t="s">
        <v>164</v>
      </c>
      <c r="T49" s="143">
        <v>0</v>
      </c>
      <c r="U49" s="1" t="s">
        <v>163</v>
      </c>
      <c r="V49" s="142">
        <v>0</v>
      </c>
      <c r="W49" s="142">
        <v>0</v>
      </c>
      <c r="X49" s="142">
        <v>0</v>
      </c>
      <c r="Y49" s="14" t="s">
        <v>3777</v>
      </c>
      <c r="Z49" s="142" t="s">
        <v>106</v>
      </c>
      <c r="AA49" s="80">
        <v>0.2</v>
      </c>
      <c r="AB49" s="1" t="s">
        <v>930</v>
      </c>
      <c r="AC49" s="1" t="s">
        <v>164</v>
      </c>
      <c r="AD49" s="1" t="s">
        <v>164</v>
      </c>
      <c r="AE49" s="143">
        <v>0.2</v>
      </c>
      <c r="AF49" s="1" t="s">
        <v>930</v>
      </c>
      <c r="AG49" s="142">
        <v>792</v>
      </c>
      <c r="AH49" s="142">
        <v>396</v>
      </c>
      <c r="AI49" s="142">
        <v>396</v>
      </c>
      <c r="AJ49" s="14" t="s">
        <v>3776</v>
      </c>
      <c r="AK49" s="142" t="s">
        <v>106</v>
      </c>
      <c r="AL49" s="80">
        <v>0.2</v>
      </c>
      <c r="AM49" s="1" t="s">
        <v>930</v>
      </c>
      <c r="AN49" s="1" t="s">
        <v>164</v>
      </c>
      <c r="AO49" s="1" t="s">
        <v>164</v>
      </c>
      <c r="AP49" s="143">
        <v>0.2</v>
      </c>
      <c r="AQ49" s="1" t="s">
        <v>930</v>
      </c>
      <c r="AR49" s="142">
        <v>782</v>
      </c>
      <c r="AS49" s="142">
        <v>391</v>
      </c>
      <c r="AT49" s="142">
        <v>391</v>
      </c>
    </row>
    <row r="50" spans="1:47" x14ac:dyDescent="0.2">
      <c r="A50" s="174"/>
      <c r="B50" s="10" t="s">
        <v>54</v>
      </c>
      <c r="C50" s="1" t="s">
        <v>3775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3774</v>
      </c>
      <c r="O50" s="142" t="s">
        <v>106</v>
      </c>
      <c r="P50" s="80">
        <v>1</v>
      </c>
      <c r="Q50" s="1" t="s">
        <v>452</v>
      </c>
      <c r="R50" s="80">
        <v>0</v>
      </c>
      <c r="S50" s="1" t="s">
        <v>163</v>
      </c>
      <c r="T50" s="143">
        <v>0.5</v>
      </c>
      <c r="U50" s="1" t="s">
        <v>1108</v>
      </c>
      <c r="V50" s="142">
        <v>396</v>
      </c>
      <c r="W50" s="142">
        <v>396</v>
      </c>
      <c r="X50" s="142">
        <v>396</v>
      </c>
      <c r="Y50" s="14" t="s">
        <v>3773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3772</v>
      </c>
      <c r="AK50" s="142" t="s">
        <v>106</v>
      </c>
      <c r="AL50" s="80">
        <v>0.66669999999999996</v>
      </c>
      <c r="AM50" s="1" t="s">
        <v>1129</v>
      </c>
      <c r="AN50" s="80">
        <v>0</v>
      </c>
      <c r="AO50" s="1" t="s">
        <v>218</v>
      </c>
      <c r="AP50" s="143">
        <v>0.5</v>
      </c>
      <c r="AQ50" s="1" t="s">
        <v>936</v>
      </c>
      <c r="AR50" s="142">
        <v>3856</v>
      </c>
      <c r="AS50" s="142">
        <v>385.6</v>
      </c>
      <c r="AT50" s="142">
        <v>391.5</v>
      </c>
      <c r="AU50" s="4" t="s">
        <v>99</v>
      </c>
    </row>
    <row r="51" spans="1:47" x14ac:dyDescent="0.2">
      <c r="A51" s="174"/>
      <c r="B51" s="10" t="s">
        <v>55</v>
      </c>
      <c r="C51" s="1" t="s">
        <v>3771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3770</v>
      </c>
      <c r="O51" s="142" t="s">
        <v>106</v>
      </c>
      <c r="P51" s="80">
        <v>0.5</v>
      </c>
      <c r="Q51" s="1" t="s">
        <v>1108</v>
      </c>
      <c r="R51" s="1" t="s">
        <v>164</v>
      </c>
      <c r="S51" s="1" t="s">
        <v>164</v>
      </c>
      <c r="T51" s="143">
        <v>0.5</v>
      </c>
      <c r="U51" s="1" t="s">
        <v>1108</v>
      </c>
      <c r="V51" s="142">
        <v>388</v>
      </c>
      <c r="W51" s="142">
        <v>388</v>
      </c>
      <c r="X51" s="142">
        <v>388</v>
      </c>
      <c r="Y51" s="14" t="s">
        <v>3769</v>
      </c>
      <c r="Z51" s="142" t="s">
        <v>106</v>
      </c>
      <c r="AA51" s="80">
        <v>0</v>
      </c>
      <c r="AB51" s="1" t="s">
        <v>213</v>
      </c>
      <c r="AC51" s="1" t="s">
        <v>164</v>
      </c>
      <c r="AD51" s="1" t="s">
        <v>164</v>
      </c>
      <c r="AE51" s="143">
        <v>0</v>
      </c>
      <c r="AF51" s="1" t="s">
        <v>213</v>
      </c>
      <c r="AG51" s="142">
        <v>0</v>
      </c>
      <c r="AH51" s="142">
        <v>0</v>
      </c>
      <c r="AI51" s="142">
        <v>0</v>
      </c>
      <c r="AJ51" s="14" t="s">
        <v>3768</v>
      </c>
      <c r="AK51" s="142" t="s">
        <v>106</v>
      </c>
      <c r="AL51" s="80">
        <v>0.5</v>
      </c>
      <c r="AM51" s="1" t="s">
        <v>936</v>
      </c>
      <c r="AN51" s="1" t="s">
        <v>164</v>
      </c>
      <c r="AO51" s="1" t="s">
        <v>164</v>
      </c>
      <c r="AP51" s="143">
        <v>0.5</v>
      </c>
      <c r="AQ51" s="1" t="s">
        <v>936</v>
      </c>
      <c r="AR51" s="142">
        <v>3889</v>
      </c>
      <c r="AS51" s="142">
        <v>388.9</v>
      </c>
      <c r="AT51" s="142">
        <v>389.5</v>
      </c>
      <c r="AU51" s="4" t="s">
        <v>99</v>
      </c>
    </row>
    <row r="52" spans="1:47" x14ac:dyDescent="0.2">
      <c r="A52" s="174"/>
      <c r="B52" s="9" t="s">
        <v>56</v>
      </c>
      <c r="C52" s="1" t="s">
        <v>3767</v>
      </c>
      <c r="D52" s="142" t="s">
        <v>106</v>
      </c>
      <c r="E52" s="80">
        <v>0</v>
      </c>
      <c r="F52" s="1" t="s">
        <v>169</v>
      </c>
      <c r="G52" s="80">
        <v>0</v>
      </c>
      <c r="H52" s="1" t="s">
        <v>163</v>
      </c>
      <c r="I52" s="143">
        <v>0</v>
      </c>
      <c r="J52" s="1" t="s">
        <v>163</v>
      </c>
      <c r="K52" s="142">
        <v>0</v>
      </c>
      <c r="L52" s="142">
        <v>0</v>
      </c>
      <c r="M52" s="142">
        <v>0</v>
      </c>
      <c r="N52" s="14" t="s">
        <v>3766</v>
      </c>
      <c r="O52" s="142" t="s">
        <v>106</v>
      </c>
      <c r="P52" s="80">
        <v>0</v>
      </c>
      <c r="Q52" s="1" t="s">
        <v>169</v>
      </c>
      <c r="R52" s="80">
        <v>0</v>
      </c>
      <c r="S52" s="1" t="s">
        <v>939</v>
      </c>
      <c r="T52" s="143">
        <v>0</v>
      </c>
      <c r="U52" s="1" t="s">
        <v>939</v>
      </c>
      <c r="V52" s="142">
        <v>0</v>
      </c>
      <c r="W52" s="142">
        <v>0</v>
      </c>
      <c r="X52" s="142">
        <v>0</v>
      </c>
      <c r="Y52" s="14" t="s">
        <v>3765</v>
      </c>
      <c r="Z52" s="142" t="s">
        <v>106</v>
      </c>
      <c r="AA52" s="80">
        <v>1</v>
      </c>
      <c r="AB52" s="1" t="s">
        <v>516</v>
      </c>
      <c r="AC52" s="80">
        <v>1</v>
      </c>
      <c r="AD52" s="1" t="s">
        <v>516</v>
      </c>
      <c r="AE52" s="143">
        <v>1</v>
      </c>
      <c r="AF52" s="1" t="s">
        <v>529</v>
      </c>
      <c r="AG52" s="142">
        <v>3890</v>
      </c>
      <c r="AH52" s="142">
        <v>389</v>
      </c>
      <c r="AI52" s="142">
        <v>391</v>
      </c>
      <c r="AJ52" s="14" t="s">
        <v>3764</v>
      </c>
      <c r="AK52" s="142" t="s">
        <v>106</v>
      </c>
      <c r="AL52" s="80">
        <v>0.5</v>
      </c>
      <c r="AM52" s="1" t="s">
        <v>511</v>
      </c>
      <c r="AN52" s="80">
        <v>1</v>
      </c>
      <c r="AO52" s="1" t="s">
        <v>529</v>
      </c>
      <c r="AP52" s="143">
        <v>0.75</v>
      </c>
      <c r="AQ52" s="1" t="s">
        <v>1261</v>
      </c>
      <c r="AR52" s="142">
        <v>5429</v>
      </c>
      <c r="AS52" s="142">
        <v>361.93</v>
      </c>
      <c r="AT52" s="142">
        <v>369</v>
      </c>
    </row>
    <row r="53" spans="1:47" x14ac:dyDescent="0.2">
      <c r="A53" s="174"/>
      <c r="B53" s="9" t="s">
        <v>57</v>
      </c>
      <c r="C53" s="1" t="s">
        <v>3763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453</v>
      </c>
      <c r="L53" s="142">
        <v>453</v>
      </c>
      <c r="M53" s="142">
        <v>453</v>
      </c>
      <c r="N53" s="14" t="s">
        <v>3762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758</v>
      </c>
      <c r="W53" s="142">
        <v>379</v>
      </c>
      <c r="X53" s="142">
        <v>379</v>
      </c>
      <c r="Y53" s="14" t="s">
        <v>3761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4170</v>
      </c>
      <c r="AH53" s="142">
        <v>417</v>
      </c>
      <c r="AI53" s="142">
        <v>437.5</v>
      </c>
      <c r="AJ53" s="14" t="s">
        <v>3760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7574</v>
      </c>
      <c r="AS53" s="142">
        <v>378.7</v>
      </c>
      <c r="AT53" s="142">
        <v>370</v>
      </c>
    </row>
    <row r="54" spans="1:47" x14ac:dyDescent="0.2">
      <c r="A54" s="174"/>
      <c r="B54" s="9" t="s">
        <v>58</v>
      </c>
      <c r="C54" s="1" t="s">
        <v>3759</v>
      </c>
      <c r="D54" s="142" t="s">
        <v>106</v>
      </c>
      <c r="E54" s="80">
        <v>0</v>
      </c>
      <c r="F54" s="1" t="s">
        <v>169</v>
      </c>
      <c r="G54" s="80">
        <v>0</v>
      </c>
      <c r="H54" s="1" t="s">
        <v>163</v>
      </c>
      <c r="I54" s="143">
        <v>0</v>
      </c>
      <c r="J54" s="1" t="s">
        <v>163</v>
      </c>
      <c r="K54" s="142">
        <v>0</v>
      </c>
      <c r="L54" s="142">
        <v>0</v>
      </c>
      <c r="M54" s="142">
        <v>0</v>
      </c>
      <c r="N54" s="14" t="s">
        <v>3758</v>
      </c>
      <c r="O54" s="142" t="s">
        <v>106</v>
      </c>
      <c r="P54" s="80">
        <v>0</v>
      </c>
      <c r="Q54" s="1" t="s">
        <v>169</v>
      </c>
      <c r="R54" s="80">
        <v>0</v>
      </c>
      <c r="S54" s="1" t="s">
        <v>939</v>
      </c>
      <c r="T54" s="143">
        <v>0</v>
      </c>
      <c r="U54" s="1" t="s">
        <v>939</v>
      </c>
      <c r="V54" s="142">
        <v>0</v>
      </c>
      <c r="W54" s="142">
        <v>0</v>
      </c>
      <c r="X54" s="142">
        <v>0</v>
      </c>
      <c r="Y54" s="14" t="s">
        <v>3757</v>
      </c>
      <c r="Z54" s="142" t="s">
        <v>106</v>
      </c>
      <c r="AA54" s="80">
        <v>1</v>
      </c>
      <c r="AB54" s="1" t="s">
        <v>516</v>
      </c>
      <c r="AC54" s="80">
        <v>1</v>
      </c>
      <c r="AD54" s="1" t="s">
        <v>516</v>
      </c>
      <c r="AE54" s="143">
        <v>1</v>
      </c>
      <c r="AF54" s="1" t="s">
        <v>529</v>
      </c>
      <c r="AG54" s="142">
        <v>3953</v>
      </c>
      <c r="AH54" s="142">
        <v>395.3</v>
      </c>
      <c r="AI54" s="142">
        <v>401.5</v>
      </c>
      <c r="AJ54" s="14" t="s">
        <v>3756</v>
      </c>
      <c r="AK54" s="142" t="s">
        <v>106</v>
      </c>
      <c r="AL54" s="80">
        <v>0.6</v>
      </c>
      <c r="AM54" s="1" t="s">
        <v>963</v>
      </c>
      <c r="AN54" s="80">
        <v>0</v>
      </c>
      <c r="AO54" s="1" t="s">
        <v>213</v>
      </c>
      <c r="AP54" s="143">
        <v>0.3</v>
      </c>
      <c r="AQ54" s="1" t="s">
        <v>1111</v>
      </c>
      <c r="AR54" s="142">
        <v>2464</v>
      </c>
      <c r="AS54" s="142">
        <v>410.67</v>
      </c>
      <c r="AT54" s="142">
        <v>376.5</v>
      </c>
      <c r="AU54" s="4" t="s">
        <v>93</v>
      </c>
    </row>
    <row r="55" spans="1:47" x14ac:dyDescent="0.2">
      <c r="A55" s="174"/>
      <c r="B55" s="9" t="s">
        <v>59</v>
      </c>
      <c r="C55" s="1" t="s">
        <v>3755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404</v>
      </c>
      <c r="L55" s="142">
        <v>404</v>
      </c>
      <c r="M55" s="142">
        <v>404</v>
      </c>
      <c r="N55" s="14" t="s">
        <v>3754</v>
      </c>
      <c r="O55" s="142" t="s">
        <v>106</v>
      </c>
      <c r="P55" s="80">
        <v>1</v>
      </c>
      <c r="Q55" s="1" t="s">
        <v>1073</v>
      </c>
      <c r="R55" s="1" t="s">
        <v>164</v>
      </c>
      <c r="S55" s="1" t="s">
        <v>164</v>
      </c>
      <c r="T55" s="143">
        <v>1</v>
      </c>
      <c r="U55" s="1" t="s">
        <v>1073</v>
      </c>
      <c r="V55" s="142">
        <v>799</v>
      </c>
      <c r="W55" s="142">
        <v>399.5</v>
      </c>
      <c r="X55" s="142">
        <v>399.5</v>
      </c>
      <c r="Y55" s="14" t="s">
        <v>3753</v>
      </c>
      <c r="Z55" s="142" t="s">
        <v>106</v>
      </c>
      <c r="AA55" s="80">
        <v>1</v>
      </c>
      <c r="AB55" s="1" t="s">
        <v>529</v>
      </c>
      <c r="AC55" s="1" t="s">
        <v>164</v>
      </c>
      <c r="AD55" s="1" t="s">
        <v>164</v>
      </c>
      <c r="AE55" s="143">
        <v>1</v>
      </c>
      <c r="AF55" s="1" t="s">
        <v>529</v>
      </c>
      <c r="AG55" s="142">
        <v>3934</v>
      </c>
      <c r="AH55" s="142">
        <v>393.4</v>
      </c>
      <c r="AI55" s="142">
        <v>400</v>
      </c>
      <c r="AJ55" s="14" t="s">
        <v>3752</v>
      </c>
      <c r="AK55" s="142" t="s">
        <v>106</v>
      </c>
      <c r="AL55" s="80">
        <v>1</v>
      </c>
      <c r="AM55" s="1" t="s">
        <v>1070</v>
      </c>
      <c r="AN55" s="1" t="s">
        <v>164</v>
      </c>
      <c r="AO55" s="1" t="s">
        <v>164</v>
      </c>
      <c r="AP55" s="143">
        <v>1</v>
      </c>
      <c r="AQ55" s="1" t="s">
        <v>1070</v>
      </c>
      <c r="AR55" s="142">
        <v>8256</v>
      </c>
      <c r="AS55" s="142">
        <v>412.8</v>
      </c>
      <c r="AT55" s="142">
        <v>410</v>
      </c>
      <c r="AU55" s="4" t="s">
        <v>93</v>
      </c>
    </row>
    <row r="56" spans="1:47" x14ac:dyDescent="0.2">
      <c r="A56" s="174"/>
      <c r="B56" s="9" t="s">
        <v>62</v>
      </c>
      <c r="C56" s="1" t="s">
        <v>3751</v>
      </c>
      <c r="D56" s="142" t="s">
        <v>106</v>
      </c>
      <c r="E56" s="80">
        <v>0</v>
      </c>
      <c r="F56" s="1" t="s">
        <v>169</v>
      </c>
      <c r="G56" s="80">
        <v>1</v>
      </c>
      <c r="H56" s="1" t="s">
        <v>452</v>
      </c>
      <c r="I56" s="143">
        <v>1</v>
      </c>
      <c r="J56" s="1" t="s">
        <v>452</v>
      </c>
      <c r="K56" s="142">
        <v>364</v>
      </c>
      <c r="L56" s="142">
        <v>364</v>
      </c>
      <c r="M56" s="142">
        <v>364</v>
      </c>
      <c r="N56" s="14" t="s">
        <v>3750</v>
      </c>
      <c r="O56" s="142" t="s">
        <v>106</v>
      </c>
      <c r="P56" s="80">
        <v>1</v>
      </c>
      <c r="Q56" s="1" t="s">
        <v>452</v>
      </c>
      <c r="R56" s="80">
        <v>1</v>
      </c>
      <c r="S56" s="1" t="s">
        <v>1073</v>
      </c>
      <c r="T56" s="143">
        <v>1</v>
      </c>
      <c r="U56" s="1" t="s">
        <v>1078</v>
      </c>
      <c r="V56" s="142">
        <v>965</v>
      </c>
      <c r="W56" s="142">
        <v>321.67</v>
      </c>
      <c r="X56" s="142">
        <v>343</v>
      </c>
      <c r="Y56" s="14" t="s">
        <v>3749</v>
      </c>
      <c r="Z56" s="142" t="s">
        <v>106</v>
      </c>
      <c r="AA56" s="80">
        <v>0</v>
      </c>
      <c r="AB56" s="1" t="s">
        <v>169</v>
      </c>
      <c r="AC56" s="80">
        <v>1</v>
      </c>
      <c r="AD56" s="1" t="s">
        <v>452</v>
      </c>
      <c r="AE56" s="143">
        <v>1</v>
      </c>
      <c r="AF56" s="1" t="s">
        <v>452</v>
      </c>
      <c r="AG56" s="142">
        <v>363</v>
      </c>
      <c r="AH56" s="142">
        <v>363</v>
      </c>
      <c r="AI56" s="142">
        <v>363</v>
      </c>
      <c r="AJ56" s="14" t="s">
        <v>3748</v>
      </c>
      <c r="AK56" s="142" t="s">
        <v>106</v>
      </c>
      <c r="AL56" s="80">
        <v>1</v>
      </c>
      <c r="AM56" s="1" t="s">
        <v>452</v>
      </c>
      <c r="AN56" s="80">
        <v>1</v>
      </c>
      <c r="AO56" s="1" t="s">
        <v>1073</v>
      </c>
      <c r="AP56" s="143">
        <v>1</v>
      </c>
      <c r="AQ56" s="1" t="s">
        <v>1078</v>
      </c>
      <c r="AR56" s="142">
        <v>964</v>
      </c>
      <c r="AS56" s="142">
        <v>321.33</v>
      </c>
      <c r="AT56" s="142">
        <v>342</v>
      </c>
      <c r="AU56" s="4" t="s">
        <v>102</v>
      </c>
    </row>
    <row r="57" spans="1:47" x14ac:dyDescent="0.2">
      <c r="A57" s="174"/>
      <c r="B57" s="9" t="s">
        <v>63</v>
      </c>
      <c r="C57" s="1" t="s">
        <v>3747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423</v>
      </c>
      <c r="L57" s="142">
        <v>423</v>
      </c>
      <c r="M57" s="142">
        <v>423</v>
      </c>
      <c r="N57" s="14" t="s">
        <v>3746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1155</v>
      </c>
      <c r="W57" s="142">
        <v>385</v>
      </c>
      <c r="X57" s="142">
        <v>395</v>
      </c>
      <c r="Y57" s="14" t="s">
        <v>3745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438</v>
      </c>
      <c r="AH57" s="142">
        <v>438</v>
      </c>
      <c r="AI57" s="142">
        <v>438</v>
      </c>
      <c r="AJ57" s="14" t="s">
        <v>3744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1176</v>
      </c>
      <c r="AS57" s="142">
        <v>392</v>
      </c>
      <c r="AT57" s="142">
        <v>399</v>
      </c>
      <c r="AU57" s="4" t="s">
        <v>102</v>
      </c>
    </row>
    <row r="58" spans="1:47" x14ac:dyDescent="0.2">
      <c r="A58" s="174"/>
      <c r="B58" s="9" t="s">
        <v>64</v>
      </c>
      <c r="C58" s="1" t="s">
        <v>3743</v>
      </c>
      <c r="D58" s="142" t="s">
        <v>106</v>
      </c>
      <c r="E58" s="80">
        <v>0</v>
      </c>
      <c r="F58" s="1" t="s">
        <v>169</v>
      </c>
      <c r="G58" s="80">
        <v>0</v>
      </c>
      <c r="H58" s="1" t="s">
        <v>163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3742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3741</v>
      </c>
      <c r="Z58" s="142" t="s">
        <v>106</v>
      </c>
      <c r="AA58" s="80">
        <v>1</v>
      </c>
      <c r="AB58" s="1" t="s">
        <v>516</v>
      </c>
      <c r="AC58" s="80">
        <v>1</v>
      </c>
      <c r="AD58" s="1" t="s">
        <v>516</v>
      </c>
      <c r="AE58" s="143">
        <v>1</v>
      </c>
      <c r="AF58" s="1" t="s">
        <v>529</v>
      </c>
      <c r="AG58" s="142">
        <v>3675</v>
      </c>
      <c r="AH58" s="142">
        <v>367.5</v>
      </c>
      <c r="AI58" s="142">
        <v>376</v>
      </c>
      <c r="AJ58" s="14" t="s">
        <v>3740</v>
      </c>
      <c r="AK58" s="142" t="s">
        <v>106</v>
      </c>
      <c r="AL58" s="80">
        <v>1</v>
      </c>
      <c r="AM58" s="1" t="s">
        <v>516</v>
      </c>
      <c r="AN58" s="80">
        <v>1</v>
      </c>
      <c r="AO58" s="1" t="s">
        <v>516</v>
      </c>
      <c r="AP58" s="143">
        <v>1</v>
      </c>
      <c r="AQ58" s="1" t="s">
        <v>529</v>
      </c>
      <c r="AR58" s="142">
        <v>3611</v>
      </c>
      <c r="AS58" s="142">
        <v>361.1</v>
      </c>
      <c r="AT58" s="142">
        <v>368</v>
      </c>
      <c r="AU58" s="4" t="s">
        <v>102</v>
      </c>
    </row>
    <row r="59" spans="1:47" x14ac:dyDescent="0.2">
      <c r="A59" s="174"/>
      <c r="B59" s="9" t="s">
        <v>65</v>
      </c>
      <c r="C59" s="1" t="s">
        <v>3739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658</v>
      </c>
      <c r="L59" s="142">
        <v>658</v>
      </c>
      <c r="M59" s="142">
        <v>658</v>
      </c>
      <c r="N59" s="14" t="s">
        <v>3738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657</v>
      </c>
      <c r="W59" s="142">
        <v>657</v>
      </c>
      <c r="X59" s="142">
        <v>657</v>
      </c>
      <c r="Y59" s="14" t="s">
        <v>3737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5957</v>
      </c>
      <c r="AH59" s="142">
        <v>595.70000000000005</v>
      </c>
      <c r="AI59" s="142">
        <v>626.5</v>
      </c>
      <c r="AJ59" s="14" t="s">
        <v>3736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5978</v>
      </c>
      <c r="AS59" s="142">
        <v>597.79999999999995</v>
      </c>
      <c r="AT59" s="142">
        <v>639.5</v>
      </c>
      <c r="AU59" s="4" t="s">
        <v>102</v>
      </c>
    </row>
    <row r="60" spans="1:47" x14ac:dyDescent="0.2">
      <c r="A60" s="174"/>
      <c r="B60" s="9" t="s">
        <v>66</v>
      </c>
      <c r="C60" s="1" t="s">
        <v>3735</v>
      </c>
      <c r="D60" s="142" t="s">
        <v>106</v>
      </c>
      <c r="E60" s="80">
        <v>0</v>
      </c>
      <c r="F60" s="1" t="s">
        <v>169</v>
      </c>
      <c r="G60" s="80">
        <v>0</v>
      </c>
      <c r="H60" s="1" t="s">
        <v>163</v>
      </c>
      <c r="I60" s="143">
        <v>0</v>
      </c>
      <c r="J60" s="1" t="s">
        <v>163</v>
      </c>
      <c r="K60" s="142">
        <v>0</v>
      </c>
      <c r="L60" s="142">
        <v>0</v>
      </c>
      <c r="M60" s="142">
        <v>0</v>
      </c>
      <c r="N60" s="14" t="s">
        <v>3734</v>
      </c>
      <c r="O60" s="142" t="s">
        <v>106</v>
      </c>
      <c r="P60" s="80">
        <v>0</v>
      </c>
      <c r="Q60" s="1" t="s">
        <v>169</v>
      </c>
      <c r="R60" s="80">
        <v>0</v>
      </c>
      <c r="S60" s="1" t="s">
        <v>939</v>
      </c>
      <c r="T60" s="143">
        <v>0</v>
      </c>
      <c r="U60" s="1" t="s">
        <v>939</v>
      </c>
      <c r="V60" s="142">
        <v>0</v>
      </c>
      <c r="W60" s="142">
        <v>0</v>
      </c>
      <c r="X60" s="142">
        <v>0</v>
      </c>
      <c r="Y60" s="14" t="s">
        <v>3733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3752</v>
      </c>
      <c r="AH60" s="142">
        <v>375.2</v>
      </c>
      <c r="AI60" s="142">
        <v>372</v>
      </c>
      <c r="AJ60" s="14" t="s">
        <v>3732</v>
      </c>
      <c r="AK60" s="142" t="s">
        <v>106</v>
      </c>
      <c r="AL60" s="80">
        <v>1</v>
      </c>
      <c r="AM60" s="1" t="s">
        <v>529</v>
      </c>
      <c r="AN60" s="80">
        <v>1</v>
      </c>
      <c r="AO60" s="1" t="s">
        <v>529</v>
      </c>
      <c r="AP60" s="143">
        <v>1</v>
      </c>
      <c r="AQ60" s="1" t="s">
        <v>1070</v>
      </c>
      <c r="AR60" s="142">
        <v>7292</v>
      </c>
      <c r="AS60" s="142">
        <v>364.6</v>
      </c>
      <c r="AT60" s="142">
        <v>379.5</v>
      </c>
    </row>
    <row r="61" spans="1:47" x14ac:dyDescent="0.2">
      <c r="A61" s="174"/>
      <c r="B61" s="9" t="s">
        <v>67</v>
      </c>
      <c r="C61" s="1" t="s">
        <v>3731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399</v>
      </c>
      <c r="L61" s="142">
        <v>399</v>
      </c>
      <c r="M61" s="142">
        <v>399</v>
      </c>
      <c r="N61" s="14" t="s">
        <v>3730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776</v>
      </c>
      <c r="W61" s="142">
        <v>388</v>
      </c>
      <c r="X61" s="142">
        <v>388</v>
      </c>
      <c r="Y61" s="14" t="s">
        <v>3729</v>
      </c>
      <c r="Z61" s="142" t="s">
        <v>106</v>
      </c>
      <c r="AA61" s="80">
        <v>1</v>
      </c>
      <c r="AB61" s="1" t="s">
        <v>529</v>
      </c>
      <c r="AC61" s="1" t="s">
        <v>164</v>
      </c>
      <c r="AD61" s="1" t="s">
        <v>164</v>
      </c>
      <c r="AE61" s="143">
        <v>1</v>
      </c>
      <c r="AF61" s="1" t="s">
        <v>529</v>
      </c>
      <c r="AG61" s="142">
        <v>4103</v>
      </c>
      <c r="AH61" s="142">
        <v>410.3</v>
      </c>
      <c r="AI61" s="142">
        <v>432.5</v>
      </c>
      <c r="AJ61" s="14" t="s">
        <v>3728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7808</v>
      </c>
      <c r="AS61" s="142">
        <v>390.4</v>
      </c>
      <c r="AT61" s="142">
        <v>386</v>
      </c>
    </row>
    <row r="62" spans="1:47" x14ac:dyDescent="0.2">
      <c r="A62" s="174"/>
      <c r="B62" s="9" t="s">
        <v>68</v>
      </c>
      <c r="C62" s="1" t="s">
        <v>3727</v>
      </c>
      <c r="D62" s="142" t="s">
        <v>106</v>
      </c>
      <c r="E62" s="80">
        <v>0</v>
      </c>
      <c r="F62" s="1" t="s">
        <v>169</v>
      </c>
      <c r="G62" s="80">
        <v>0</v>
      </c>
      <c r="H62" s="1" t="s">
        <v>163</v>
      </c>
      <c r="I62" s="143">
        <v>0</v>
      </c>
      <c r="J62" s="1" t="s">
        <v>163</v>
      </c>
      <c r="K62" s="142">
        <v>0</v>
      </c>
      <c r="L62" s="142">
        <v>0</v>
      </c>
      <c r="M62" s="142">
        <v>0</v>
      </c>
      <c r="N62" s="14" t="s">
        <v>3726</v>
      </c>
      <c r="O62" s="142" t="s">
        <v>106</v>
      </c>
      <c r="P62" s="80">
        <v>0</v>
      </c>
      <c r="Q62" s="1" t="s">
        <v>169</v>
      </c>
      <c r="R62" s="80">
        <v>0</v>
      </c>
      <c r="S62" s="1" t="s">
        <v>939</v>
      </c>
      <c r="T62" s="143">
        <v>0</v>
      </c>
      <c r="U62" s="1" t="s">
        <v>939</v>
      </c>
      <c r="V62" s="142">
        <v>0</v>
      </c>
      <c r="W62" s="142">
        <v>0</v>
      </c>
      <c r="X62" s="142">
        <v>0</v>
      </c>
      <c r="Y62" s="14" t="s">
        <v>3725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3313</v>
      </c>
      <c r="AH62" s="142">
        <v>414.12</v>
      </c>
      <c r="AI62" s="142">
        <v>388.5</v>
      </c>
      <c r="AJ62" s="14" t="s">
        <v>3724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7356</v>
      </c>
      <c r="AS62" s="142">
        <v>367.8</v>
      </c>
      <c r="AT62" s="142">
        <v>372</v>
      </c>
    </row>
    <row r="63" spans="1:47" x14ac:dyDescent="0.2">
      <c r="A63" s="174"/>
      <c r="B63" s="9" t="s">
        <v>69</v>
      </c>
      <c r="C63" s="1" t="s">
        <v>3723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383</v>
      </c>
      <c r="L63" s="142">
        <v>383</v>
      </c>
      <c r="M63" s="142">
        <v>383</v>
      </c>
      <c r="N63" s="14" t="s">
        <v>3722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797</v>
      </c>
      <c r="W63" s="142">
        <v>398.5</v>
      </c>
      <c r="X63" s="142">
        <v>398.5</v>
      </c>
      <c r="Y63" s="14" t="s">
        <v>3721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3815</v>
      </c>
      <c r="AH63" s="142">
        <v>381.5</v>
      </c>
      <c r="AI63" s="142">
        <v>370.5</v>
      </c>
      <c r="AJ63" s="14" t="s">
        <v>3720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7342</v>
      </c>
      <c r="AS63" s="142">
        <v>367.1</v>
      </c>
      <c r="AT63" s="142">
        <v>371.5</v>
      </c>
    </row>
    <row r="64" spans="1:47" x14ac:dyDescent="0.2">
      <c r="A64" s="174"/>
      <c r="B64" s="9" t="s">
        <v>3973</v>
      </c>
      <c r="C64" s="1" t="s">
        <v>3719</v>
      </c>
      <c r="D64" s="142" t="s">
        <v>106</v>
      </c>
      <c r="E64" s="80">
        <v>0</v>
      </c>
      <c r="F64" s="1" t="s">
        <v>163</v>
      </c>
      <c r="G64" s="1" t="s">
        <v>164</v>
      </c>
      <c r="H64" s="1" t="s">
        <v>164</v>
      </c>
      <c r="I64" s="143">
        <v>0</v>
      </c>
      <c r="J64" s="1" t="s">
        <v>163</v>
      </c>
      <c r="K64" s="142">
        <v>0</v>
      </c>
      <c r="L64" s="142">
        <v>0</v>
      </c>
      <c r="M64" s="142">
        <v>0</v>
      </c>
      <c r="N64" s="14" t="s">
        <v>3718</v>
      </c>
      <c r="O64" s="142" t="s">
        <v>106</v>
      </c>
      <c r="P64" s="80">
        <v>0</v>
      </c>
      <c r="Q64" s="1" t="s">
        <v>163</v>
      </c>
      <c r="R64" s="1" t="s">
        <v>164</v>
      </c>
      <c r="S64" s="1" t="s">
        <v>164</v>
      </c>
      <c r="T64" s="143">
        <v>0</v>
      </c>
      <c r="U64" s="1" t="s">
        <v>163</v>
      </c>
      <c r="V64" s="142">
        <v>0</v>
      </c>
      <c r="W64" s="142">
        <v>0</v>
      </c>
      <c r="X64" s="142">
        <v>0</v>
      </c>
      <c r="Y64" s="14" t="s">
        <v>3717</v>
      </c>
      <c r="Z64" s="142" t="s">
        <v>106</v>
      </c>
      <c r="AA64" s="80">
        <v>0</v>
      </c>
      <c r="AB64" s="1" t="s">
        <v>163</v>
      </c>
      <c r="AC64" s="1" t="s">
        <v>164</v>
      </c>
      <c r="AD64" s="1" t="s">
        <v>164</v>
      </c>
      <c r="AE64" s="143">
        <v>0</v>
      </c>
      <c r="AF64" s="1" t="s">
        <v>163</v>
      </c>
      <c r="AG64" s="142">
        <v>0</v>
      </c>
      <c r="AH64" s="142">
        <v>0</v>
      </c>
      <c r="AI64" s="142">
        <v>0</v>
      </c>
      <c r="AJ64" s="14" t="s">
        <v>3716</v>
      </c>
      <c r="AK64" s="142" t="s">
        <v>106</v>
      </c>
      <c r="AL64" s="80">
        <v>0</v>
      </c>
      <c r="AM64" s="1" t="s">
        <v>163</v>
      </c>
      <c r="AN64" s="1" t="s">
        <v>164</v>
      </c>
      <c r="AO64" s="1" t="s">
        <v>164</v>
      </c>
      <c r="AP64" s="143">
        <v>0</v>
      </c>
      <c r="AQ64" s="1" t="s">
        <v>163</v>
      </c>
      <c r="AR64" s="142">
        <v>0</v>
      </c>
      <c r="AS64" s="142">
        <v>0</v>
      </c>
      <c r="AT64" s="142">
        <v>0</v>
      </c>
      <c r="AU64" s="4" t="s">
        <v>103</v>
      </c>
    </row>
    <row r="65" spans="1:47" x14ac:dyDescent="0.2">
      <c r="A65" s="174"/>
      <c r="B65" s="9" t="s">
        <v>3968</v>
      </c>
      <c r="C65" s="1" t="s">
        <v>3715</v>
      </c>
      <c r="D65" s="142" t="s">
        <v>106</v>
      </c>
      <c r="E65" s="80">
        <v>0</v>
      </c>
      <c r="F65" s="1" t="s">
        <v>163</v>
      </c>
      <c r="G65" s="1" t="s">
        <v>164</v>
      </c>
      <c r="H65" s="1" t="s">
        <v>164</v>
      </c>
      <c r="I65" s="143">
        <v>0</v>
      </c>
      <c r="J65" s="1" t="s">
        <v>163</v>
      </c>
      <c r="K65" s="142">
        <v>0</v>
      </c>
      <c r="L65" s="142">
        <v>0</v>
      </c>
      <c r="M65" s="142">
        <v>0</v>
      </c>
      <c r="N65" s="14" t="s">
        <v>3714</v>
      </c>
      <c r="O65" s="142" t="s">
        <v>106</v>
      </c>
      <c r="P65" s="80">
        <v>0</v>
      </c>
      <c r="Q65" s="1" t="s">
        <v>163</v>
      </c>
      <c r="R65" s="1" t="s">
        <v>164</v>
      </c>
      <c r="S65" s="1" t="s">
        <v>164</v>
      </c>
      <c r="T65" s="143">
        <v>0</v>
      </c>
      <c r="U65" s="1" t="s">
        <v>163</v>
      </c>
      <c r="V65" s="142">
        <v>0</v>
      </c>
      <c r="W65" s="142">
        <v>0</v>
      </c>
      <c r="X65" s="142">
        <v>0</v>
      </c>
      <c r="Y65" s="14" t="s">
        <v>3713</v>
      </c>
      <c r="Z65" s="142" t="s">
        <v>106</v>
      </c>
      <c r="AA65" s="80">
        <v>0</v>
      </c>
      <c r="AB65" s="1" t="s">
        <v>163</v>
      </c>
      <c r="AC65" s="1" t="s">
        <v>164</v>
      </c>
      <c r="AD65" s="1" t="s">
        <v>164</v>
      </c>
      <c r="AE65" s="143">
        <v>0</v>
      </c>
      <c r="AF65" s="1" t="s">
        <v>163</v>
      </c>
      <c r="AG65" s="142">
        <v>0</v>
      </c>
      <c r="AH65" s="142">
        <v>0</v>
      </c>
      <c r="AI65" s="142">
        <v>0</v>
      </c>
      <c r="AJ65" s="14" t="s">
        <v>3712</v>
      </c>
      <c r="AK65" s="142" t="s">
        <v>106</v>
      </c>
      <c r="AL65" s="80">
        <v>0</v>
      </c>
      <c r="AM65" s="1" t="s">
        <v>163</v>
      </c>
      <c r="AN65" s="1" t="s">
        <v>164</v>
      </c>
      <c r="AO65" s="1" t="s">
        <v>164</v>
      </c>
      <c r="AP65" s="143">
        <v>0</v>
      </c>
      <c r="AQ65" s="1" t="s">
        <v>163</v>
      </c>
      <c r="AR65" s="142">
        <v>0</v>
      </c>
      <c r="AS65" s="142">
        <v>0</v>
      </c>
      <c r="AT65" s="142">
        <v>0</v>
      </c>
      <c r="AU65" s="4" t="s">
        <v>103</v>
      </c>
    </row>
    <row r="66" spans="1:47" x14ac:dyDescent="0.2">
      <c r="A66" s="174"/>
      <c r="B66" s="9" t="s">
        <v>3969</v>
      </c>
      <c r="C66" s="1" t="s">
        <v>3711</v>
      </c>
      <c r="D66" s="142" t="s">
        <v>106</v>
      </c>
      <c r="E66" s="80">
        <v>0</v>
      </c>
      <c r="F66" s="1" t="s">
        <v>169</v>
      </c>
      <c r="G66" s="80">
        <v>0</v>
      </c>
      <c r="H66" s="1" t="s">
        <v>163</v>
      </c>
      <c r="I66" s="143">
        <v>0</v>
      </c>
      <c r="J66" s="1" t="s">
        <v>163</v>
      </c>
      <c r="K66" s="142">
        <v>0</v>
      </c>
      <c r="L66" s="142">
        <v>0</v>
      </c>
      <c r="M66" s="142">
        <v>0</v>
      </c>
      <c r="N66" s="14" t="s">
        <v>3710</v>
      </c>
      <c r="O66" s="142" t="s">
        <v>106</v>
      </c>
      <c r="P66" s="80">
        <v>0</v>
      </c>
      <c r="Q66" s="1" t="s">
        <v>169</v>
      </c>
      <c r="R66" s="80">
        <v>0</v>
      </c>
      <c r="S66" s="1" t="s">
        <v>163</v>
      </c>
      <c r="T66" s="143">
        <v>0</v>
      </c>
      <c r="U66" s="1" t="s">
        <v>163</v>
      </c>
      <c r="V66" s="142">
        <v>0</v>
      </c>
      <c r="W66" s="142">
        <v>0</v>
      </c>
      <c r="X66" s="142">
        <v>0</v>
      </c>
      <c r="Y66" s="14" t="s">
        <v>3709</v>
      </c>
      <c r="Z66" s="142" t="s">
        <v>106</v>
      </c>
      <c r="AA66" s="80">
        <v>0</v>
      </c>
      <c r="AB66" s="1" t="s">
        <v>218</v>
      </c>
      <c r="AC66" s="80">
        <v>0.2</v>
      </c>
      <c r="AD66" s="1" t="s">
        <v>1049</v>
      </c>
      <c r="AE66" s="143">
        <v>0.1</v>
      </c>
      <c r="AF66" s="1" t="s">
        <v>1235</v>
      </c>
      <c r="AG66" s="142">
        <v>361</v>
      </c>
      <c r="AH66" s="142">
        <v>361</v>
      </c>
      <c r="AI66" s="142">
        <v>361</v>
      </c>
      <c r="AJ66" s="14" t="s">
        <v>3708</v>
      </c>
      <c r="AK66" s="142" t="s">
        <v>106</v>
      </c>
      <c r="AL66" s="80">
        <v>0</v>
      </c>
      <c r="AM66" s="1" t="s">
        <v>218</v>
      </c>
      <c r="AN66" s="80">
        <v>0.2</v>
      </c>
      <c r="AO66" s="1" t="s">
        <v>1049</v>
      </c>
      <c r="AP66" s="143">
        <v>0.1</v>
      </c>
      <c r="AQ66" s="1" t="s">
        <v>1235</v>
      </c>
      <c r="AR66" s="142">
        <v>360</v>
      </c>
      <c r="AS66" s="142">
        <v>360</v>
      </c>
      <c r="AT66" s="142">
        <v>360</v>
      </c>
      <c r="AU66" s="4" t="s">
        <v>103</v>
      </c>
    </row>
    <row r="67" spans="1:47" x14ac:dyDescent="0.2">
      <c r="A67" s="174"/>
      <c r="B67" s="9" t="s">
        <v>3970</v>
      </c>
      <c r="C67" s="1" t="s">
        <v>3707</v>
      </c>
      <c r="D67" s="142" t="s">
        <v>106</v>
      </c>
      <c r="E67" s="80">
        <v>0</v>
      </c>
      <c r="F67" s="1" t="s">
        <v>163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3706</v>
      </c>
      <c r="O67" s="142" t="s">
        <v>106</v>
      </c>
      <c r="P67" s="80">
        <v>0</v>
      </c>
      <c r="Q67" s="1" t="s">
        <v>163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3705</v>
      </c>
      <c r="Z67" s="142" t="s">
        <v>106</v>
      </c>
      <c r="AA67" s="80">
        <v>0</v>
      </c>
      <c r="AB67" s="1" t="s">
        <v>213</v>
      </c>
      <c r="AC67" s="1" t="s">
        <v>164</v>
      </c>
      <c r="AD67" s="1" t="s">
        <v>164</v>
      </c>
      <c r="AE67" s="143">
        <v>0</v>
      </c>
      <c r="AF67" s="1" t="s">
        <v>213</v>
      </c>
      <c r="AG67" s="142">
        <v>0</v>
      </c>
      <c r="AH67" s="142">
        <v>0</v>
      </c>
      <c r="AI67" s="142">
        <v>0</v>
      </c>
      <c r="AJ67" s="14" t="s">
        <v>3704</v>
      </c>
      <c r="AK67" s="142" t="s">
        <v>106</v>
      </c>
      <c r="AL67" s="80">
        <v>0</v>
      </c>
      <c r="AM67" s="1" t="s">
        <v>213</v>
      </c>
      <c r="AN67" s="1" t="s">
        <v>164</v>
      </c>
      <c r="AO67" s="1" t="s">
        <v>164</v>
      </c>
      <c r="AP67" s="143">
        <v>0</v>
      </c>
      <c r="AQ67" s="1" t="s">
        <v>213</v>
      </c>
      <c r="AR67" s="142">
        <v>0</v>
      </c>
      <c r="AS67" s="142">
        <v>0</v>
      </c>
      <c r="AT67" s="142">
        <v>0</v>
      </c>
      <c r="AU67" s="4" t="s">
        <v>103</v>
      </c>
    </row>
    <row r="68" spans="1:47" x14ac:dyDescent="0.2">
      <c r="A68" s="174"/>
      <c r="B68" s="9" t="s">
        <v>3971</v>
      </c>
      <c r="C68" s="1" t="s">
        <v>3703</v>
      </c>
      <c r="D68" s="142" t="s">
        <v>106</v>
      </c>
      <c r="E68" s="80">
        <v>0</v>
      </c>
      <c r="F68" s="1" t="s">
        <v>169</v>
      </c>
      <c r="G68" s="80">
        <v>0</v>
      </c>
      <c r="H68" s="1" t="s">
        <v>163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3702</v>
      </c>
      <c r="O68" s="142" t="s">
        <v>106</v>
      </c>
      <c r="P68" s="80">
        <v>0</v>
      </c>
      <c r="Q68" s="1" t="s">
        <v>169</v>
      </c>
      <c r="R68" s="80">
        <v>0</v>
      </c>
      <c r="S68" s="1" t="s">
        <v>163</v>
      </c>
      <c r="T68" s="143">
        <v>0</v>
      </c>
      <c r="U68" s="1" t="s">
        <v>163</v>
      </c>
      <c r="V68" s="142">
        <v>0</v>
      </c>
      <c r="W68" s="142">
        <v>0</v>
      </c>
      <c r="X68" s="142">
        <v>0</v>
      </c>
      <c r="Y68" s="14" t="s">
        <v>3701</v>
      </c>
      <c r="Z68" s="142" t="s">
        <v>106</v>
      </c>
      <c r="AA68" s="80">
        <v>0</v>
      </c>
      <c r="AB68" s="1" t="s">
        <v>218</v>
      </c>
      <c r="AC68" s="80">
        <v>0.2</v>
      </c>
      <c r="AD68" s="1" t="s">
        <v>1049</v>
      </c>
      <c r="AE68" s="143">
        <v>0.1</v>
      </c>
      <c r="AF68" s="1" t="s">
        <v>1235</v>
      </c>
      <c r="AG68" s="142">
        <v>395</v>
      </c>
      <c r="AH68" s="142">
        <v>395</v>
      </c>
      <c r="AI68" s="142">
        <v>395</v>
      </c>
      <c r="AJ68" s="14" t="s">
        <v>3700</v>
      </c>
      <c r="AK68" s="142" t="s">
        <v>106</v>
      </c>
      <c r="AL68" s="80">
        <v>0</v>
      </c>
      <c r="AM68" s="1" t="s">
        <v>218</v>
      </c>
      <c r="AN68" s="80">
        <v>0.2</v>
      </c>
      <c r="AO68" s="1" t="s">
        <v>1049</v>
      </c>
      <c r="AP68" s="143">
        <v>0.1</v>
      </c>
      <c r="AQ68" s="1" t="s">
        <v>1235</v>
      </c>
      <c r="AR68" s="142">
        <v>351</v>
      </c>
      <c r="AS68" s="142">
        <v>351</v>
      </c>
      <c r="AT68" s="142">
        <v>351</v>
      </c>
      <c r="AU68" s="4" t="s">
        <v>102</v>
      </c>
    </row>
    <row r="69" spans="1:47" x14ac:dyDescent="0.2">
      <c r="A69" s="174"/>
      <c r="B69" s="9" t="s">
        <v>3972</v>
      </c>
      <c r="C69" s="1" t="s">
        <v>3699</v>
      </c>
      <c r="D69" s="142" t="s">
        <v>106</v>
      </c>
      <c r="E69" s="80">
        <v>1</v>
      </c>
      <c r="F69" s="1" t="s">
        <v>452</v>
      </c>
      <c r="G69" s="1" t="s">
        <v>164</v>
      </c>
      <c r="H69" s="1" t="s">
        <v>164</v>
      </c>
      <c r="I69" s="143">
        <v>1</v>
      </c>
      <c r="J69" s="1" t="s">
        <v>452</v>
      </c>
      <c r="K69" s="142">
        <v>334</v>
      </c>
      <c r="L69" s="142">
        <v>334</v>
      </c>
      <c r="M69" s="142">
        <v>334</v>
      </c>
      <c r="N69" s="14" t="s">
        <v>3698</v>
      </c>
      <c r="O69" s="142" t="s">
        <v>106</v>
      </c>
      <c r="P69" s="80">
        <v>1</v>
      </c>
      <c r="Q69" s="1" t="s">
        <v>452</v>
      </c>
      <c r="R69" s="1" t="s">
        <v>164</v>
      </c>
      <c r="S69" s="1" t="s">
        <v>164</v>
      </c>
      <c r="T69" s="143">
        <v>1</v>
      </c>
      <c r="U69" s="1" t="s">
        <v>452</v>
      </c>
      <c r="V69" s="142">
        <v>291</v>
      </c>
      <c r="W69" s="142">
        <v>291</v>
      </c>
      <c r="X69" s="142">
        <v>291</v>
      </c>
      <c r="Y69" s="14" t="s">
        <v>3697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3708</v>
      </c>
      <c r="AH69" s="142">
        <v>412</v>
      </c>
      <c r="AI69" s="142">
        <v>429</v>
      </c>
      <c r="AJ69" s="14" t="s">
        <v>3696</v>
      </c>
      <c r="AK69" s="142" t="s">
        <v>106</v>
      </c>
      <c r="AL69" s="80">
        <v>0.9</v>
      </c>
      <c r="AM69" s="1" t="s">
        <v>951</v>
      </c>
      <c r="AN69" s="1" t="s">
        <v>164</v>
      </c>
      <c r="AO69" s="1" t="s">
        <v>164</v>
      </c>
      <c r="AP69" s="143">
        <v>0.9</v>
      </c>
      <c r="AQ69" s="1" t="s">
        <v>951</v>
      </c>
      <c r="AR69" s="142">
        <v>3223</v>
      </c>
      <c r="AS69" s="142">
        <v>358.11</v>
      </c>
      <c r="AT69" s="142">
        <v>371</v>
      </c>
      <c r="AU69" s="4" t="s">
        <v>102</v>
      </c>
    </row>
    <row r="70" spans="1:47" x14ac:dyDescent="0.2">
      <c r="A70" s="174"/>
      <c r="B70" s="9" t="s">
        <v>70</v>
      </c>
      <c r="C70" s="1" t="s">
        <v>3695</v>
      </c>
      <c r="D70" s="142" t="s">
        <v>106</v>
      </c>
      <c r="E70" s="80">
        <v>0</v>
      </c>
      <c r="F70" s="1" t="s">
        <v>169</v>
      </c>
      <c r="G70" s="80">
        <v>0</v>
      </c>
      <c r="H70" s="1" t="s">
        <v>163</v>
      </c>
      <c r="I70" s="143">
        <v>0</v>
      </c>
      <c r="J70" s="1" t="s">
        <v>163</v>
      </c>
      <c r="K70" s="142">
        <v>0</v>
      </c>
      <c r="L70" s="142">
        <v>0</v>
      </c>
      <c r="M70" s="142">
        <v>0</v>
      </c>
      <c r="N70" s="14" t="s">
        <v>3694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3693</v>
      </c>
      <c r="Z70" s="142" t="s">
        <v>106</v>
      </c>
      <c r="AA70" s="80">
        <v>0</v>
      </c>
      <c r="AB70" s="1" t="s">
        <v>218</v>
      </c>
      <c r="AC70" s="80">
        <v>0</v>
      </c>
      <c r="AD70" s="1" t="s">
        <v>218</v>
      </c>
      <c r="AE70" s="143">
        <v>0</v>
      </c>
      <c r="AF70" s="1" t="s">
        <v>213</v>
      </c>
      <c r="AG70" s="142">
        <v>0</v>
      </c>
      <c r="AH70" s="142">
        <v>0</v>
      </c>
      <c r="AI70" s="142">
        <v>0</v>
      </c>
      <c r="AJ70" s="14" t="s">
        <v>3692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2">
        <v>0</v>
      </c>
      <c r="AU70" s="4" t="s">
        <v>102</v>
      </c>
    </row>
    <row r="71" spans="1:47" x14ac:dyDescent="0.2">
      <c r="A71" s="174"/>
      <c r="B71" s="9" t="s">
        <v>71</v>
      </c>
      <c r="C71" s="1" t="s">
        <v>3691</v>
      </c>
      <c r="D71" s="142" t="s">
        <v>106</v>
      </c>
      <c r="E71" s="80">
        <v>0</v>
      </c>
      <c r="F71" s="1" t="s">
        <v>163</v>
      </c>
      <c r="G71" s="1" t="s">
        <v>164</v>
      </c>
      <c r="H71" s="1" t="s">
        <v>164</v>
      </c>
      <c r="I71" s="143">
        <v>0</v>
      </c>
      <c r="J71" s="1" t="s">
        <v>163</v>
      </c>
      <c r="K71" s="142">
        <v>0</v>
      </c>
      <c r="L71" s="142">
        <v>0</v>
      </c>
      <c r="M71" s="142">
        <v>0</v>
      </c>
      <c r="N71" s="14" t="s">
        <v>3690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3689</v>
      </c>
      <c r="Z71" s="142" t="s">
        <v>106</v>
      </c>
      <c r="AA71" s="80">
        <v>0.5</v>
      </c>
      <c r="AB71" s="1" t="s">
        <v>511</v>
      </c>
      <c r="AC71" s="1" t="s">
        <v>164</v>
      </c>
      <c r="AD71" s="1" t="s">
        <v>164</v>
      </c>
      <c r="AE71" s="143">
        <v>0.5</v>
      </c>
      <c r="AF71" s="1" t="s">
        <v>511</v>
      </c>
      <c r="AG71" s="142">
        <v>2054</v>
      </c>
      <c r="AH71" s="142">
        <v>410.8</v>
      </c>
      <c r="AI71" s="142">
        <v>412</v>
      </c>
      <c r="AJ71" s="14" t="s">
        <v>3688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4"/>
      <c r="B72" s="9" t="s">
        <v>72</v>
      </c>
      <c r="C72" s="1" t="s">
        <v>3687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3686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3685</v>
      </c>
      <c r="Z72" s="142" t="s">
        <v>106</v>
      </c>
      <c r="AA72" s="80">
        <v>1</v>
      </c>
      <c r="AB72" s="1" t="s">
        <v>516</v>
      </c>
      <c r="AC72" s="80">
        <v>1</v>
      </c>
      <c r="AD72" s="1" t="s">
        <v>516</v>
      </c>
      <c r="AE72" s="143">
        <v>1</v>
      </c>
      <c r="AF72" s="1" t="s">
        <v>529</v>
      </c>
      <c r="AG72" s="142">
        <v>3526</v>
      </c>
      <c r="AH72" s="142">
        <v>352.6</v>
      </c>
      <c r="AI72" s="142">
        <v>361.5</v>
      </c>
      <c r="AJ72" s="14" t="s">
        <v>3684</v>
      </c>
      <c r="AK72" s="142" t="s">
        <v>106</v>
      </c>
      <c r="AL72" s="80">
        <v>1</v>
      </c>
      <c r="AM72" s="1" t="s">
        <v>516</v>
      </c>
      <c r="AN72" s="80">
        <v>1</v>
      </c>
      <c r="AO72" s="1" t="s">
        <v>516</v>
      </c>
      <c r="AP72" s="143">
        <v>1</v>
      </c>
      <c r="AQ72" s="1" t="s">
        <v>529</v>
      </c>
      <c r="AR72" s="142">
        <v>3510</v>
      </c>
      <c r="AS72" s="142">
        <v>351</v>
      </c>
      <c r="AT72" s="142">
        <v>354</v>
      </c>
      <c r="AU72" s="4" t="s">
        <v>102</v>
      </c>
    </row>
    <row r="73" spans="1:47" x14ac:dyDescent="0.2">
      <c r="A73" s="174"/>
      <c r="B73" s="9" t="s">
        <v>73</v>
      </c>
      <c r="C73" s="1" t="s">
        <v>3683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337</v>
      </c>
      <c r="L73" s="142">
        <v>337</v>
      </c>
      <c r="M73" s="142">
        <v>337</v>
      </c>
      <c r="N73" s="14" t="s">
        <v>3682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303</v>
      </c>
      <c r="W73" s="142">
        <v>303</v>
      </c>
      <c r="X73" s="142">
        <v>303</v>
      </c>
      <c r="Y73" s="14" t="s">
        <v>3681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3916</v>
      </c>
      <c r="AH73" s="142">
        <v>391.6</v>
      </c>
      <c r="AI73" s="142">
        <v>397.5</v>
      </c>
      <c r="AJ73" s="14" t="s">
        <v>3680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3677</v>
      </c>
      <c r="AS73" s="142">
        <v>367.7</v>
      </c>
      <c r="AT73" s="142">
        <v>371</v>
      </c>
      <c r="AU73" s="4" t="s">
        <v>102</v>
      </c>
    </row>
    <row r="74" spans="1:47" x14ac:dyDescent="0.2">
      <c r="A74" s="174"/>
      <c r="B74" s="9" t="s">
        <v>74</v>
      </c>
      <c r="C74" s="1" t="s">
        <v>3679</v>
      </c>
      <c r="D74" s="142" t="s">
        <v>106</v>
      </c>
      <c r="E74" s="80">
        <v>0</v>
      </c>
      <c r="F74" s="1" t="s">
        <v>169</v>
      </c>
      <c r="G74" s="80">
        <v>0</v>
      </c>
      <c r="H74" s="1" t="s">
        <v>163</v>
      </c>
      <c r="I74" s="143">
        <v>0</v>
      </c>
      <c r="J74" s="1" t="s">
        <v>163</v>
      </c>
      <c r="K74" s="142">
        <v>0</v>
      </c>
      <c r="L74" s="142">
        <v>0</v>
      </c>
      <c r="M74" s="142">
        <v>0</v>
      </c>
      <c r="N74" s="14" t="s">
        <v>3678</v>
      </c>
      <c r="O74" s="142" t="s">
        <v>106</v>
      </c>
      <c r="P74" s="80">
        <v>0</v>
      </c>
      <c r="Q74" s="1" t="s">
        <v>169</v>
      </c>
      <c r="R74" s="80">
        <v>0</v>
      </c>
      <c r="S74" s="1" t="s">
        <v>163</v>
      </c>
      <c r="T74" s="143">
        <v>0</v>
      </c>
      <c r="U74" s="1" t="s">
        <v>163</v>
      </c>
      <c r="V74" s="142">
        <v>0</v>
      </c>
      <c r="W74" s="142">
        <v>0</v>
      </c>
      <c r="X74" s="142">
        <v>0</v>
      </c>
      <c r="Y74" s="14" t="s">
        <v>3677</v>
      </c>
      <c r="Z74" s="142" t="s">
        <v>106</v>
      </c>
      <c r="AA74" s="80">
        <v>0.2</v>
      </c>
      <c r="AB74" s="1" t="s">
        <v>1049</v>
      </c>
      <c r="AC74" s="80">
        <v>1</v>
      </c>
      <c r="AD74" s="1" t="s">
        <v>516</v>
      </c>
      <c r="AE74" s="143">
        <v>0.6</v>
      </c>
      <c r="AF74" s="1" t="s">
        <v>963</v>
      </c>
      <c r="AG74" s="142">
        <v>2041</v>
      </c>
      <c r="AH74" s="142">
        <v>340.17</v>
      </c>
      <c r="AI74" s="142">
        <v>340</v>
      </c>
      <c r="AJ74" s="14" t="s">
        <v>3676</v>
      </c>
      <c r="AK74" s="142" t="s">
        <v>106</v>
      </c>
      <c r="AL74" s="80">
        <v>0.2</v>
      </c>
      <c r="AM74" s="1" t="s">
        <v>1049</v>
      </c>
      <c r="AN74" s="80">
        <v>1</v>
      </c>
      <c r="AO74" s="1" t="s">
        <v>516</v>
      </c>
      <c r="AP74" s="143">
        <v>0.6</v>
      </c>
      <c r="AQ74" s="1" t="s">
        <v>963</v>
      </c>
      <c r="AR74" s="142">
        <v>1960</v>
      </c>
      <c r="AS74" s="142">
        <v>326.67</v>
      </c>
      <c r="AT74" s="142">
        <v>334</v>
      </c>
      <c r="AU74" s="4" t="s">
        <v>102</v>
      </c>
    </row>
    <row r="75" spans="1:47" x14ac:dyDescent="0.2">
      <c r="A75" s="174"/>
      <c r="B75" s="9" t="s">
        <v>75</v>
      </c>
      <c r="C75" s="1" t="s">
        <v>3675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3674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3673</v>
      </c>
      <c r="Z75" s="142" t="s">
        <v>106</v>
      </c>
      <c r="AA75" s="80">
        <v>0.3</v>
      </c>
      <c r="AB75" s="1" t="s">
        <v>1004</v>
      </c>
      <c r="AC75" s="1" t="s">
        <v>164</v>
      </c>
      <c r="AD75" s="1" t="s">
        <v>164</v>
      </c>
      <c r="AE75" s="143">
        <v>0.3</v>
      </c>
      <c r="AF75" s="1" t="s">
        <v>1004</v>
      </c>
      <c r="AG75" s="142">
        <v>1016</v>
      </c>
      <c r="AH75" s="142">
        <v>338.67</v>
      </c>
      <c r="AI75" s="142">
        <v>354</v>
      </c>
      <c r="AJ75" s="14" t="s">
        <v>3672</v>
      </c>
      <c r="AK75" s="142" t="s">
        <v>106</v>
      </c>
      <c r="AL75" s="80">
        <v>0.3</v>
      </c>
      <c r="AM75" s="1" t="s">
        <v>1004</v>
      </c>
      <c r="AN75" s="1" t="s">
        <v>164</v>
      </c>
      <c r="AO75" s="1" t="s">
        <v>164</v>
      </c>
      <c r="AP75" s="143">
        <v>0.3</v>
      </c>
      <c r="AQ75" s="1" t="s">
        <v>1004</v>
      </c>
      <c r="AR75" s="142">
        <v>1038</v>
      </c>
      <c r="AS75" s="142">
        <v>346</v>
      </c>
      <c r="AT75" s="142">
        <v>357</v>
      </c>
      <c r="AU75" s="4" t="s">
        <v>102</v>
      </c>
    </row>
    <row r="76" spans="1:47" x14ac:dyDescent="0.2">
      <c r="A76" s="174"/>
      <c r="B76" s="9" t="s">
        <v>160</v>
      </c>
      <c r="C76" s="1" t="s">
        <v>3671</v>
      </c>
      <c r="D76" s="142" t="s">
        <v>106</v>
      </c>
      <c r="E76" s="80">
        <v>1</v>
      </c>
      <c r="F76" s="1" t="s">
        <v>452</v>
      </c>
      <c r="G76" s="1" t="s">
        <v>164</v>
      </c>
      <c r="H76" s="1" t="s">
        <v>164</v>
      </c>
      <c r="I76" s="143">
        <v>1</v>
      </c>
      <c r="J76" s="1" t="s">
        <v>452</v>
      </c>
      <c r="K76" s="142">
        <v>356</v>
      </c>
      <c r="L76" s="142">
        <v>356</v>
      </c>
      <c r="M76" s="142">
        <v>356</v>
      </c>
      <c r="N76" s="14" t="s">
        <v>3670</v>
      </c>
      <c r="O76" s="142" t="s">
        <v>106</v>
      </c>
      <c r="P76" s="80">
        <v>1</v>
      </c>
      <c r="Q76" s="1" t="s">
        <v>452</v>
      </c>
      <c r="R76" s="1" t="s">
        <v>164</v>
      </c>
      <c r="S76" s="1" t="s">
        <v>164</v>
      </c>
      <c r="T76" s="143">
        <v>1</v>
      </c>
      <c r="U76" s="1" t="s">
        <v>452</v>
      </c>
      <c r="V76" s="142">
        <v>286</v>
      </c>
      <c r="W76" s="142">
        <v>286</v>
      </c>
      <c r="X76" s="142">
        <v>286</v>
      </c>
      <c r="Y76" s="14" t="s">
        <v>3669</v>
      </c>
      <c r="Z76" s="142" t="s">
        <v>106</v>
      </c>
      <c r="AA76" s="80">
        <v>1</v>
      </c>
      <c r="AB76" s="1" t="s">
        <v>529</v>
      </c>
      <c r="AC76" s="1" t="s">
        <v>164</v>
      </c>
      <c r="AD76" s="1" t="s">
        <v>164</v>
      </c>
      <c r="AE76" s="143">
        <v>1</v>
      </c>
      <c r="AF76" s="1" t="s">
        <v>529</v>
      </c>
      <c r="AG76" s="142">
        <v>3833</v>
      </c>
      <c r="AH76" s="142">
        <v>383.3</v>
      </c>
      <c r="AI76" s="142">
        <v>382</v>
      </c>
      <c r="AJ76" s="14" t="s">
        <v>3668</v>
      </c>
      <c r="AK76" s="142" t="s">
        <v>106</v>
      </c>
      <c r="AL76" s="80">
        <v>1</v>
      </c>
      <c r="AM76" s="1" t="s">
        <v>529</v>
      </c>
      <c r="AN76" s="1" t="s">
        <v>164</v>
      </c>
      <c r="AO76" s="1" t="s">
        <v>164</v>
      </c>
      <c r="AP76" s="143">
        <v>1</v>
      </c>
      <c r="AQ76" s="1" t="s">
        <v>529</v>
      </c>
      <c r="AR76" s="142">
        <v>3753</v>
      </c>
      <c r="AS76" s="142">
        <v>375.3</v>
      </c>
      <c r="AT76" s="142">
        <v>381.5</v>
      </c>
      <c r="AU76" s="4" t="s">
        <v>103</v>
      </c>
    </row>
    <row r="77" spans="1:47" x14ac:dyDescent="0.2">
      <c r="A77" s="174"/>
      <c r="B77" s="9" t="s">
        <v>76</v>
      </c>
      <c r="C77" s="1" t="s">
        <v>3667</v>
      </c>
      <c r="D77" s="142" t="s">
        <v>106</v>
      </c>
      <c r="E77" s="80">
        <v>1</v>
      </c>
      <c r="F77" s="1" t="s">
        <v>452</v>
      </c>
      <c r="G77" s="1" t="s">
        <v>164</v>
      </c>
      <c r="H77" s="1" t="s">
        <v>164</v>
      </c>
      <c r="I77" s="143">
        <v>1</v>
      </c>
      <c r="J77" s="1" t="s">
        <v>452</v>
      </c>
      <c r="K77" s="142">
        <v>361</v>
      </c>
      <c r="L77" s="142">
        <v>361</v>
      </c>
      <c r="M77" s="142">
        <v>361</v>
      </c>
      <c r="N77" s="14" t="s">
        <v>3666</v>
      </c>
      <c r="O77" s="142" t="s">
        <v>106</v>
      </c>
      <c r="P77" s="80">
        <v>1</v>
      </c>
      <c r="Q77" s="1" t="s">
        <v>452</v>
      </c>
      <c r="R77" s="1" t="s">
        <v>164</v>
      </c>
      <c r="S77" s="1" t="s">
        <v>164</v>
      </c>
      <c r="T77" s="143">
        <v>1</v>
      </c>
      <c r="U77" s="1" t="s">
        <v>452</v>
      </c>
      <c r="V77" s="142">
        <v>290</v>
      </c>
      <c r="W77" s="142">
        <v>290</v>
      </c>
      <c r="X77" s="142">
        <v>290</v>
      </c>
      <c r="Y77" s="14" t="s">
        <v>3665</v>
      </c>
      <c r="Z77" s="142" t="s">
        <v>106</v>
      </c>
      <c r="AA77" s="80">
        <v>1</v>
      </c>
      <c r="AB77" s="1" t="s">
        <v>529</v>
      </c>
      <c r="AC77" s="1" t="s">
        <v>164</v>
      </c>
      <c r="AD77" s="1" t="s">
        <v>164</v>
      </c>
      <c r="AE77" s="143">
        <v>1</v>
      </c>
      <c r="AF77" s="1" t="s">
        <v>529</v>
      </c>
      <c r="AG77" s="142">
        <v>4246</v>
      </c>
      <c r="AH77" s="142">
        <v>424.6</v>
      </c>
      <c r="AI77" s="142">
        <v>419</v>
      </c>
      <c r="AJ77" s="14" t="s">
        <v>3664</v>
      </c>
      <c r="AK77" s="142" t="s">
        <v>106</v>
      </c>
      <c r="AL77" s="80">
        <v>1</v>
      </c>
      <c r="AM77" s="1" t="s">
        <v>529</v>
      </c>
      <c r="AN77" s="1" t="s">
        <v>164</v>
      </c>
      <c r="AO77" s="1" t="s">
        <v>164</v>
      </c>
      <c r="AP77" s="143">
        <v>1</v>
      </c>
      <c r="AQ77" s="1" t="s">
        <v>529</v>
      </c>
      <c r="AR77" s="142">
        <v>3563</v>
      </c>
      <c r="AS77" s="142">
        <v>356.3</v>
      </c>
      <c r="AT77" s="142">
        <v>360.5</v>
      </c>
      <c r="AU77" s="4" t="s">
        <v>103</v>
      </c>
    </row>
    <row r="78" spans="1:47" x14ac:dyDescent="0.2">
      <c r="A78" s="174"/>
      <c r="B78" s="9" t="s">
        <v>161</v>
      </c>
      <c r="C78" s="1" t="s">
        <v>3663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3662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3661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3660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4"/>
      <c r="B79" s="9" t="s">
        <v>77</v>
      </c>
      <c r="C79" s="1" t="s">
        <v>3659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3658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3657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3656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4"/>
      <c r="B80" s="9" t="s">
        <v>162</v>
      </c>
      <c r="C80" s="1" t="s">
        <v>3655</v>
      </c>
      <c r="D80" s="142" t="s">
        <v>106</v>
      </c>
      <c r="E80" s="80">
        <v>1</v>
      </c>
      <c r="F80" s="1" t="s">
        <v>452</v>
      </c>
      <c r="G80" s="1" t="s">
        <v>164</v>
      </c>
      <c r="H80" s="1" t="s">
        <v>164</v>
      </c>
      <c r="I80" s="143">
        <v>1</v>
      </c>
      <c r="J80" s="1" t="s">
        <v>452</v>
      </c>
      <c r="K80" s="142">
        <v>332</v>
      </c>
      <c r="L80" s="142">
        <v>332</v>
      </c>
      <c r="M80" s="142">
        <v>332</v>
      </c>
      <c r="N80" s="14" t="s">
        <v>3654</v>
      </c>
      <c r="O80" s="142" t="s">
        <v>106</v>
      </c>
      <c r="P80" s="80">
        <v>1</v>
      </c>
      <c r="Q80" s="1" t="s">
        <v>452</v>
      </c>
      <c r="R80" s="1" t="s">
        <v>164</v>
      </c>
      <c r="S80" s="1" t="s">
        <v>164</v>
      </c>
      <c r="T80" s="143">
        <v>1</v>
      </c>
      <c r="U80" s="1" t="s">
        <v>452</v>
      </c>
      <c r="V80" s="142">
        <v>328</v>
      </c>
      <c r="W80" s="142">
        <v>328</v>
      </c>
      <c r="X80" s="142">
        <v>328</v>
      </c>
      <c r="Y80" s="14" t="s">
        <v>3653</v>
      </c>
      <c r="Z80" s="142" t="s">
        <v>106</v>
      </c>
      <c r="AA80" s="80">
        <v>1</v>
      </c>
      <c r="AB80" s="1" t="s">
        <v>529</v>
      </c>
      <c r="AC80" s="1" t="s">
        <v>164</v>
      </c>
      <c r="AD80" s="1" t="s">
        <v>164</v>
      </c>
      <c r="AE80" s="143">
        <v>1</v>
      </c>
      <c r="AF80" s="1" t="s">
        <v>529</v>
      </c>
      <c r="AG80" s="142">
        <v>3715</v>
      </c>
      <c r="AH80" s="142">
        <v>371.5</v>
      </c>
      <c r="AI80" s="142">
        <v>377.5</v>
      </c>
      <c r="AJ80" s="14" t="s">
        <v>3652</v>
      </c>
      <c r="AK80" s="142" t="s">
        <v>106</v>
      </c>
      <c r="AL80" s="80">
        <v>1</v>
      </c>
      <c r="AM80" s="1" t="s">
        <v>529</v>
      </c>
      <c r="AN80" s="1" t="s">
        <v>164</v>
      </c>
      <c r="AO80" s="1" t="s">
        <v>164</v>
      </c>
      <c r="AP80" s="143">
        <v>1</v>
      </c>
      <c r="AQ80" s="1" t="s">
        <v>529</v>
      </c>
      <c r="AR80" s="142">
        <v>3610</v>
      </c>
      <c r="AS80" s="142">
        <v>361</v>
      </c>
      <c r="AT80" s="142">
        <v>363.5</v>
      </c>
      <c r="AU80" s="4" t="s">
        <v>103</v>
      </c>
    </row>
    <row r="81" spans="1:47" x14ac:dyDescent="0.2">
      <c r="A81" s="174"/>
      <c r="B81" s="9" t="s">
        <v>78</v>
      </c>
      <c r="C81" s="1" t="s">
        <v>3651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332</v>
      </c>
      <c r="L81" s="142">
        <v>332</v>
      </c>
      <c r="M81" s="142">
        <v>332</v>
      </c>
      <c r="N81" s="14" t="s">
        <v>3650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325</v>
      </c>
      <c r="W81" s="142">
        <v>325</v>
      </c>
      <c r="X81" s="142">
        <v>325</v>
      </c>
      <c r="Y81" s="14" t="s">
        <v>3649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3721</v>
      </c>
      <c r="AH81" s="142">
        <v>372.1</v>
      </c>
      <c r="AI81" s="142">
        <v>373</v>
      </c>
      <c r="AJ81" s="14" t="s">
        <v>3648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3607</v>
      </c>
      <c r="AS81" s="142">
        <v>360.7</v>
      </c>
      <c r="AT81" s="142">
        <v>362.5</v>
      </c>
      <c r="AU81" s="4" t="s">
        <v>103</v>
      </c>
    </row>
    <row r="82" spans="1:47" x14ac:dyDescent="0.2">
      <c r="A82" s="174"/>
      <c r="B82" s="9" t="s">
        <v>79</v>
      </c>
      <c r="C82" s="1" t="s">
        <v>3647</v>
      </c>
      <c r="D82" s="142" t="s">
        <v>106</v>
      </c>
      <c r="E82" s="80">
        <v>0</v>
      </c>
      <c r="F82" s="1" t="s">
        <v>169</v>
      </c>
      <c r="G82" s="80">
        <v>0</v>
      </c>
      <c r="H82" s="1" t="s">
        <v>163</v>
      </c>
      <c r="I82" s="143">
        <v>0</v>
      </c>
      <c r="J82" s="1" t="s">
        <v>163</v>
      </c>
      <c r="K82" s="142">
        <v>0</v>
      </c>
      <c r="L82" s="142">
        <v>0</v>
      </c>
      <c r="M82" s="142">
        <v>0</v>
      </c>
      <c r="N82" s="14" t="s">
        <v>3646</v>
      </c>
      <c r="O82" s="142" t="s">
        <v>106</v>
      </c>
      <c r="P82" s="80">
        <v>0</v>
      </c>
      <c r="Q82" s="1" t="s">
        <v>169</v>
      </c>
      <c r="R82" s="80">
        <v>0</v>
      </c>
      <c r="S82" s="1" t="s">
        <v>163</v>
      </c>
      <c r="T82" s="143">
        <v>0</v>
      </c>
      <c r="U82" s="1" t="s">
        <v>163</v>
      </c>
      <c r="V82" s="142">
        <v>0</v>
      </c>
      <c r="W82" s="142">
        <v>0</v>
      </c>
      <c r="X82" s="142">
        <v>0</v>
      </c>
      <c r="Y82" s="14" t="s">
        <v>3645</v>
      </c>
      <c r="Z82" s="142" t="s">
        <v>106</v>
      </c>
      <c r="AA82" s="80">
        <v>1</v>
      </c>
      <c r="AB82" s="1" t="s">
        <v>516</v>
      </c>
      <c r="AC82" s="80">
        <v>1</v>
      </c>
      <c r="AD82" s="1" t="s">
        <v>516</v>
      </c>
      <c r="AE82" s="143">
        <v>1</v>
      </c>
      <c r="AF82" s="1" t="s">
        <v>529</v>
      </c>
      <c r="AG82" s="142">
        <v>3627</v>
      </c>
      <c r="AH82" s="142">
        <v>362.7</v>
      </c>
      <c r="AI82" s="142">
        <v>361.5</v>
      </c>
      <c r="AJ82" s="14" t="s">
        <v>3644</v>
      </c>
      <c r="AK82" s="142" t="s">
        <v>106</v>
      </c>
      <c r="AL82" s="80">
        <v>1</v>
      </c>
      <c r="AM82" s="1" t="s">
        <v>516</v>
      </c>
      <c r="AN82" s="80">
        <v>1</v>
      </c>
      <c r="AO82" s="1" t="s">
        <v>516</v>
      </c>
      <c r="AP82" s="143">
        <v>1</v>
      </c>
      <c r="AQ82" s="1" t="s">
        <v>529</v>
      </c>
      <c r="AR82" s="142">
        <v>3535</v>
      </c>
      <c r="AS82" s="142">
        <v>353.5</v>
      </c>
      <c r="AT82" s="142">
        <v>351.5</v>
      </c>
      <c r="AU82" s="4" t="s">
        <v>102</v>
      </c>
    </row>
    <row r="83" spans="1:47" x14ac:dyDescent="0.2">
      <c r="A83" s="174"/>
      <c r="B83" s="9" t="s">
        <v>80</v>
      </c>
      <c r="C83" s="1" t="s">
        <v>3643</v>
      </c>
      <c r="D83" s="142" t="s">
        <v>106</v>
      </c>
      <c r="E83" s="80">
        <v>1</v>
      </c>
      <c r="F83" s="1" t="s">
        <v>452</v>
      </c>
      <c r="G83" s="1" t="s">
        <v>164</v>
      </c>
      <c r="H83" s="1" t="s">
        <v>164</v>
      </c>
      <c r="I83" s="143">
        <v>1</v>
      </c>
      <c r="J83" s="1" t="s">
        <v>452</v>
      </c>
      <c r="K83" s="142">
        <v>340</v>
      </c>
      <c r="L83" s="142">
        <v>340</v>
      </c>
      <c r="M83" s="142">
        <v>340</v>
      </c>
      <c r="N83" s="14" t="s">
        <v>3642</v>
      </c>
      <c r="O83" s="142" t="s">
        <v>106</v>
      </c>
      <c r="P83" s="80">
        <v>1</v>
      </c>
      <c r="Q83" s="1" t="s">
        <v>452</v>
      </c>
      <c r="R83" s="1" t="s">
        <v>164</v>
      </c>
      <c r="S83" s="1" t="s">
        <v>164</v>
      </c>
      <c r="T83" s="143">
        <v>1</v>
      </c>
      <c r="U83" s="1" t="s">
        <v>452</v>
      </c>
      <c r="V83" s="142">
        <v>321</v>
      </c>
      <c r="W83" s="142">
        <v>321</v>
      </c>
      <c r="X83" s="142">
        <v>321</v>
      </c>
      <c r="Y83" s="14" t="s">
        <v>3641</v>
      </c>
      <c r="Z83" s="142" t="s">
        <v>106</v>
      </c>
      <c r="AA83" s="80">
        <v>1</v>
      </c>
      <c r="AB83" s="1" t="s">
        <v>529</v>
      </c>
      <c r="AC83" s="1" t="s">
        <v>164</v>
      </c>
      <c r="AD83" s="1" t="s">
        <v>164</v>
      </c>
      <c r="AE83" s="143">
        <v>1</v>
      </c>
      <c r="AF83" s="1" t="s">
        <v>529</v>
      </c>
      <c r="AG83" s="142">
        <v>3855</v>
      </c>
      <c r="AH83" s="142">
        <v>385.5</v>
      </c>
      <c r="AI83" s="142">
        <v>385.5</v>
      </c>
      <c r="AJ83" s="14" t="s">
        <v>3640</v>
      </c>
      <c r="AK83" s="142" t="s">
        <v>106</v>
      </c>
      <c r="AL83" s="80">
        <v>1</v>
      </c>
      <c r="AM83" s="1" t="s">
        <v>529</v>
      </c>
      <c r="AN83" s="1" t="s">
        <v>164</v>
      </c>
      <c r="AO83" s="1" t="s">
        <v>164</v>
      </c>
      <c r="AP83" s="143">
        <v>1</v>
      </c>
      <c r="AQ83" s="1" t="s">
        <v>529</v>
      </c>
      <c r="AR83" s="142">
        <v>3656</v>
      </c>
      <c r="AS83" s="142">
        <v>365.6</v>
      </c>
      <c r="AT83" s="142">
        <v>362.5</v>
      </c>
      <c r="AU83" s="4" t="s">
        <v>102</v>
      </c>
    </row>
    <row r="84" spans="1:47" x14ac:dyDescent="0.2">
      <c r="A84" s="174"/>
      <c r="B84" s="9" t="s">
        <v>81</v>
      </c>
      <c r="C84" s="1" t="s">
        <v>3639</v>
      </c>
      <c r="D84" s="142" t="s">
        <v>106</v>
      </c>
      <c r="E84" s="80">
        <v>0</v>
      </c>
      <c r="F84" s="1" t="s">
        <v>169</v>
      </c>
      <c r="G84" s="80">
        <v>0</v>
      </c>
      <c r="H84" s="1" t="s">
        <v>163</v>
      </c>
      <c r="I84" s="143">
        <v>0</v>
      </c>
      <c r="J84" s="1" t="s">
        <v>163</v>
      </c>
      <c r="K84" s="142">
        <v>0</v>
      </c>
      <c r="L84" s="142">
        <v>0</v>
      </c>
      <c r="M84" s="142">
        <v>0</v>
      </c>
      <c r="N84" s="14" t="s">
        <v>3638</v>
      </c>
      <c r="O84" s="142" t="s">
        <v>106</v>
      </c>
      <c r="P84" s="80">
        <v>0</v>
      </c>
      <c r="Q84" s="1" t="s">
        <v>169</v>
      </c>
      <c r="R84" s="80">
        <v>0</v>
      </c>
      <c r="S84" s="1" t="s">
        <v>163</v>
      </c>
      <c r="T84" s="143">
        <v>0</v>
      </c>
      <c r="U84" s="1" t="s">
        <v>163</v>
      </c>
      <c r="V84" s="142">
        <v>0</v>
      </c>
      <c r="W84" s="142">
        <v>0</v>
      </c>
      <c r="X84" s="142">
        <v>0</v>
      </c>
      <c r="Y84" s="14" t="s">
        <v>3637</v>
      </c>
      <c r="Z84" s="142" t="s">
        <v>106</v>
      </c>
      <c r="AA84" s="80">
        <v>1</v>
      </c>
      <c r="AB84" s="1" t="s">
        <v>516</v>
      </c>
      <c r="AC84" s="80">
        <v>0.4</v>
      </c>
      <c r="AD84" s="1" t="s">
        <v>974</v>
      </c>
      <c r="AE84" s="143">
        <v>0.7</v>
      </c>
      <c r="AF84" s="1" t="s">
        <v>973</v>
      </c>
      <c r="AG84" s="142">
        <v>2632</v>
      </c>
      <c r="AH84" s="142">
        <v>376</v>
      </c>
      <c r="AI84" s="142">
        <v>384</v>
      </c>
      <c r="AJ84" s="14" t="s">
        <v>3636</v>
      </c>
      <c r="AK84" s="142" t="s">
        <v>106</v>
      </c>
      <c r="AL84" s="80">
        <v>1</v>
      </c>
      <c r="AM84" s="1" t="s">
        <v>516</v>
      </c>
      <c r="AN84" s="80">
        <v>0.4</v>
      </c>
      <c r="AO84" s="1" t="s">
        <v>974</v>
      </c>
      <c r="AP84" s="143">
        <v>0.7</v>
      </c>
      <c r="AQ84" s="1" t="s">
        <v>973</v>
      </c>
      <c r="AR84" s="142">
        <v>2569</v>
      </c>
      <c r="AS84" s="142">
        <v>367</v>
      </c>
      <c r="AT84" s="142">
        <v>369</v>
      </c>
      <c r="AU84" s="4" t="s">
        <v>102</v>
      </c>
    </row>
    <row r="85" spans="1:47" x14ac:dyDescent="0.2">
      <c r="A85" s="174"/>
      <c r="B85" s="9" t="s">
        <v>82</v>
      </c>
      <c r="C85" s="1" t="s">
        <v>3635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337</v>
      </c>
      <c r="L85" s="142">
        <v>337</v>
      </c>
      <c r="M85" s="142">
        <v>337</v>
      </c>
      <c r="N85" s="14" t="s">
        <v>3634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299</v>
      </c>
      <c r="W85" s="142">
        <v>299</v>
      </c>
      <c r="X85" s="142">
        <v>299</v>
      </c>
      <c r="Y85" s="14" t="s">
        <v>3633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3746</v>
      </c>
      <c r="AH85" s="142">
        <v>374.6</v>
      </c>
      <c r="AI85" s="142">
        <v>381</v>
      </c>
      <c r="AJ85" s="14" t="s">
        <v>3632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3661</v>
      </c>
      <c r="AS85" s="142">
        <v>366.1</v>
      </c>
      <c r="AT85" s="142">
        <v>370.5</v>
      </c>
      <c r="AU85" s="4" t="s">
        <v>102</v>
      </c>
    </row>
    <row r="86" spans="1:47" x14ac:dyDescent="0.2">
      <c r="A86" s="174"/>
      <c r="B86" s="9" t="s">
        <v>83</v>
      </c>
      <c r="C86" s="1" t="s">
        <v>3631</v>
      </c>
      <c r="D86" s="142" t="s">
        <v>106</v>
      </c>
      <c r="E86" s="80">
        <v>0</v>
      </c>
      <c r="F86" s="1" t="s">
        <v>169</v>
      </c>
      <c r="G86" s="80">
        <v>0</v>
      </c>
      <c r="H86" s="1" t="s">
        <v>163</v>
      </c>
      <c r="I86" s="143">
        <v>0</v>
      </c>
      <c r="J86" s="1" t="s">
        <v>163</v>
      </c>
      <c r="K86" s="142">
        <v>0</v>
      </c>
      <c r="L86" s="142">
        <v>0</v>
      </c>
      <c r="M86" s="142">
        <v>0</v>
      </c>
      <c r="N86" s="14" t="s">
        <v>3630</v>
      </c>
      <c r="O86" s="142" t="s">
        <v>106</v>
      </c>
      <c r="P86" s="80">
        <v>0</v>
      </c>
      <c r="Q86" s="1" t="s">
        <v>169</v>
      </c>
      <c r="R86" s="80">
        <v>0</v>
      </c>
      <c r="S86" s="1" t="s">
        <v>163</v>
      </c>
      <c r="T86" s="143">
        <v>0</v>
      </c>
      <c r="U86" s="1" t="s">
        <v>163</v>
      </c>
      <c r="V86" s="142">
        <v>0</v>
      </c>
      <c r="W86" s="142">
        <v>0</v>
      </c>
      <c r="X86" s="142">
        <v>0</v>
      </c>
      <c r="Y86" s="14" t="s">
        <v>3629</v>
      </c>
      <c r="Z86" s="142" t="s">
        <v>106</v>
      </c>
      <c r="AA86" s="80">
        <v>1</v>
      </c>
      <c r="AB86" s="1" t="s">
        <v>516</v>
      </c>
      <c r="AC86" s="80">
        <v>0</v>
      </c>
      <c r="AD86" s="1" t="s">
        <v>218</v>
      </c>
      <c r="AE86" s="143">
        <v>0.5</v>
      </c>
      <c r="AF86" s="1" t="s">
        <v>511</v>
      </c>
      <c r="AG86" s="142">
        <v>1780</v>
      </c>
      <c r="AH86" s="142">
        <v>356</v>
      </c>
      <c r="AI86" s="142">
        <v>363</v>
      </c>
      <c r="AJ86" s="14" t="s">
        <v>3628</v>
      </c>
      <c r="AK86" s="142" t="s">
        <v>106</v>
      </c>
      <c r="AL86" s="80">
        <v>1</v>
      </c>
      <c r="AM86" s="1" t="s">
        <v>516</v>
      </c>
      <c r="AN86" s="80">
        <v>0</v>
      </c>
      <c r="AO86" s="1" t="s">
        <v>218</v>
      </c>
      <c r="AP86" s="143">
        <v>0.5</v>
      </c>
      <c r="AQ86" s="1" t="s">
        <v>511</v>
      </c>
      <c r="AR86" s="142">
        <v>1717</v>
      </c>
      <c r="AS86" s="142">
        <v>343.4</v>
      </c>
      <c r="AT86" s="142">
        <v>362</v>
      </c>
      <c r="AU86" s="4" t="s">
        <v>102</v>
      </c>
    </row>
    <row r="87" spans="1:47" x14ac:dyDescent="0.2">
      <c r="A87" s="174"/>
      <c r="B87" s="9" t="s">
        <v>84</v>
      </c>
      <c r="C87" s="1" t="s">
        <v>3627</v>
      </c>
      <c r="D87" s="142" t="s">
        <v>106</v>
      </c>
      <c r="E87" s="80">
        <v>1</v>
      </c>
      <c r="F87" s="1" t="s">
        <v>452</v>
      </c>
      <c r="G87" s="1" t="s">
        <v>164</v>
      </c>
      <c r="H87" s="1" t="s">
        <v>164</v>
      </c>
      <c r="I87" s="143">
        <v>1</v>
      </c>
      <c r="J87" s="1" t="s">
        <v>452</v>
      </c>
      <c r="K87" s="142">
        <v>352</v>
      </c>
      <c r="L87" s="142">
        <v>352</v>
      </c>
      <c r="M87" s="142">
        <v>352</v>
      </c>
      <c r="N87" s="14" t="s">
        <v>3626</v>
      </c>
      <c r="O87" s="142" t="s">
        <v>106</v>
      </c>
      <c r="P87" s="80">
        <v>1</v>
      </c>
      <c r="Q87" s="1" t="s">
        <v>452</v>
      </c>
      <c r="R87" s="1" t="s">
        <v>164</v>
      </c>
      <c r="S87" s="1" t="s">
        <v>164</v>
      </c>
      <c r="T87" s="143">
        <v>1</v>
      </c>
      <c r="U87" s="1" t="s">
        <v>452</v>
      </c>
      <c r="V87" s="142">
        <v>349</v>
      </c>
      <c r="W87" s="142">
        <v>349</v>
      </c>
      <c r="X87" s="142">
        <v>349</v>
      </c>
      <c r="Y87" s="14" t="s">
        <v>3625</v>
      </c>
      <c r="Z87" s="142" t="s">
        <v>106</v>
      </c>
      <c r="AA87" s="80">
        <v>1</v>
      </c>
      <c r="AB87" s="1" t="s">
        <v>529</v>
      </c>
      <c r="AC87" s="1" t="s">
        <v>164</v>
      </c>
      <c r="AD87" s="1" t="s">
        <v>164</v>
      </c>
      <c r="AE87" s="143">
        <v>1</v>
      </c>
      <c r="AF87" s="1" t="s">
        <v>529</v>
      </c>
      <c r="AG87" s="142">
        <v>3591</v>
      </c>
      <c r="AH87" s="142">
        <v>359.1</v>
      </c>
      <c r="AI87" s="142">
        <v>359.5</v>
      </c>
      <c r="AJ87" s="14" t="s">
        <v>3624</v>
      </c>
      <c r="AK87" s="142" t="s">
        <v>106</v>
      </c>
      <c r="AL87" s="80">
        <v>1</v>
      </c>
      <c r="AM87" s="1" t="s">
        <v>529</v>
      </c>
      <c r="AN87" s="1" t="s">
        <v>164</v>
      </c>
      <c r="AO87" s="1" t="s">
        <v>164</v>
      </c>
      <c r="AP87" s="143">
        <v>1</v>
      </c>
      <c r="AQ87" s="1" t="s">
        <v>529</v>
      </c>
      <c r="AR87" s="142">
        <v>3549</v>
      </c>
      <c r="AS87" s="142">
        <v>354.9</v>
      </c>
      <c r="AT87" s="142">
        <v>367.5</v>
      </c>
      <c r="AU87" s="4" t="s">
        <v>102</v>
      </c>
    </row>
    <row r="88" spans="1:47" x14ac:dyDescent="0.2">
      <c r="A88" s="174"/>
      <c r="B88" s="9" t="s">
        <v>85</v>
      </c>
      <c r="C88" s="1" t="s">
        <v>3623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3622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3621</v>
      </c>
      <c r="Z88" s="142" t="s">
        <v>106</v>
      </c>
      <c r="AA88" s="80">
        <v>0.2</v>
      </c>
      <c r="AB88" s="1" t="s">
        <v>1049</v>
      </c>
      <c r="AC88" s="80">
        <v>0</v>
      </c>
      <c r="AD88" s="1" t="s">
        <v>218</v>
      </c>
      <c r="AE88" s="143">
        <v>0.1</v>
      </c>
      <c r="AF88" s="1" t="s">
        <v>1235</v>
      </c>
      <c r="AG88" s="142">
        <v>349</v>
      </c>
      <c r="AH88" s="142">
        <v>349</v>
      </c>
      <c r="AI88" s="142">
        <v>349</v>
      </c>
      <c r="AJ88" s="14" t="s">
        <v>3620</v>
      </c>
      <c r="AK88" s="142" t="s">
        <v>106</v>
      </c>
      <c r="AL88" s="80">
        <v>0.2</v>
      </c>
      <c r="AM88" s="1" t="s">
        <v>1049</v>
      </c>
      <c r="AN88" s="80">
        <v>0</v>
      </c>
      <c r="AO88" s="1" t="s">
        <v>218</v>
      </c>
      <c r="AP88" s="143">
        <v>0.1</v>
      </c>
      <c r="AQ88" s="1" t="s">
        <v>1235</v>
      </c>
      <c r="AR88" s="142">
        <v>346</v>
      </c>
      <c r="AS88" s="142">
        <v>346</v>
      </c>
      <c r="AT88" s="142">
        <v>346</v>
      </c>
      <c r="AU88" s="4" t="s">
        <v>102</v>
      </c>
    </row>
    <row r="89" spans="1:47" x14ac:dyDescent="0.2">
      <c r="A89" s="174"/>
      <c r="B89" s="9" t="s">
        <v>86</v>
      </c>
      <c r="C89" s="1" t="s">
        <v>3619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314</v>
      </c>
      <c r="L89" s="142">
        <v>314</v>
      </c>
      <c r="M89" s="142">
        <v>314</v>
      </c>
      <c r="N89" s="14" t="s">
        <v>3618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300</v>
      </c>
      <c r="W89" s="142">
        <v>300</v>
      </c>
      <c r="X89" s="142">
        <v>300</v>
      </c>
      <c r="Y89" s="14" t="s">
        <v>3617</v>
      </c>
      <c r="Z89" s="142" t="s">
        <v>106</v>
      </c>
      <c r="AA89" s="80">
        <v>1</v>
      </c>
      <c r="AB89" s="1" t="s">
        <v>529</v>
      </c>
      <c r="AC89" s="1" t="s">
        <v>164</v>
      </c>
      <c r="AD89" s="1" t="s">
        <v>164</v>
      </c>
      <c r="AE89" s="143">
        <v>1</v>
      </c>
      <c r="AF89" s="1" t="s">
        <v>529</v>
      </c>
      <c r="AG89" s="142">
        <v>3567</v>
      </c>
      <c r="AH89" s="142">
        <v>356.7</v>
      </c>
      <c r="AI89" s="142">
        <v>365.5</v>
      </c>
      <c r="AJ89" s="14" t="s">
        <v>3616</v>
      </c>
      <c r="AK89" s="142" t="s">
        <v>106</v>
      </c>
      <c r="AL89" s="80">
        <v>1</v>
      </c>
      <c r="AM89" s="1" t="s">
        <v>529</v>
      </c>
      <c r="AN89" s="1" t="s">
        <v>164</v>
      </c>
      <c r="AO89" s="1" t="s">
        <v>164</v>
      </c>
      <c r="AP89" s="143">
        <v>1</v>
      </c>
      <c r="AQ89" s="1" t="s">
        <v>529</v>
      </c>
      <c r="AR89" s="142">
        <v>3366</v>
      </c>
      <c r="AS89" s="142">
        <v>336.6</v>
      </c>
      <c r="AT89" s="142">
        <v>340</v>
      </c>
      <c r="AU89" s="4" t="s">
        <v>102</v>
      </c>
    </row>
    <row r="90" spans="1:47" x14ac:dyDescent="0.2">
      <c r="A90" s="174"/>
      <c r="B90" s="9" t="s">
        <v>87</v>
      </c>
      <c r="C90" s="1" t="s">
        <v>3615</v>
      </c>
      <c r="D90" s="142" t="s">
        <v>106</v>
      </c>
      <c r="E90" s="80">
        <v>0</v>
      </c>
      <c r="F90" s="1" t="s">
        <v>169</v>
      </c>
      <c r="G90" s="80">
        <v>0</v>
      </c>
      <c r="H90" s="1" t="s">
        <v>163</v>
      </c>
      <c r="I90" s="143">
        <v>0</v>
      </c>
      <c r="J90" s="1" t="s">
        <v>163</v>
      </c>
      <c r="K90" s="142">
        <v>0</v>
      </c>
      <c r="L90" s="142">
        <v>0</v>
      </c>
      <c r="M90" s="142">
        <v>0</v>
      </c>
      <c r="N90" s="14" t="s">
        <v>3614</v>
      </c>
      <c r="O90" s="142" t="s">
        <v>106</v>
      </c>
      <c r="P90" s="80">
        <v>0</v>
      </c>
      <c r="Q90" s="1" t="s">
        <v>169</v>
      </c>
      <c r="R90" s="80">
        <v>0</v>
      </c>
      <c r="S90" s="1" t="s">
        <v>163</v>
      </c>
      <c r="T90" s="143">
        <v>0</v>
      </c>
      <c r="U90" s="1" t="s">
        <v>163</v>
      </c>
      <c r="V90" s="142">
        <v>0</v>
      </c>
      <c r="W90" s="142">
        <v>0</v>
      </c>
      <c r="X90" s="142">
        <v>0</v>
      </c>
      <c r="Y90" s="14" t="s">
        <v>3613</v>
      </c>
      <c r="Z90" s="142" t="s">
        <v>106</v>
      </c>
      <c r="AA90" s="80">
        <v>0.2</v>
      </c>
      <c r="AB90" s="1" t="s">
        <v>1049</v>
      </c>
      <c r="AC90" s="80">
        <v>1</v>
      </c>
      <c r="AD90" s="1" t="s">
        <v>516</v>
      </c>
      <c r="AE90" s="143">
        <v>0.6</v>
      </c>
      <c r="AF90" s="1" t="s">
        <v>963</v>
      </c>
      <c r="AG90" s="142">
        <v>2403</v>
      </c>
      <c r="AH90" s="142">
        <v>400.5</v>
      </c>
      <c r="AI90" s="142">
        <v>386.5</v>
      </c>
      <c r="AJ90" s="14" t="s">
        <v>3612</v>
      </c>
      <c r="AK90" s="142" t="s">
        <v>106</v>
      </c>
      <c r="AL90" s="80">
        <v>0.2</v>
      </c>
      <c r="AM90" s="1" t="s">
        <v>1049</v>
      </c>
      <c r="AN90" s="80">
        <v>1</v>
      </c>
      <c r="AO90" s="1" t="s">
        <v>516</v>
      </c>
      <c r="AP90" s="143">
        <v>0.6</v>
      </c>
      <c r="AQ90" s="1" t="s">
        <v>963</v>
      </c>
      <c r="AR90" s="142">
        <v>2319</v>
      </c>
      <c r="AS90" s="142">
        <v>386.5</v>
      </c>
      <c r="AT90" s="142">
        <v>380</v>
      </c>
      <c r="AU90" s="4" t="s">
        <v>98</v>
      </c>
    </row>
    <row r="91" spans="1:47" x14ac:dyDescent="0.2">
      <c r="A91" s="174"/>
      <c r="B91" s="9" t="s">
        <v>88</v>
      </c>
      <c r="C91" s="1" t="s">
        <v>3611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3610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3609</v>
      </c>
      <c r="Z91" s="142" t="s">
        <v>106</v>
      </c>
      <c r="AA91" s="80">
        <v>0.3</v>
      </c>
      <c r="AB91" s="1" t="s">
        <v>1004</v>
      </c>
      <c r="AC91" s="1" t="s">
        <v>164</v>
      </c>
      <c r="AD91" s="1" t="s">
        <v>164</v>
      </c>
      <c r="AE91" s="143">
        <v>0.3</v>
      </c>
      <c r="AF91" s="1" t="s">
        <v>1004</v>
      </c>
      <c r="AG91" s="142">
        <v>1477</v>
      </c>
      <c r="AH91" s="142">
        <v>492.33</v>
      </c>
      <c r="AI91" s="142">
        <v>522</v>
      </c>
      <c r="AJ91" s="14" t="s">
        <v>3608</v>
      </c>
      <c r="AK91" s="142" t="s">
        <v>106</v>
      </c>
      <c r="AL91" s="80">
        <v>0.3</v>
      </c>
      <c r="AM91" s="1" t="s">
        <v>1004</v>
      </c>
      <c r="AN91" s="1" t="s">
        <v>164</v>
      </c>
      <c r="AO91" s="1" t="s">
        <v>164</v>
      </c>
      <c r="AP91" s="143">
        <v>0.3</v>
      </c>
      <c r="AQ91" s="1" t="s">
        <v>1004</v>
      </c>
      <c r="AR91" s="142">
        <v>1400</v>
      </c>
      <c r="AS91" s="142">
        <v>466.67</v>
      </c>
      <c r="AT91" s="142">
        <v>482</v>
      </c>
      <c r="AU91" s="4" t="s">
        <v>98</v>
      </c>
    </row>
    <row r="92" spans="1:47" x14ac:dyDescent="0.2">
      <c r="A92" s="174"/>
      <c r="B92" s="9" t="s">
        <v>89</v>
      </c>
      <c r="C92" s="1" t="s">
        <v>3607</v>
      </c>
      <c r="D92" s="142" t="s">
        <v>106</v>
      </c>
      <c r="E92" s="80">
        <v>0</v>
      </c>
      <c r="F92" s="1" t="s">
        <v>169</v>
      </c>
      <c r="G92" s="80">
        <v>0</v>
      </c>
      <c r="H92" s="1" t="s">
        <v>163</v>
      </c>
      <c r="I92" s="143">
        <v>0</v>
      </c>
      <c r="J92" s="1" t="s">
        <v>163</v>
      </c>
      <c r="K92" s="142">
        <v>0</v>
      </c>
      <c r="L92" s="142">
        <v>0</v>
      </c>
      <c r="M92" s="142">
        <v>0</v>
      </c>
      <c r="N92" s="14" t="s">
        <v>3606</v>
      </c>
      <c r="O92" s="142" t="s">
        <v>106</v>
      </c>
      <c r="P92" s="80">
        <v>0</v>
      </c>
      <c r="Q92" s="1" t="s">
        <v>169</v>
      </c>
      <c r="R92" s="80">
        <v>0</v>
      </c>
      <c r="S92" s="1" t="s">
        <v>163</v>
      </c>
      <c r="T92" s="143">
        <v>0</v>
      </c>
      <c r="U92" s="1" t="s">
        <v>163</v>
      </c>
      <c r="V92" s="142">
        <v>0</v>
      </c>
      <c r="W92" s="142">
        <v>0</v>
      </c>
      <c r="X92" s="142">
        <v>0</v>
      </c>
      <c r="Y92" s="14" t="s">
        <v>3605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3568</v>
      </c>
      <c r="AH92" s="142">
        <v>356.8</v>
      </c>
      <c r="AI92" s="142">
        <v>361</v>
      </c>
      <c r="AJ92" s="14" t="s">
        <v>3604</v>
      </c>
      <c r="AK92" s="142" t="s">
        <v>106</v>
      </c>
      <c r="AL92" s="80">
        <v>0</v>
      </c>
      <c r="AM92" s="1" t="s">
        <v>218</v>
      </c>
      <c r="AN92" s="80">
        <v>1</v>
      </c>
      <c r="AO92" s="1" t="s">
        <v>516</v>
      </c>
      <c r="AP92" s="143">
        <v>0.5</v>
      </c>
      <c r="AQ92" s="1" t="s">
        <v>511</v>
      </c>
      <c r="AR92" s="142">
        <v>1727</v>
      </c>
      <c r="AS92" s="142">
        <v>345.4</v>
      </c>
      <c r="AT92" s="142">
        <v>350</v>
      </c>
    </row>
    <row r="93" spans="1:47" x14ac:dyDescent="0.2">
      <c r="A93" s="174"/>
      <c r="B93" s="9" t="s">
        <v>90</v>
      </c>
      <c r="C93" s="1" t="s">
        <v>3603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348</v>
      </c>
      <c r="L93" s="142">
        <v>348</v>
      </c>
      <c r="M93" s="142">
        <v>348</v>
      </c>
      <c r="N93" s="14" t="s">
        <v>3602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342</v>
      </c>
      <c r="W93" s="142">
        <v>342</v>
      </c>
      <c r="X93" s="142">
        <v>342</v>
      </c>
      <c r="Y93" s="14" t="s">
        <v>3601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3687</v>
      </c>
      <c r="AH93" s="142">
        <v>368.7</v>
      </c>
      <c r="AI93" s="142">
        <v>370</v>
      </c>
      <c r="AJ93" s="14" t="s">
        <v>3600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3468</v>
      </c>
      <c r="AS93" s="142">
        <v>346.8</v>
      </c>
      <c r="AT93" s="142">
        <v>342</v>
      </c>
    </row>
    <row r="94" spans="1:47" x14ac:dyDescent="0.2">
      <c r="A94" s="174"/>
      <c r="B94" s="9" t="s">
        <v>91</v>
      </c>
      <c r="C94" s="1" t="s">
        <v>3599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3598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367</v>
      </c>
      <c r="W94" s="142">
        <v>367</v>
      </c>
      <c r="X94" s="142">
        <v>367</v>
      </c>
      <c r="Y94" s="14" t="s">
        <v>3597</v>
      </c>
      <c r="Z94" s="142" t="s">
        <v>106</v>
      </c>
      <c r="AA94" s="80">
        <v>0</v>
      </c>
      <c r="AB94" s="1" t="s">
        <v>218</v>
      </c>
      <c r="AC94" s="80">
        <v>0</v>
      </c>
      <c r="AD94" s="1" t="s">
        <v>218</v>
      </c>
      <c r="AE94" s="143">
        <v>0</v>
      </c>
      <c r="AF94" s="1" t="s">
        <v>213</v>
      </c>
      <c r="AG94" s="142">
        <v>0</v>
      </c>
      <c r="AH94" s="142">
        <v>0</v>
      </c>
      <c r="AI94" s="142">
        <v>0</v>
      </c>
      <c r="AJ94" s="14" t="s">
        <v>3596</v>
      </c>
      <c r="AK94" s="142" t="s">
        <v>106</v>
      </c>
      <c r="AL94" s="80">
        <v>0.5</v>
      </c>
      <c r="AM94" s="1" t="s">
        <v>936</v>
      </c>
      <c r="AN94" s="80">
        <v>0</v>
      </c>
      <c r="AO94" s="1" t="s">
        <v>213</v>
      </c>
      <c r="AP94" s="143">
        <v>0.33329999999999999</v>
      </c>
      <c r="AQ94" s="1" t="s">
        <v>1351</v>
      </c>
      <c r="AR94" s="142">
        <v>3781</v>
      </c>
      <c r="AS94" s="142">
        <v>378.1</v>
      </c>
      <c r="AT94" s="142">
        <v>375.5</v>
      </c>
      <c r="AU94" s="4" t="s">
        <v>93</v>
      </c>
    </row>
    <row r="95" spans="1:47" s="5" customFormat="1" ht="21" thickBot="1" x14ac:dyDescent="0.25">
      <c r="A95" s="175"/>
      <c r="B95" s="11" t="s">
        <v>92</v>
      </c>
      <c r="C95" s="139" t="s">
        <v>3595</v>
      </c>
      <c r="D95" s="145" t="s">
        <v>106</v>
      </c>
      <c r="E95" s="146">
        <v>0</v>
      </c>
      <c r="F95" s="139" t="s">
        <v>163</v>
      </c>
      <c r="G95" s="139" t="s">
        <v>164</v>
      </c>
      <c r="H95" s="139" t="s">
        <v>164</v>
      </c>
      <c r="I95" s="147">
        <v>0</v>
      </c>
      <c r="J95" s="139" t="s">
        <v>163</v>
      </c>
      <c r="K95" s="145">
        <v>0</v>
      </c>
      <c r="L95" s="145">
        <v>0</v>
      </c>
      <c r="M95" s="145">
        <v>0</v>
      </c>
      <c r="N95" s="36" t="s">
        <v>3594</v>
      </c>
      <c r="O95" s="145" t="s">
        <v>106</v>
      </c>
      <c r="P95" s="146">
        <v>0.33329999999999999</v>
      </c>
      <c r="Q95" s="139" t="s">
        <v>932</v>
      </c>
      <c r="R95" s="139" t="s">
        <v>164</v>
      </c>
      <c r="S95" s="139" t="s">
        <v>164</v>
      </c>
      <c r="T95" s="147">
        <v>0.33329999999999999</v>
      </c>
      <c r="U95" s="139" t="s">
        <v>932</v>
      </c>
      <c r="V95" s="145">
        <v>414</v>
      </c>
      <c r="W95" s="145">
        <v>414</v>
      </c>
      <c r="X95" s="145">
        <v>414</v>
      </c>
      <c r="Y95" s="36" t="s">
        <v>3593</v>
      </c>
      <c r="Z95" s="145" t="s">
        <v>106</v>
      </c>
      <c r="AA95" s="146">
        <v>0.2</v>
      </c>
      <c r="AB95" s="139" t="s">
        <v>930</v>
      </c>
      <c r="AC95" s="139" t="s">
        <v>164</v>
      </c>
      <c r="AD95" s="139" t="s">
        <v>164</v>
      </c>
      <c r="AE95" s="147">
        <v>0.2</v>
      </c>
      <c r="AF95" s="139" t="s">
        <v>930</v>
      </c>
      <c r="AG95" s="145">
        <v>872</v>
      </c>
      <c r="AH95" s="145">
        <v>436</v>
      </c>
      <c r="AI95" s="145">
        <v>436</v>
      </c>
      <c r="AJ95" s="36" t="s">
        <v>3592</v>
      </c>
      <c r="AK95" s="145" t="s">
        <v>106</v>
      </c>
      <c r="AL95" s="146">
        <v>0.4667</v>
      </c>
      <c r="AM95" s="139" t="s">
        <v>928</v>
      </c>
      <c r="AN95" s="139" t="s">
        <v>164</v>
      </c>
      <c r="AO95" s="139" t="s">
        <v>164</v>
      </c>
      <c r="AP95" s="147">
        <v>0.4667</v>
      </c>
      <c r="AQ95" s="139" t="s">
        <v>928</v>
      </c>
      <c r="AR95" s="145">
        <v>5360</v>
      </c>
      <c r="AS95" s="145">
        <v>382.86</v>
      </c>
      <c r="AT95" s="145">
        <v>377</v>
      </c>
      <c r="AU95" s="46" t="s">
        <v>93</v>
      </c>
    </row>
    <row r="96" spans="1:47" ht="19.5" customHeight="1" x14ac:dyDescent="0.2">
      <c r="A96" s="168" t="s">
        <v>101</v>
      </c>
      <c r="B96" s="9" t="s">
        <v>10</v>
      </c>
      <c r="C96" s="1" t="s">
        <v>927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926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925</v>
      </c>
      <c r="Z96" s="142" t="s">
        <v>106</v>
      </c>
      <c r="AA96" s="80">
        <v>0</v>
      </c>
      <c r="AB96" s="1" t="s">
        <v>218</v>
      </c>
      <c r="AC96" s="80">
        <v>0</v>
      </c>
      <c r="AD96" s="1" t="s">
        <v>218</v>
      </c>
      <c r="AE96" s="143">
        <v>0</v>
      </c>
      <c r="AF96" s="1" t="s">
        <v>213</v>
      </c>
      <c r="AG96" s="142">
        <v>0</v>
      </c>
      <c r="AH96" s="142">
        <v>0</v>
      </c>
      <c r="AI96" s="142">
        <v>0</v>
      </c>
      <c r="AJ96" s="14" t="s">
        <v>924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2">
        <v>0</v>
      </c>
      <c r="AU96" s="4" t="s">
        <v>96</v>
      </c>
    </row>
    <row r="97" spans="1:47" x14ac:dyDescent="0.2">
      <c r="A97" s="168"/>
      <c r="B97" s="9" t="s">
        <v>11</v>
      </c>
      <c r="C97" s="1" t="s">
        <v>923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922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921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920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8"/>
      <c r="B98" s="9" t="s">
        <v>22</v>
      </c>
      <c r="C98" s="1" t="s">
        <v>919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918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917</v>
      </c>
      <c r="Z98" s="142" t="s">
        <v>106</v>
      </c>
      <c r="AA98" s="80">
        <v>0</v>
      </c>
      <c r="AB98" s="1" t="s">
        <v>218</v>
      </c>
      <c r="AC98" s="80">
        <v>0</v>
      </c>
      <c r="AD98" s="1" t="s">
        <v>218</v>
      </c>
      <c r="AE98" s="143">
        <v>0</v>
      </c>
      <c r="AF98" s="1" t="s">
        <v>213</v>
      </c>
      <c r="AG98" s="142">
        <v>0</v>
      </c>
      <c r="AH98" s="142">
        <v>0</v>
      </c>
      <c r="AI98" s="142">
        <v>0</v>
      </c>
      <c r="AJ98" s="14" t="s">
        <v>916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2">
        <v>0</v>
      </c>
      <c r="AU98" s="4" t="s">
        <v>96</v>
      </c>
    </row>
    <row r="99" spans="1:47" x14ac:dyDescent="0.2">
      <c r="A99" s="168"/>
      <c r="B99" s="9" t="s">
        <v>23</v>
      </c>
      <c r="C99" s="1" t="s">
        <v>915</v>
      </c>
      <c r="D99" s="142" t="s">
        <v>106</v>
      </c>
      <c r="E99" s="80">
        <v>1</v>
      </c>
      <c r="F99" s="1" t="s">
        <v>452</v>
      </c>
      <c r="G99" s="1" t="s">
        <v>164</v>
      </c>
      <c r="H99" s="1" t="s">
        <v>164</v>
      </c>
      <c r="I99" s="143">
        <v>1</v>
      </c>
      <c r="J99" s="1" t="s">
        <v>452</v>
      </c>
      <c r="K99" s="142">
        <v>397</v>
      </c>
      <c r="L99" s="142">
        <v>397</v>
      </c>
      <c r="M99" s="142">
        <v>397</v>
      </c>
      <c r="N99" s="14" t="s">
        <v>914</v>
      </c>
      <c r="O99" s="142" t="s">
        <v>106</v>
      </c>
      <c r="P99" s="80">
        <v>1</v>
      </c>
      <c r="Q99" s="1" t="s">
        <v>452</v>
      </c>
      <c r="R99" s="1" t="s">
        <v>164</v>
      </c>
      <c r="S99" s="1" t="s">
        <v>164</v>
      </c>
      <c r="T99" s="143">
        <v>1</v>
      </c>
      <c r="U99" s="1" t="s">
        <v>452</v>
      </c>
      <c r="V99" s="142">
        <v>424</v>
      </c>
      <c r="W99" s="142">
        <v>424</v>
      </c>
      <c r="X99" s="142">
        <v>424</v>
      </c>
      <c r="Y99" s="14" t="s">
        <v>913</v>
      </c>
      <c r="Z99" s="142" t="s">
        <v>106</v>
      </c>
      <c r="AA99" s="80">
        <v>1</v>
      </c>
      <c r="AB99" s="1" t="s">
        <v>529</v>
      </c>
      <c r="AC99" s="1" t="s">
        <v>164</v>
      </c>
      <c r="AD99" s="1" t="s">
        <v>164</v>
      </c>
      <c r="AE99" s="143">
        <v>1</v>
      </c>
      <c r="AF99" s="1" t="s">
        <v>529</v>
      </c>
      <c r="AG99" s="142">
        <v>4540</v>
      </c>
      <c r="AH99" s="142">
        <v>454</v>
      </c>
      <c r="AI99" s="142">
        <v>457.5</v>
      </c>
      <c r="AJ99" s="14" t="s">
        <v>912</v>
      </c>
      <c r="AK99" s="142" t="s">
        <v>106</v>
      </c>
      <c r="AL99" s="80">
        <v>1</v>
      </c>
      <c r="AM99" s="1" t="s">
        <v>529</v>
      </c>
      <c r="AN99" s="1" t="s">
        <v>164</v>
      </c>
      <c r="AO99" s="1" t="s">
        <v>164</v>
      </c>
      <c r="AP99" s="143">
        <v>1</v>
      </c>
      <c r="AQ99" s="1" t="s">
        <v>529</v>
      </c>
      <c r="AR99" s="142">
        <v>4608</v>
      </c>
      <c r="AS99" s="142">
        <v>460.8</v>
      </c>
      <c r="AT99" s="142">
        <v>465</v>
      </c>
      <c r="AU99" s="4" t="s">
        <v>96</v>
      </c>
    </row>
    <row r="100" spans="1:47" x14ac:dyDescent="0.2">
      <c r="A100" s="168"/>
      <c r="B100" s="9" t="s">
        <v>24</v>
      </c>
      <c r="C100" s="1" t="s">
        <v>911</v>
      </c>
      <c r="D100" s="142" t="s">
        <v>107</v>
      </c>
      <c r="E100" s="1" t="s">
        <v>164</v>
      </c>
      <c r="F100" s="1" t="s">
        <v>164</v>
      </c>
      <c r="G100" s="1" t="s">
        <v>164</v>
      </c>
      <c r="H100" s="1" t="s">
        <v>164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910</v>
      </c>
      <c r="O100" s="142" t="s">
        <v>107</v>
      </c>
      <c r="P100" s="1" t="s">
        <v>164</v>
      </c>
      <c r="Q100" s="1" t="s">
        <v>164</v>
      </c>
      <c r="R100" s="1" t="s">
        <v>164</v>
      </c>
      <c r="S100" s="1" t="s">
        <v>164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909</v>
      </c>
      <c r="Z100" s="142" t="s">
        <v>107</v>
      </c>
      <c r="AA100" s="1" t="s">
        <v>164</v>
      </c>
      <c r="AB100" s="1" t="s">
        <v>164</v>
      </c>
      <c r="AC100" s="1" t="s">
        <v>164</v>
      </c>
      <c r="AD100" s="1" t="s">
        <v>164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908</v>
      </c>
      <c r="AK100" s="142" t="s">
        <v>107</v>
      </c>
      <c r="AL100" s="1" t="s">
        <v>164</v>
      </c>
      <c r="AM100" s="1" t="s">
        <v>164</v>
      </c>
      <c r="AN100" s="1" t="s">
        <v>164</v>
      </c>
      <c r="AO100" s="1" t="s">
        <v>164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8"/>
      <c r="B101" s="9" t="s">
        <v>25</v>
      </c>
      <c r="C101" s="1" t="s">
        <v>907</v>
      </c>
      <c r="D101" s="142" t="s">
        <v>106</v>
      </c>
      <c r="E101" s="80">
        <v>1</v>
      </c>
      <c r="F101" s="1" t="s">
        <v>452</v>
      </c>
      <c r="G101" s="1" t="s">
        <v>164</v>
      </c>
      <c r="H101" s="1" t="s">
        <v>164</v>
      </c>
      <c r="I101" s="143">
        <v>1</v>
      </c>
      <c r="J101" s="1" t="s">
        <v>452</v>
      </c>
      <c r="K101" s="142">
        <v>341</v>
      </c>
      <c r="L101" s="142">
        <v>341</v>
      </c>
      <c r="M101" s="142">
        <v>341</v>
      </c>
      <c r="N101" s="14" t="s">
        <v>906</v>
      </c>
      <c r="O101" s="142" t="s">
        <v>106</v>
      </c>
      <c r="P101" s="80">
        <v>1</v>
      </c>
      <c r="Q101" s="1" t="s">
        <v>452</v>
      </c>
      <c r="R101" s="1" t="s">
        <v>164</v>
      </c>
      <c r="S101" s="1" t="s">
        <v>164</v>
      </c>
      <c r="T101" s="143">
        <v>1</v>
      </c>
      <c r="U101" s="1" t="s">
        <v>452</v>
      </c>
      <c r="V101" s="142">
        <v>355</v>
      </c>
      <c r="W101" s="142">
        <v>355</v>
      </c>
      <c r="X101" s="142">
        <v>355</v>
      </c>
      <c r="Y101" s="14" t="s">
        <v>905</v>
      </c>
      <c r="Z101" s="142" t="s">
        <v>106</v>
      </c>
      <c r="AA101" s="80">
        <v>1</v>
      </c>
      <c r="AB101" s="1" t="s">
        <v>529</v>
      </c>
      <c r="AC101" s="1" t="s">
        <v>164</v>
      </c>
      <c r="AD101" s="1" t="s">
        <v>164</v>
      </c>
      <c r="AE101" s="143">
        <v>1</v>
      </c>
      <c r="AF101" s="1" t="s">
        <v>529</v>
      </c>
      <c r="AG101" s="142">
        <v>4019</v>
      </c>
      <c r="AH101" s="142">
        <v>401.9</v>
      </c>
      <c r="AI101" s="142">
        <v>410</v>
      </c>
      <c r="AJ101" s="14" t="s">
        <v>904</v>
      </c>
      <c r="AK101" s="142" t="s">
        <v>106</v>
      </c>
      <c r="AL101" s="80">
        <v>1</v>
      </c>
      <c r="AM101" s="1" t="s">
        <v>529</v>
      </c>
      <c r="AN101" s="1" t="s">
        <v>164</v>
      </c>
      <c r="AO101" s="1" t="s">
        <v>164</v>
      </c>
      <c r="AP101" s="143">
        <v>1</v>
      </c>
      <c r="AQ101" s="1" t="s">
        <v>529</v>
      </c>
      <c r="AR101" s="142">
        <v>4066</v>
      </c>
      <c r="AS101" s="142">
        <v>406.6</v>
      </c>
      <c r="AT101" s="142">
        <v>408</v>
      </c>
      <c r="AU101" s="4" t="s">
        <v>96</v>
      </c>
    </row>
    <row r="102" spans="1:47" x14ac:dyDescent="0.2">
      <c r="A102" s="168"/>
      <c r="B102" s="9" t="s">
        <v>130</v>
      </c>
      <c r="C102" s="1" t="s">
        <v>902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903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902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901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8"/>
      <c r="B103" s="9" t="s">
        <v>131</v>
      </c>
      <c r="C103" s="1" t="s">
        <v>900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899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898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897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8"/>
      <c r="B104" s="9" t="s">
        <v>33</v>
      </c>
      <c r="C104" s="1" t="s">
        <v>896</v>
      </c>
      <c r="D104" s="142" t="s">
        <v>107</v>
      </c>
      <c r="E104" s="1" t="s">
        <v>164</v>
      </c>
      <c r="F104" s="1" t="s">
        <v>164</v>
      </c>
      <c r="G104" s="1" t="s">
        <v>164</v>
      </c>
      <c r="H104" s="1" t="s">
        <v>164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895</v>
      </c>
      <c r="O104" s="142" t="s">
        <v>107</v>
      </c>
      <c r="P104" s="1" t="s">
        <v>164</v>
      </c>
      <c r="Q104" s="1" t="s">
        <v>164</v>
      </c>
      <c r="R104" s="1" t="s">
        <v>164</v>
      </c>
      <c r="S104" s="1" t="s">
        <v>164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894</v>
      </c>
      <c r="Z104" s="142" t="s">
        <v>107</v>
      </c>
      <c r="AA104" s="1" t="s">
        <v>164</v>
      </c>
      <c r="AB104" s="1" t="s">
        <v>164</v>
      </c>
      <c r="AC104" s="1" t="s">
        <v>164</v>
      </c>
      <c r="AD104" s="1" t="s">
        <v>164</v>
      </c>
      <c r="AE104" s="143">
        <v>0.5</v>
      </c>
      <c r="AF104" s="1" t="s">
        <v>511</v>
      </c>
      <c r="AG104" s="142">
        <v>3415</v>
      </c>
      <c r="AH104" s="142">
        <v>683</v>
      </c>
      <c r="AI104" s="142">
        <v>664</v>
      </c>
      <c r="AJ104" s="14" t="s">
        <v>893</v>
      </c>
      <c r="AK104" s="142" t="s">
        <v>107</v>
      </c>
      <c r="AL104" s="1" t="s">
        <v>164</v>
      </c>
      <c r="AM104" s="1" t="s">
        <v>164</v>
      </c>
      <c r="AN104" s="1" t="s">
        <v>164</v>
      </c>
      <c r="AO104" s="1" t="s">
        <v>164</v>
      </c>
      <c r="AP104" s="143">
        <v>0.5</v>
      </c>
      <c r="AQ104" s="1" t="s">
        <v>511</v>
      </c>
      <c r="AR104" s="142">
        <v>3334</v>
      </c>
      <c r="AS104" s="142">
        <v>666.8</v>
      </c>
      <c r="AT104" s="142">
        <v>666</v>
      </c>
      <c r="AU104" s="4" t="s">
        <v>96</v>
      </c>
    </row>
    <row r="105" spans="1:47" x14ac:dyDescent="0.2">
      <c r="A105" s="168"/>
      <c r="B105" s="9" t="s">
        <v>34</v>
      </c>
      <c r="C105" s="1" t="s">
        <v>892</v>
      </c>
      <c r="D105" s="142" t="s">
        <v>106</v>
      </c>
      <c r="E105" s="80">
        <v>1</v>
      </c>
      <c r="F105" s="1" t="s">
        <v>452</v>
      </c>
      <c r="G105" s="1" t="s">
        <v>164</v>
      </c>
      <c r="H105" s="1" t="s">
        <v>164</v>
      </c>
      <c r="I105" s="143">
        <v>1</v>
      </c>
      <c r="J105" s="1" t="s">
        <v>452</v>
      </c>
      <c r="K105" s="142">
        <v>532</v>
      </c>
      <c r="L105" s="142">
        <v>532</v>
      </c>
      <c r="M105" s="142">
        <v>532</v>
      </c>
      <c r="N105" s="14" t="s">
        <v>891</v>
      </c>
      <c r="O105" s="142" t="s">
        <v>106</v>
      </c>
      <c r="P105" s="80">
        <v>1</v>
      </c>
      <c r="Q105" s="1" t="s">
        <v>452</v>
      </c>
      <c r="R105" s="1" t="s">
        <v>164</v>
      </c>
      <c r="S105" s="1" t="s">
        <v>164</v>
      </c>
      <c r="T105" s="143">
        <v>1</v>
      </c>
      <c r="U105" s="1" t="s">
        <v>452</v>
      </c>
      <c r="V105" s="142">
        <v>563</v>
      </c>
      <c r="W105" s="142">
        <v>563</v>
      </c>
      <c r="X105" s="142">
        <v>563</v>
      </c>
      <c r="Y105" s="14" t="s">
        <v>890</v>
      </c>
      <c r="Z105" s="142" t="s">
        <v>106</v>
      </c>
      <c r="AA105" s="80">
        <v>1</v>
      </c>
      <c r="AB105" s="1" t="s">
        <v>529</v>
      </c>
      <c r="AC105" s="1" t="s">
        <v>164</v>
      </c>
      <c r="AD105" s="1" t="s">
        <v>164</v>
      </c>
      <c r="AE105" s="143">
        <v>1</v>
      </c>
      <c r="AF105" s="1" t="s">
        <v>529</v>
      </c>
      <c r="AG105" s="142">
        <v>6421</v>
      </c>
      <c r="AH105" s="142">
        <v>642.1</v>
      </c>
      <c r="AI105" s="142">
        <v>642.5</v>
      </c>
      <c r="AJ105" s="14" t="s">
        <v>889</v>
      </c>
      <c r="AK105" s="142" t="s">
        <v>106</v>
      </c>
      <c r="AL105" s="80">
        <v>1</v>
      </c>
      <c r="AM105" s="1" t="s">
        <v>529</v>
      </c>
      <c r="AN105" s="1" t="s">
        <v>164</v>
      </c>
      <c r="AO105" s="1" t="s">
        <v>164</v>
      </c>
      <c r="AP105" s="143">
        <v>1</v>
      </c>
      <c r="AQ105" s="1" t="s">
        <v>529</v>
      </c>
      <c r="AR105" s="142">
        <v>6560</v>
      </c>
      <c r="AS105" s="142">
        <v>656</v>
      </c>
      <c r="AT105" s="142">
        <v>644.5</v>
      </c>
      <c r="AU105" s="4" t="s">
        <v>96</v>
      </c>
    </row>
    <row r="106" spans="1:47" x14ac:dyDescent="0.2">
      <c r="A106" s="168"/>
      <c r="B106" s="9" t="s">
        <v>132</v>
      </c>
      <c r="C106" s="1" t="s">
        <v>888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887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886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885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8"/>
      <c r="B107" s="9" t="s">
        <v>133</v>
      </c>
      <c r="C107" s="1" t="s">
        <v>884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883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882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881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2">
        <v>0</v>
      </c>
      <c r="AU107" s="4" t="s">
        <v>96</v>
      </c>
    </row>
    <row r="108" spans="1:47" x14ac:dyDescent="0.2">
      <c r="A108" s="168"/>
      <c r="B108" s="9" t="s">
        <v>134</v>
      </c>
      <c r="C108" s="1" t="s">
        <v>880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879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878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877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8"/>
      <c r="B109" s="9" t="s">
        <v>135</v>
      </c>
      <c r="C109" s="1" t="s">
        <v>875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876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875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874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8"/>
      <c r="B110" s="9" t="s">
        <v>60</v>
      </c>
      <c r="C110" s="1" t="s">
        <v>873</v>
      </c>
      <c r="D110" s="142" t="s">
        <v>107</v>
      </c>
      <c r="E110" s="1" t="s">
        <v>164</v>
      </c>
      <c r="F110" s="1" t="s">
        <v>164</v>
      </c>
      <c r="G110" s="1" t="s">
        <v>164</v>
      </c>
      <c r="H110" s="1" t="s">
        <v>164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872</v>
      </c>
      <c r="O110" s="142" t="s">
        <v>107</v>
      </c>
      <c r="P110" s="1" t="s">
        <v>164</v>
      </c>
      <c r="Q110" s="1" t="s">
        <v>164</v>
      </c>
      <c r="R110" s="1" t="s">
        <v>164</v>
      </c>
      <c r="S110" s="1" t="s">
        <v>164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872</v>
      </c>
      <c r="Z110" s="142" t="s">
        <v>107</v>
      </c>
      <c r="AA110" s="1" t="s">
        <v>164</v>
      </c>
      <c r="AB110" s="1" t="s">
        <v>164</v>
      </c>
      <c r="AC110" s="1" t="s">
        <v>164</v>
      </c>
      <c r="AD110" s="1" t="s">
        <v>164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871</v>
      </c>
      <c r="AK110" s="142" t="s">
        <v>107</v>
      </c>
      <c r="AL110" s="1" t="s">
        <v>164</v>
      </c>
      <c r="AM110" s="1" t="s">
        <v>164</v>
      </c>
      <c r="AN110" s="1" t="s">
        <v>164</v>
      </c>
      <c r="AO110" s="1" t="s">
        <v>164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8"/>
      <c r="B111" s="9" t="s">
        <v>61</v>
      </c>
      <c r="C111" s="1" t="s">
        <v>870</v>
      </c>
      <c r="D111" s="142" t="s">
        <v>106</v>
      </c>
      <c r="E111" s="80">
        <v>1</v>
      </c>
      <c r="F111" s="1" t="s">
        <v>452</v>
      </c>
      <c r="G111" s="1" t="s">
        <v>164</v>
      </c>
      <c r="H111" s="1" t="s">
        <v>164</v>
      </c>
      <c r="I111" s="143">
        <v>1</v>
      </c>
      <c r="J111" s="1" t="s">
        <v>452</v>
      </c>
      <c r="K111" s="142">
        <v>362</v>
      </c>
      <c r="L111" s="142">
        <v>362</v>
      </c>
      <c r="M111" s="142">
        <v>362</v>
      </c>
      <c r="N111" s="14" t="s">
        <v>869</v>
      </c>
      <c r="O111" s="142" t="s">
        <v>106</v>
      </c>
      <c r="P111" s="80">
        <v>1</v>
      </c>
      <c r="Q111" s="1" t="s">
        <v>452</v>
      </c>
      <c r="R111" s="1" t="s">
        <v>164</v>
      </c>
      <c r="S111" s="1" t="s">
        <v>164</v>
      </c>
      <c r="T111" s="143">
        <v>1</v>
      </c>
      <c r="U111" s="1" t="s">
        <v>452</v>
      </c>
      <c r="V111" s="142">
        <v>386</v>
      </c>
      <c r="W111" s="142">
        <v>386</v>
      </c>
      <c r="X111" s="142">
        <v>386</v>
      </c>
      <c r="Y111" s="14" t="s">
        <v>868</v>
      </c>
      <c r="Z111" s="142" t="s">
        <v>106</v>
      </c>
      <c r="AA111" s="80">
        <v>1</v>
      </c>
      <c r="AB111" s="1" t="s">
        <v>452</v>
      </c>
      <c r="AC111" s="1" t="s">
        <v>164</v>
      </c>
      <c r="AD111" s="1" t="s">
        <v>164</v>
      </c>
      <c r="AE111" s="143">
        <v>1</v>
      </c>
      <c r="AF111" s="1" t="s">
        <v>452</v>
      </c>
      <c r="AG111" s="142">
        <v>369</v>
      </c>
      <c r="AH111" s="142">
        <v>369</v>
      </c>
      <c r="AI111" s="142">
        <v>369</v>
      </c>
      <c r="AJ111" s="14" t="s">
        <v>867</v>
      </c>
      <c r="AK111" s="142" t="s">
        <v>106</v>
      </c>
      <c r="AL111" s="80">
        <v>1</v>
      </c>
      <c r="AM111" s="1" t="s">
        <v>452</v>
      </c>
      <c r="AN111" s="1" t="s">
        <v>164</v>
      </c>
      <c r="AO111" s="1" t="s">
        <v>164</v>
      </c>
      <c r="AP111" s="143">
        <v>1</v>
      </c>
      <c r="AQ111" s="1" t="s">
        <v>452</v>
      </c>
      <c r="AR111" s="142">
        <v>398</v>
      </c>
      <c r="AS111" s="142">
        <v>398</v>
      </c>
      <c r="AT111" s="142">
        <v>398</v>
      </c>
      <c r="AU111" s="4" t="s">
        <v>96</v>
      </c>
    </row>
    <row r="112" spans="1:47" x14ac:dyDescent="0.2">
      <c r="A112" s="168"/>
      <c r="B112" s="9" t="s">
        <v>136</v>
      </c>
      <c r="C112" s="1" t="s">
        <v>866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865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864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863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8"/>
      <c r="B113" s="9" t="s">
        <v>137</v>
      </c>
      <c r="C113" s="1" t="s">
        <v>862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861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860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859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8"/>
      <c r="B114" s="9" t="s">
        <v>138</v>
      </c>
      <c r="C114" s="1" t="s">
        <v>858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857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856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855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8"/>
      <c r="B115" s="9" t="s">
        <v>139</v>
      </c>
      <c r="C115" s="1" t="s">
        <v>854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853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852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851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8"/>
      <c r="B116" s="9" t="s">
        <v>140</v>
      </c>
      <c r="C116" s="1" t="s">
        <v>850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849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848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848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8"/>
      <c r="B117" s="9" t="s">
        <v>141</v>
      </c>
      <c r="C117" s="1" t="s">
        <v>847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846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845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844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8"/>
      <c r="B118" s="9" t="s">
        <v>142</v>
      </c>
      <c r="C118" s="1" t="s">
        <v>843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842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841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840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8"/>
      <c r="B119" s="9" t="s">
        <v>143</v>
      </c>
      <c r="C119" s="1" t="s">
        <v>838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839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838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837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A96:A119"/>
    <mergeCell ref="A1:A2"/>
    <mergeCell ref="B1:B2"/>
    <mergeCell ref="C1:M1"/>
    <mergeCell ref="N1:X1"/>
    <mergeCell ref="A3:A95"/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A7FC-5422-D64C-B5F2-E1BDF28BEF89}">
  <dimension ref="B2:AD78"/>
  <sheetViews>
    <sheetView zoomScale="80" zoomScaleNormal="80" workbookViewId="0"/>
  </sheetViews>
  <sheetFormatPr baseColWidth="10" defaultColWidth="10.83203125" defaultRowHeight="20" x14ac:dyDescent="0.25"/>
  <cols>
    <col min="1" max="1" width="6" style="12" customWidth="1"/>
    <col min="2" max="2" width="20.83203125" style="12" customWidth="1"/>
    <col min="3" max="3" width="25.83203125" style="12" customWidth="1"/>
    <col min="4" max="5" width="20.83203125" style="12" customWidth="1"/>
    <col min="6" max="6" width="21" style="12" customWidth="1"/>
    <col min="7" max="7" width="20.83203125" style="12" customWidth="1"/>
    <col min="8" max="10" width="10.83203125" style="12" customWidth="1"/>
    <col min="11" max="19" width="10.83203125" style="12"/>
    <col min="20" max="30" width="10.83203125" style="12" customWidth="1"/>
    <col min="31" max="16384" width="10.83203125" style="12"/>
  </cols>
  <sheetData>
    <row r="2" spans="2:9" x14ac:dyDescent="0.25">
      <c r="B2" s="23" t="s">
        <v>3987</v>
      </c>
      <c r="C2" s="23">
        <f>COUNTIF(Athena_BV!B3:B119,"*_NT.c")</f>
        <v>56</v>
      </c>
      <c r="D2" s="21"/>
    </row>
    <row r="3" spans="2:9" ht="21" thickBot="1" x14ac:dyDescent="0.3"/>
    <row r="4" spans="2:9" ht="21" thickBot="1" x14ac:dyDescent="0.3">
      <c r="B4" s="153" t="s">
        <v>104</v>
      </c>
      <c r="C4" s="154" t="s">
        <v>105</v>
      </c>
      <c r="D4" s="155" t="s">
        <v>114</v>
      </c>
      <c r="E4" s="155" t="s">
        <v>115</v>
      </c>
      <c r="F4" s="155" t="s">
        <v>152</v>
      </c>
      <c r="G4" s="155" t="s">
        <v>153</v>
      </c>
      <c r="I4" s="24"/>
    </row>
    <row r="5" spans="2:9" x14ac:dyDescent="0.25">
      <c r="B5" s="176" t="s">
        <v>144</v>
      </c>
      <c r="C5" s="156" t="s">
        <v>3976</v>
      </c>
      <c r="D5" s="157">
        <f>COUNTIFS(Athena!B3:B119,"*_NT.c", Athena!D3:D119,"correct", Athena!G3:G119,"&gt;0")</f>
        <v>39</v>
      </c>
      <c r="E5" s="157">
        <f>COUNTIFS(Athena!B3:B119,"*_NT.c", Athena!O3:O119,"correct", Athena!R3:R119,"&gt;0")</f>
        <v>35</v>
      </c>
      <c r="F5" s="157">
        <f>COUNTIFS(Athena!B3:B119,"*_NT.c", Athena!Z3:Z119,"correct", Athena!AC3:AC119,"&gt;0")</f>
        <v>37</v>
      </c>
      <c r="G5" s="157">
        <f>COUNTIFS(Athena!B3:B119,"*_NT.c", Athena!AK3:AK119,"correct", Athena!AN3:AN119,"&gt;0")</f>
        <v>34</v>
      </c>
      <c r="I5" s="24"/>
    </row>
    <row r="6" spans="2:9" x14ac:dyDescent="0.25">
      <c r="B6" s="171"/>
      <c r="C6" s="156" t="s">
        <v>3977</v>
      </c>
      <c r="D6" s="157">
        <f>COUNTIFS(Athena!B3:B119,"*_NT.c", Athena!D3:D119,"correct",Athena!G3:G119,"&gt;=0.5")</f>
        <v>39</v>
      </c>
      <c r="E6" s="157">
        <f>COUNTIFS(Athena!B3:B119,"*_NT.c", Athena!O3:O119,"correct", Athena!R3:R119,"&gt;=0.5")</f>
        <v>34</v>
      </c>
      <c r="F6" s="157">
        <f>COUNTIFS(Athena!B3:B119,"*_NT.c", Athena!Z3:Z119,"correct", Athena!AC3:AC119,"&gt;=0.5")</f>
        <v>33</v>
      </c>
      <c r="G6" s="157">
        <f>COUNTIFS(Athena!B3:B119,"*_NT.c", Athena!AK3:AK119,"correct", Athena!AN3:AN119,"&gt;=0.5")</f>
        <v>30</v>
      </c>
      <c r="I6" s="24"/>
    </row>
    <row r="7" spans="2:9" x14ac:dyDescent="0.25">
      <c r="B7" s="171"/>
      <c r="C7" s="156" t="s">
        <v>3978</v>
      </c>
      <c r="D7" s="157">
        <f>COUNTIFS(Athena!B3:B119,"*_NT.c", Athena!D3:D119,"correct", Athena!G3:G119,"=1")</f>
        <v>39</v>
      </c>
      <c r="E7" s="158">
        <f>COUNTIFS(Athena!B3:B119,"*_NT.c", Athena!O3:O119,"correct", Athena!R3:R119,"=1")</f>
        <v>32</v>
      </c>
      <c r="F7" s="158">
        <f>COUNTIFS(Athena!B3:B119,"*_NT.c", Athena!Z3:Z119,"correct", Athena!AC3:AC119,"=1")</f>
        <v>31</v>
      </c>
      <c r="G7" s="158">
        <f>COUNTIFS(Athena!B3:B119,"*_NT.c", Athena!AK3:AK119,"correct", Athena!AN3:AN119,"=1")</f>
        <v>28</v>
      </c>
      <c r="I7" s="17"/>
    </row>
    <row r="8" spans="2:9" ht="21" thickBot="1" x14ac:dyDescent="0.3">
      <c r="B8" s="172"/>
      <c r="C8" s="159" t="s">
        <v>107</v>
      </c>
      <c r="D8" s="160">
        <f>COUNTIFS(Athena!B3:B119,"*_NT.c", Athena!D3:D119,"wrong")</f>
        <v>0</v>
      </c>
      <c r="E8" s="160">
        <f>COUNTIFS(Athena!B3:B119,"*_NT.c", Athena!O3:O119,"wrong")</f>
        <v>0</v>
      </c>
      <c r="F8" s="160">
        <f>COUNTIFS(Athena!B3:B119,"*_NT.c", Athena!Z3:Z119,"wrong")</f>
        <v>0</v>
      </c>
      <c r="G8" s="160">
        <f>COUNTIFS(Athena!B3:B119,"*_NT.c", Athena!AK3:AK119,"wrong")</f>
        <v>0</v>
      </c>
      <c r="I8" s="17"/>
    </row>
    <row r="9" spans="2:9" x14ac:dyDescent="0.25">
      <c r="B9" s="176" t="s">
        <v>116</v>
      </c>
      <c r="C9" s="156" t="s">
        <v>3976</v>
      </c>
      <c r="D9" s="157">
        <f>COUNTIFS(PROTON!B3:B119,"*_NT.c", PROTON!D3:D119,"correct", PROTON!G3:G119,"&gt;0")</f>
        <v>30</v>
      </c>
      <c r="E9" s="157">
        <f>COUNTIFS(PROTON!B3:B119,"*_NT.c", PROTON!O3:O119,"correct", PROTON!R3:R119,"&gt;0")</f>
        <v>34</v>
      </c>
      <c r="F9" s="157">
        <f>COUNTIFS(PROTON!B3:B119,"*_NT.c", PROTON!Z3:Z119,"correct", PROTON!AC3:AC119,"&gt;0")</f>
        <v>29</v>
      </c>
      <c r="G9" s="157">
        <f>COUNTIFS(PROTON!B3:B119,"*_NT.c", PROTON!AK3:AK119,"correct", PROTON!AN3:AN119,"&gt;0")</f>
        <v>31</v>
      </c>
      <c r="I9" s="17"/>
    </row>
    <row r="10" spans="2:9" x14ac:dyDescent="0.25">
      <c r="B10" s="171"/>
      <c r="C10" s="156" t="s">
        <v>3977</v>
      </c>
      <c r="D10" s="157">
        <f>COUNTIFS(PROTON!B3:B119,"*_NT.c", PROTON!D3:D119,"correct", PROTON!G3:G119,"&gt;=0.5")</f>
        <v>30</v>
      </c>
      <c r="E10" s="157">
        <f>COUNTIFS(PROTON!B3:B119,"*_NT.c", PROTON!O3:O119,"correct", PROTON!R3:R119,"&gt;=0.5")</f>
        <v>34</v>
      </c>
      <c r="F10" s="157">
        <f>COUNTIFS(PROTON!B3:B119,"*_NT.c", PROTON!Z3:Z119,"correct", PROTON!AC3:AC119,"&gt;=0.5")</f>
        <v>28</v>
      </c>
      <c r="G10" s="157">
        <f>COUNTIFS(PROTON!B3:B119,"*_NT.c", PROTON!AK3:AK119,"correct", PROTON!AN3:AN119,"&gt;=0.5")</f>
        <v>30</v>
      </c>
      <c r="I10" s="17"/>
    </row>
    <row r="11" spans="2:9" x14ac:dyDescent="0.25">
      <c r="B11" s="171"/>
      <c r="C11" s="156" t="s">
        <v>3978</v>
      </c>
      <c r="D11" s="157">
        <f>COUNTIFS(PROTON!B3:B119,"*_NT.c", PROTON!D3:D119,"correct", PROTON!G3:G119,"=1")</f>
        <v>30</v>
      </c>
      <c r="E11" s="158">
        <f>COUNTIFS(PROTON!B3:B119,"*_NT.c", PROTON!O3:O119,"correct", PROTON!R3:R119,"=1")</f>
        <v>33</v>
      </c>
      <c r="F11" s="158">
        <f>COUNTIFS(PROTON!B3:B119,"*_NT.c", PROTON!Z3:Z119,"correct", PROTON!AC3:AC119,"=1")</f>
        <v>25</v>
      </c>
      <c r="G11" s="158">
        <f>COUNTIFS(PROTON!B3:B119,"*_NT.c", PROTON!AK3:AK119,"correct", PROTON!AN3:AN119,"=1")</f>
        <v>25</v>
      </c>
      <c r="I11" s="17"/>
    </row>
    <row r="12" spans="2:9" ht="21" thickBot="1" x14ac:dyDescent="0.3">
      <c r="B12" s="172"/>
      <c r="C12" s="159" t="s">
        <v>107</v>
      </c>
      <c r="D12" s="160">
        <f>COUNTIFS(PROTON!B3:B119,"*_NT.c", PROTON!D3:D119,"wrong")</f>
        <v>5</v>
      </c>
      <c r="E12" s="160">
        <f>COUNTIFS(PROTON!B3:B119,"*_NT.c", PROTON!O3:O119,"wrong")</f>
        <v>4</v>
      </c>
      <c r="F12" s="160">
        <f>COUNTIFS(PROTON!B3:B119,"*_NT.c", PROTON!Z3:Z119,"wrong")</f>
        <v>9</v>
      </c>
      <c r="G12" s="160">
        <f>COUNTIFS(PROTON!B3:B119,"*_NT.c", PROTON!AK3:AK119,"wrong")</f>
        <v>8</v>
      </c>
      <c r="I12" s="17"/>
    </row>
    <row r="13" spans="2:9" x14ac:dyDescent="0.25">
      <c r="B13" s="176" t="s">
        <v>109</v>
      </c>
      <c r="C13" s="156" t="s">
        <v>3976</v>
      </c>
      <c r="D13" s="157">
        <f>COUNTIFS(UAutomizer!B3:B119,"*_NT.c", UAutomizer!D3:D119,"correct", UAutomizer!G3:G119,"&gt;0")</f>
        <v>23</v>
      </c>
      <c r="E13" s="157">
        <f>COUNTIFS(UAutomizer!B3:B119,"*_NT.c", UAutomizer!O3:O119,"correct", UAutomizer!R3:R119,"&gt;0")</f>
        <v>20</v>
      </c>
      <c r="F13" s="157">
        <f>COUNTIFS(UAutomizer!B3:B119,"*_NT.c", UAutomizer!Z3:Z119,"correct", UAutomizer!AC3:AC119,"&gt;0")</f>
        <v>22</v>
      </c>
      <c r="G13" s="157">
        <f>COUNTIFS(UAutomizer!B3:B119,"*_NT.c", UAutomizer!AK3:AK119,"correct", UAutomizer!AN3:AN119,"&gt;0")</f>
        <v>17</v>
      </c>
      <c r="I13" s="17"/>
    </row>
    <row r="14" spans="2:9" x14ac:dyDescent="0.25">
      <c r="B14" s="171"/>
      <c r="C14" s="156" t="s">
        <v>3977</v>
      </c>
      <c r="D14" s="157">
        <f>COUNTIFS(UAutomizer!B3:B119,"*_NT.c", UAutomizer!D3:D119,"correct", UAutomizer!G3:G119,"&gt;=0.5")</f>
        <v>23</v>
      </c>
      <c r="E14" s="158">
        <f>COUNTIFS(UAutomizer!B3:B119,"*_NT.c", UAutomizer!O3:O119,"correct", UAutomizer!R3:R119,"&gt;=0.5")</f>
        <v>20</v>
      </c>
      <c r="F14" s="158">
        <f>COUNTIFS(UAutomizer!B3:B119,"*_NT.c", UAutomizer!Z3:Z119,"correct", UAutomizer!AC3:AC119,"&gt;=0.5")</f>
        <v>19</v>
      </c>
      <c r="G14" s="158">
        <f>COUNTIFS(UAutomizer!B3:B119,"*_NT.c", UAutomizer!AK3:AK119,"correct", UAutomizer!AN3:AN119,"&gt;=0.5")</f>
        <v>14</v>
      </c>
      <c r="I14" s="17"/>
    </row>
    <row r="15" spans="2:9" x14ac:dyDescent="0.25">
      <c r="B15" s="171"/>
      <c r="C15" s="156" t="s">
        <v>3978</v>
      </c>
      <c r="D15" s="157">
        <f>COUNTIFS(UAutomizer!B3:B119,"*_NT.c", UAutomizer!D3:D119,"correct", UAutomizer!G3:G119,"=1")</f>
        <v>23</v>
      </c>
      <c r="E15" s="158">
        <f>COUNTIFS(UAutomizer!B3:B119,"*_NT.c", UAutomizer!O3:O119,"correct", UAutomizer!R3:R119,"=1")</f>
        <v>19</v>
      </c>
      <c r="F15" s="158">
        <f>COUNTIFS(UAutomizer!B3:B119,"*_NT.c", UAutomizer!Z3:Z119,"correct", UAutomizer!AC3:AC119,"=1")</f>
        <v>15</v>
      </c>
      <c r="G15" s="158">
        <f>COUNTIFS(UAutomizer!B3:B119,"*_NT.c", UAutomizer!AK3:AK119,"correct", UAutomizer!AN3:AN119,"=1")</f>
        <v>10</v>
      </c>
      <c r="I15" s="17"/>
    </row>
    <row r="16" spans="2:9" ht="21" thickBot="1" x14ac:dyDescent="0.3">
      <c r="B16" s="172"/>
      <c r="C16" s="159" t="s">
        <v>107</v>
      </c>
      <c r="D16" s="160">
        <f>COUNTIFS(UAutomizer!B3:B119,"*_NT.c", UAutomizer!D3:D119,"wrong")</f>
        <v>2</v>
      </c>
      <c r="E16" s="160">
        <f>COUNTIFS(UAutomizer!B3:B119,"*_NT.c", UAutomizer!O3:O119,"wrong")</f>
        <v>2</v>
      </c>
      <c r="F16" s="160">
        <f>COUNTIFS(UAutomizer!B3:B119,"*_NT.c", UAutomizer!Z3:Z119,"wrong")</f>
        <v>7</v>
      </c>
      <c r="G16" s="160">
        <f>COUNTIFS(UAutomizer!B3:B119,"*_NT.c", UAutomizer!AK3:AK119,"wrong")</f>
        <v>7</v>
      </c>
      <c r="I16" s="17"/>
    </row>
    <row r="17" spans="2:14" x14ac:dyDescent="0.25">
      <c r="B17" s="176" t="s">
        <v>108</v>
      </c>
      <c r="C17" s="156" t="s">
        <v>3976</v>
      </c>
      <c r="D17" s="157">
        <f>COUNTIFS(AProVE!B3:B119,"*_NT.c", AProVE!D3:D119,"correct", AProVE!G3:G119,"&gt;0")</f>
        <v>13</v>
      </c>
      <c r="E17" s="157">
        <f>COUNTIFS(AProVE!B3:B119,"*_NT.c", AProVE!O3:O119,"correct", AProVE!R3:R119,"&gt;0")</f>
        <v>14</v>
      </c>
      <c r="F17" s="157">
        <f>COUNTIFS(AProVE!B3:B119,"*_NT.c", AProVE!Z3:Z119,"correct", AProVE!AC3:AC119,"&gt;0")</f>
        <v>19</v>
      </c>
      <c r="G17" s="157">
        <f>COUNTIFS(AProVE!B3:B119,"*_NT.c", AProVE!AK3:AK119,"correct", AProVE!AN3:AN119,"&gt;0")</f>
        <v>19</v>
      </c>
      <c r="I17" s="17"/>
    </row>
    <row r="18" spans="2:14" x14ac:dyDescent="0.25">
      <c r="B18" s="171"/>
      <c r="C18" s="156" t="s">
        <v>3977</v>
      </c>
      <c r="D18" s="157">
        <f>COUNTIFS(AProVE!B3:B119,"*_NT.c", AProVE!D3:D119,"correct", AProVE!G3:G119,"&gt;=0.5")</f>
        <v>13</v>
      </c>
      <c r="E18" s="158">
        <f>COUNTIFS(AProVE!B3:B119,"*_NT.c", AProVE!O3:O119,"correct", AProVE!R3:R119,"&gt;=0.5")</f>
        <v>14</v>
      </c>
      <c r="F18" s="158">
        <f>COUNTIFS(AProVE!B3:B119,"*_NT.c", AProVE!Z3:Z119,"correct", AProVE!AC3:AC119,"&gt;=0.5")</f>
        <v>15</v>
      </c>
      <c r="G18" s="158">
        <f>COUNTIFS(AProVE!B3:B119,"*_NT.c", AProVE!AK3:AK119,"correct", AProVE!AN3:AN119,"&gt;=0.5")</f>
        <v>16</v>
      </c>
      <c r="I18" s="17"/>
    </row>
    <row r="19" spans="2:14" x14ac:dyDescent="0.25">
      <c r="B19" s="171"/>
      <c r="C19" s="156" t="s">
        <v>3978</v>
      </c>
      <c r="D19" s="157">
        <f>COUNTIFS(AProVE!B3:B119,"*_NT.c", AProVE!D3:D119,"correct", AProVE!G3:G119,"=1")</f>
        <v>13</v>
      </c>
      <c r="E19" s="158">
        <f>COUNTIFS(AProVE!B3:B119,"*_NT.c", AProVE!O3:O119,"correct", AProVE!R3:R119,"=1")</f>
        <v>12</v>
      </c>
      <c r="F19" s="158">
        <f>COUNTIFS(AProVE!B3:B119,"*_NT.c", AProVE!Z3:Z119,"correct", AProVE!AC3:AC119,"=1")</f>
        <v>14</v>
      </c>
      <c r="G19" s="158">
        <f>COUNTIFS(AProVE!B3:B119,"*_NT.c", AProVE!AK3:AK119,"correct", AProVE!AN3:AN119,"=1")</f>
        <v>13</v>
      </c>
      <c r="I19" s="17"/>
    </row>
    <row r="20" spans="2:14" ht="21" thickBot="1" x14ac:dyDescent="0.3">
      <c r="B20" s="172"/>
      <c r="C20" s="159" t="s">
        <v>107</v>
      </c>
      <c r="D20" s="160">
        <f>COUNTIFS(AProVE!B3:B119,"*_NT.c", AProVE!D3:D119,"wrong")</f>
        <v>4</v>
      </c>
      <c r="E20" s="160">
        <f>COUNTIFS(AProVE!B3:B119,"*_NT.c", AProVE!O3:O119,"wrong")</f>
        <v>4</v>
      </c>
      <c r="F20" s="160">
        <f>COUNTIFS(AProVE!B3:B119,"*_NT.c", AProVE!Z3:Z119,"wrong")</f>
        <v>8</v>
      </c>
      <c r="G20" s="160">
        <f>COUNTIFS(AProVE!B3:B119,"*_NT.c", AProVE!AK3:AK119,"wrong")</f>
        <v>8</v>
      </c>
      <c r="I20" s="17"/>
    </row>
    <row r="21" spans="2:14" x14ac:dyDescent="0.25">
      <c r="B21" s="176" t="s">
        <v>110</v>
      </c>
      <c r="C21" s="156" t="s">
        <v>3976</v>
      </c>
      <c r="D21" s="157">
        <f>COUNTIFS(CPAchecker!B3:B119,"*_NT.c", CPAchecker!D3:D119,"correct", CPAchecker!G3:G119,"&gt;0")</f>
        <v>20</v>
      </c>
      <c r="E21" s="157">
        <f>COUNTIFS(CPAchecker!B3:B119,"*_NT.c", CPAchecker!O3:O119,"correct", CPAchecker!R3:R119,"&gt;0")</f>
        <v>22</v>
      </c>
      <c r="F21" s="157">
        <f>COUNTIFS(CPAchecker!B3:B119,"*_NT.c", CPAchecker!Z3:Z119,"correct", CPAchecker!AC3:AC119,"&gt;0")</f>
        <v>19</v>
      </c>
      <c r="G21" s="157">
        <f>COUNTIFS(CPAchecker!B3:B119,"*_NT.c", CPAchecker!AK3:AK119,"correct", CPAchecker!AN3:AN119,"&gt;0")</f>
        <v>21</v>
      </c>
      <c r="I21" s="17"/>
    </row>
    <row r="22" spans="2:14" x14ac:dyDescent="0.25">
      <c r="B22" s="171"/>
      <c r="C22" s="156" t="s">
        <v>3977</v>
      </c>
      <c r="D22" s="157">
        <f>COUNTIFS(CPAchecker!B3:B119,"*_NT.c", CPAchecker!D3:D119,"correct", CPAchecker!G3:G119,"&gt;=0.5")</f>
        <v>20</v>
      </c>
      <c r="E22" s="158">
        <f>COUNTIFS(CPAchecker!B3:B119,"*_NT.c", CPAchecker!O3:O119,"correct", CPAchecker!R3:R119,"&gt;=0.5")</f>
        <v>22</v>
      </c>
      <c r="F22" s="158">
        <f>COUNTIFS(CPAchecker!B3:B119,"*_NT.c", CPAchecker!Z3:Z119,"correct", CPAchecker!AC3:AC119,"&gt;=0.5")</f>
        <v>18</v>
      </c>
      <c r="G22" s="158">
        <f>COUNTIFS(CPAchecker!B3:B119,"*_NT.c", CPAchecker!AK3:AK119,"correct", CPAchecker!AN3:AN119,"&gt;=0.5")</f>
        <v>20</v>
      </c>
      <c r="I22" s="17"/>
    </row>
    <row r="23" spans="2:14" x14ac:dyDescent="0.25">
      <c r="B23" s="171"/>
      <c r="C23" s="156" t="s">
        <v>3978</v>
      </c>
      <c r="D23" s="157">
        <f>COUNTIFS(CPAchecker!B3:B119,"*_NT.c", CPAchecker!D3:D119,"correct", CPAchecker!G3:G119,"=1")</f>
        <v>20</v>
      </c>
      <c r="E23" s="158">
        <f>COUNTIFS(CPAchecker!B3:B119,"*_NT.c", CPAchecker!O3:O119,"correct", CPAchecker!R3:R119,"=1")</f>
        <v>21</v>
      </c>
      <c r="F23" s="158">
        <f>COUNTIFS(CPAchecker!B3:B119,"*_NT.c", CPAchecker!Z3:Z119,"correct", CPAchecker!AC3:AC119,"=1")</f>
        <v>17</v>
      </c>
      <c r="G23" s="158">
        <f>COUNTIFS(CPAchecker!B3:B119,"*_NT.c", CPAchecker!AK3:AK119,"correct", CPAchecker!AN3:AN119,"=1")</f>
        <v>17</v>
      </c>
      <c r="I23" s="17"/>
    </row>
    <row r="24" spans="2:14" ht="21" thickBot="1" x14ac:dyDescent="0.3">
      <c r="B24" s="172"/>
      <c r="C24" s="159" t="s">
        <v>107</v>
      </c>
      <c r="D24" s="160">
        <f>COUNTIFS(CPAchecker!B3:B119,"*_NT.c", CPAchecker!D3:D119,"wrong")</f>
        <v>1</v>
      </c>
      <c r="E24" s="160">
        <f>COUNTIFS(CPAchecker!B3:B119,"*_NT.c", CPAchecker!O3:O119,"wrong")</f>
        <v>0</v>
      </c>
      <c r="F24" s="160">
        <f>COUNTIFS(CPAchecker!B3:B119,"*_NT.c", CPAchecker!Z3:Z119,"wrong")</f>
        <v>4</v>
      </c>
      <c r="G24" s="160">
        <f>COUNTIFS(CPAchecker!B3:B119,"*_NT.c", CPAchecker!AK3:AK119,"wrong")</f>
        <v>3</v>
      </c>
      <c r="I24" s="17"/>
    </row>
    <row r="25" spans="2:14" x14ac:dyDescent="0.25">
      <c r="B25" s="177" t="s">
        <v>111</v>
      </c>
      <c r="C25" s="156" t="s">
        <v>3976</v>
      </c>
      <c r="D25" s="157">
        <f>COUNTIFS('2LS'!B3:B119,"*_NT.c", '2LS'!D3:D119,"correct", '2LS'!G3:G119,"&gt;0")</f>
        <v>1</v>
      </c>
      <c r="E25" s="157">
        <f>COUNTIFS('2LS'!B3:B119,"*_NT.c", '2LS'!O3:O119,"correct", '2LS'!R3:R119,"&gt;0")</f>
        <v>1</v>
      </c>
      <c r="F25" s="157">
        <f>COUNTIFS('2LS'!B3:B119,"*_NT.c", '2LS'!Z3:Z119,"correct", '2LS'!AC3:AC119,"&gt;0")</f>
        <v>25</v>
      </c>
      <c r="G25" s="157">
        <f>COUNTIFS('2LS'!B3:B119,"*_NT.c", '2LS'!AK3:AK119,"correct", '2LS'!AN3:AN119,"&gt;0")</f>
        <v>24</v>
      </c>
      <c r="I25" s="17"/>
    </row>
    <row r="26" spans="2:14" x14ac:dyDescent="0.25">
      <c r="B26" s="178"/>
      <c r="C26" s="156" t="s">
        <v>3977</v>
      </c>
      <c r="D26" s="157">
        <f>COUNTIFS('2LS'!B3:B119,"*_NT.c", '2LS'!D3:D119,"correct", '2LS'!G3:G119,"&gt;=0.5")</f>
        <v>1</v>
      </c>
      <c r="E26" s="158">
        <f>COUNTIFS('2LS'!B3:B119,"*_NT.c", '2LS'!O3:O119,"correct", '2LS'!R3:R119,"&gt;=0.5")</f>
        <v>1</v>
      </c>
      <c r="F26" s="158">
        <f>COUNTIFS('2LS'!B3:B119,"*_NT.c", '2LS'!Z3:Z119,"correct", '2LS'!AC3:AC119,"&gt;=0.5")</f>
        <v>21</v>
      </c>
      <c r="G26" s="158">
        <f>COUNTIFS('2LS'!B3:B119,"*_NT.c", '2LS'!AK3:AK119,"correct", '2LS'!AN3:AN119,"&gt;=0.5")</f>
        <v>20</v>
      </c>
      <c r="I26" s="17"/>
    </row>
    <row r="27" spans="2:14" x14ac:dyDescent="0.25">
      <c r="B27" s="178"/>
      <c r="C27" s="156" t="s">
        <v>3978</v>
      </c>
      <c r="D27" s="157">
        <f>COUNTIFS('2LS'!B3:B119,"*_NT.c", '2LS'!D3:D119,"correct", '2LS'!G3:G119,"=1")</f>
        <v>1</v>
      </c>
      <c r="E27" s="158">
        <f>COUNTIFS('2LS'!B3:B119,"*_NT.c", '2LS'!O3:O119,"correct", '2LS'!R3:R119,"=1")</f>
        <v>1</v>
      </c>
      <c r="F27" s="158">
        <f>COUNTIFS('2LS'!B3:B119,"*_NT.c", '2LS'!Z3:Z119,"correct", '2LS'!AC3:AC119,"=1")</f>
        <v>19</v>
      </c>
      <c r="G27" s="158">
        <f>COUNTIFS('2LS'!B3:B119,"*_NT.c", '2LS'!AK3:AK119,"correct", '2LS'!AN3:AN119,"=1")</f>
        <v>18</v>
      </c>
      <c r="I27" s="17"/>
    </row>
    <row r="28" spans="2:14" ht="21" thickBot="1" x14ac:dyDescent="0.3">
      <c r="B28" s="179"/>
      <c r="C28" s="159" t="s">
        <v>107</v>
      </c>
      <c r="D28" s="160">
        <f>COUNTIFS('2LS'!B3:B119,"*_NT.c", '2LS'!D3:D119,"wrong")</f>
        <v>3</v>
      </c>
      <c r="E28" s="160">
        <f>COUNTIFS('2LS'!B3:B119,"*_NT.c", '2LS'!O3:O119,"wrong")</f>
        <v>4</v>
      </c>
      <c r="F28" s="160">
        <f>COUNTIFS('2LS'!B3:B119,"*_NT.c", '2LS'!Z3:Z119,"wrong")</f>
        <v>3</v>
      </c>
      <c r="G28" s="160">
        <f>COUNTIFS('2LS'!B3:B119,"*_NT.c", '2LS'!AK3:AK119,"wrong")</f>
        <v>4</v>
      </c>
      <c r="I28" s="17"/>
    </row>
    <row r="29" spans="2:14" x14ac:dyDescent="0.25">
      <c r="B29" s="85"/>
      <c r="C29" s="85"/>
      <c r="D29" s="85"/>
      <c r="E29" s="85"/>
      <c r="F29" s="85"/>
      <c r="G29" s="85"/>
    </row>
    <row r="30" spans="2:14" x14ac:dyDescent="0.25">
      <c r="B30" s="162" t="s">
        <v>3988</v>
      </c>
      <c r="C30" s="162">
        <f>COUNTIF(Athena_BV!B3:B119,"*_T.c")</f>
        <v>61</v>
      </c>
      <c r="D30" s="161"/>
      <c r="E30" s="85"/>
      <c r="F30" s="85"/>
      <c r="G30" s="85"/>
    </row>
    <row r="31" spans="2:14" ht="21" thickBot="1" x14ac:dyDescent="0.3">
      <c r="B31" s="85"/>
      <c r="C31" s="85"/>
      <c r="D31" s="85"/>
      <c r="E31" s="85"/>
      <c r="F31" s="85"/>
      <c r="G31" s="85"/>
    </row>
    <row r="32" spans="2:14" ht="21" thickBot="1" x14ac:dyDescent="0.3">
      <c r="B32" s="153" t="s">
        <v>104</v>
      </c>
      <c r="C32" s="154" t="s">
        <v>105</v>
      </c>
      <c r="D32" s="155" t="s">
        <v>114</v>
      </c>
      <c r="E32" s="155" t="s">
        <v>115</v>
      </c>
      <c r="F32" s="155" t="s">
        <v>152</v>
      </c>
      <c r="G32" s="155" t="s">
        <v>153</v>
      </c>
      <c r="J32" s="19"/>
      <c r="K32" s="24"/>
      <c r="L32" s="24"/>
      <c r="M32" s="24"/>
      <c r="N32" s="24"/>
    </row>
    <row r="33" spans="2:30" x14ac:dyDescent="0.25">
      <c r="B33" s="176" t="s">
        <v>144</v>
      </c>
      <c r="C33" s="156" t="s">
        <v>3996</v>
      </c>
      <c r="D33" s="157">
        <f>COUNTIFS(Athena!B3:B119,"*_T.c", Athena!D3:D119,"correct", Athena!E3:E119,"&gt;0")</f>
        <v>36</v>
      </c>
      <c r="E33" s="157">
        <f>COUNTIFS(Athena!B3:B119,"*_T.c", Athena!O3:O119,"correct", Athena!P3:P119,"&gt;0")</f>
        <v>39</v>
      </c>
      <c r="F33" s="157">
        <f>COUNTIFS(Athena!B3:B119,"*_T.c", Athena!Z3:Z119,"correct", Athena!AA3:AA119,"&gt;0")</f>
        <v>45</v>
      </c>
      <c r="G33" s="157">
        <f>COUNTIFS(Athena!B3:B119,"*_T.c", Athena!AK3:AK119,"correct", Athena!AL3:AL119,"&gt;0")</f>
        <v>46</v>
      </c>
      <c r="J33" s="19"/>
      <c r="K33" s="2"/>
    </row>
    <row r="34" spans="2:30" x14ac:dyDescent="0.25">
      <c r="B34" s="171"/>
      <c r="C34" s="156" t="s">
        <v>3997</v>
      </c>
      <c r="D34" s="157">
        <f>COUNTIFS(Athena!B3:B119,"*_T.c", Athena!D3:D119,"correct",Athena!E3:E119,"&gt;=0.5")</f>
        <v>36</v>
      </c>
      <c r="E34" s="157">
        <f>COUNTIFS(Athena!B3:B119,"*_T.c", Athena!O3:O119,"correct", Athena!P3:P119,"&gt;=0.5")</f>
        <v>37</v>
      </c>
      <c r="F34" s="157">
        <f>COUNTIFS(Athena!B3:B119,"*_T.c", Athena!Z3:Z119,"correct", Athena!AA3:AA119,"&gt;=0.5")</f>
        <v>43</v>
      </c>
      <c r="G34" s="157">
        <f>COUNTIFS(Athena!B3:B119,"*_T.c", Athena!AK3:AK119,"correct", Athena!AL3:AL119,"&gt;=0.5")</f>
        <v>41</v>
      </c>
      <c r="J34" s="19"/>
      <c r="K34" s="2"/>
    </row>
    <row r="35" spans="2:30" x14ac:dyDescent="0.25">
      <c r="B35" s="171"/>
      <c r="C35" s="156" t="s">
        <v>3998</v>
      </c>
      <c r="D35" s="157">
        <f>COUNTIFS(Athena!B3:B119,"*_T.c", Athena!D3:D119,"correct", Athena!E3:E119,"=1")</f>
        <v>36</v>
      </c>
      <c r="E35" s="158">
        <f>COUNTIFS(Athena!B3:B119,"*_T.c", Athena!O3:O119,"correct", Athena!P3:P119,"=1")</f>
        <v>34</v>
      </c>
      <c r="F35" s="158">
        <f>COUNTIFS(Athena!B3:B119,"*_T.c", Athena!Z3:Z119,"correct", Athena!AA3:AA119,"=1")</f>
        <v>39</v>
      </c>
      <c r="G35" s="158">
        <f>COUNTIFS(Athena!B3:B119,"*_T.c", Athena!AK3:AK119,"correct", Athena!AL3:AL119,"=1")</f>
        <v>36</v>
      </c>
      <c r="J35" s="82"/>
      <c r="K35" s="83"/>
    </row>
    <row r="36" spans="2:30" ht="21" thickBot="1" x14ac:dyDescent="0.3">
      <c r="B36" s="172"/>
      <c r="C36" s="159" t="s">
        <v>107</v>
      </c>
      <c r="D36" s="160">
        <f>COUNTIFS(Athena!B3:B119,"*_T.c", Athena!D3:D119,"wrong")</f>
        <v>0</v>
      </c>
      <c r="E36" s="160">
        <f>COUNTIFS(Athena!B3:B119,"*_T.c", Athena!O3:O119,"wrong")</f>
        <v>0</v>
      </c>
      <c r="F36" s="160">
        <f>COUNTIFS(Athena!B3:B119,"*_T.c", Athena!Z3:Z119,"wrong")</f>
        <v>0</v>
      </c>
      <c r="G36" s="160">
        <f>COUNTIFS(Athena!B3:B119,"*_T.c", Athena!AK3:AK119,"wrong")</f>
        <v>0</v>
      </c>
      <c r="J36" s="19"/>
    </row>
    <row r="37" spans="2:30" x14ac:dyDescent="0.25">
      <c r="B37" s="176" t="s">
        <v>116</v>
      </c>
      <c r="C37" s="156" t="s">
        <v>3996</v>
      </c>
      <c r="D37" s="157">
        <f>COUNTIFS(PROTON!B3:B119,"*_T.c", PROTON!D3:D119,"correct", PROTON!E3:E119,"&gt;0")</f>
        <v>52</v>
      </c>
      <c r="E37" s="157">
        <f>COUNTIFS(PROTON!B3:B119,"*_T.c", PROTON!O3:O119,"correct", PROTON!P3:P119,"&gt;0")</f>
        <v>54</v>
      </c>
      <c r="F37" s="157">
        <f>COUNTIFS(PROTON!B3:B119,"*_T.c", PROTON!Z3:Z119,"correct", PROTON!AA3:AA119,"&gt;0")</f>
        <v>56</v>
      </c>
      <c r="G37" s="157">
        <f>COUNTIFS(PROTON!B3:B119,"*_T.c", PROTON!AK3:AK119,"correct", PROTON!AL3:AL119,"&gt;0")</f>
        <v>56</v>
      </c>
      <c r="J37" s="19"/>
      <c r="K37" s="2"/>
    </row>
    <row r="38" spans="2:30" x14ac:dyDescent="0.25">
      <c r="B38" s="171"/>
      <c r="C38" s="156" t="s">
        <v>3997</v>
      </c>
      <c r="D38" s="157">
        <f>COUNTIFS(PROTON!B3:B119,"*_T.c", PROTON!D3:D119,"correct", PROTON!E3:E119,"&gt;=0.5")</f>
        <v>52</v>
      </c>
      <c r="E38" s="157">
        <f>COUNTIFS(PROTON!B3:B119,"*_T.c", PROTON!O3:O119,"correct", PROTON!P3:P119,"&gt;=0.5")</f>
        <v>53</v>
      </c>
      <c r="F38" s="157">
        <f>COUNTIFS(PROTON!B3:B119,"*_T.c", PROTON!Z3:Z119,"correct", PROTON!AA3:AA119,"&gt;=0.5")</f>
        <v>55</v>
      </c>
      <c r="G38" s="157">
        <f>COUNTIFS(PROTON!B3:B119,"*_T.c", PROTON!AK3:AK119,"correct", PROTON!AL3:AL119,"&gt;=0.5")</f>
        <v>55</v>
      </c>
      <c r="J38" s="19"/>
      <c r="K38" s="2"/>
    </row>
    <row r="39" spans="2:30" x14ac:dyDescent="0.25">
      <c r="B39" s="171"/>
      <c r="C39" s="156" t="s">
        <v>3998</v>
      </c>
      <c r="D39" s="157">
        <f>COUNTIFS(PROTON!B3:B119,"*_T.c", PROTON!D3:D119,"correct", PROTON!E3:E119,"=1")</f>
        <v>52</v>
      </c>
      <c r="E39" s="158">
        <f>COUNTIFS(PROTON!B3:B119,"*_T.c", PROTON!O3:O119,"correct", PROTON!P3:P119,"=1")</f>
        <v>52</v>
      </c>
      <c r="F39" s="158">
        <f>COUNTIFS(PROTON!B3:B119,"*_T.c", PROTON!Z3:Z119,"correct", PROTON!AA3:AA119,"=1")</f>
        <v>48</v>
      </c>
      <c r="G39" s="158">
        <f>COUNTIFS(PROTON!B3:B119,"*_T.c", PROTON!AK3:AK119,"correct", PROTON!AL3:AL119,"=1")</f>
        <v>47</v>
      </c>
      <c r="J39" s="82"/>
      <c r="K39" s="83"/>
    </row>
    <row r="40" spans="2:30" ht="21" thickBot="1" x14ac:dyDescent="0.3">
      <c r="B40" s="172"/>
      <c r="C40" s="159" t="s">
        <v>107</v>
      </c>
      <c r="D40" s="160">
        <f>COUNTIFS(PROTON!B3:B119,"*_T.c", PROTON!D3:D119,"wrong")</f>
        <v>5</v>
      </c>
      <c r="E40" s="160">
        <f>COUNTIFS(PROTON!B3:B119,"*_T.c", PROTON!O3:O119,"wrong")</f>
        <v>4</v>
      </c>
      <c r="F40" s="160">
        <f>COUNTIFS(PROTON!B3:B119,"*_T.c", PROTON!Z3:Z119,"wrong")</f>
        <v>3</v>
      </c>
      <c r="G40" s="160">
        <f>COUNTIFS(PROTON!B3:B119,"*_T.c", PROTON!AK3:AK119,"wrong")</f>
        <v>3</v>
      </c>
      <c r="J40" s="19"/>
    </row>
    <row r="41" spans="2:30" x14ac:dyDescent="0.25">
      <c r="B41" s="176" t="s">
        <v>109</v>
      </c>
      <c r="C41" s="156" t="s">
        <v>3996</v>
      </c>
      <c r="D41" s="157">
        <f>COUNTIFS(UAutomizer!B3:B119,"*_T.c", UAutomizer!D3:D119,"correct", UAutomizer!E3:E119,"&gt;0")</f>
        <v>29</v>
      </c>
      <c r="E41" s="157">
        <f>COUNTIFS(UAutomizer!B3:B119,"*_T.c", UAutomizer!O3:O119,"correct", UAutomizer!P3:P119,"&gt;0")</f>
        <v>32</v>
      </c>
      <c r="F41" s="157">
        <f>COUNTIFS(UAutomizer!B3:B119,"*_T.c", UAutomizer!Z3:Z119,"correct", UAutomizer!AA3:AA119,"&gt;0")</f>
        <v>44</v>
      </c>
      <c r="G41" s="157">
        <f>COUNTIFS(UAutomizer!B3:B119,"*_T.c", UAutomizer!AK3:AK119,"correct", UAutomizer!AL3:AL119,"&gt;0")</f>
        <v>43</v>
      </c>
      <c r="J41" s="19"/>
      <c r="K41" s="2"/>
    </row>
    <row r="42" spans="2:30" x14ac:dyDescent="0.25">
      <c r="B42" s="171"/>
      <c r="C42" s="156" t="s">
        <v>3997</v>
      </c>
      <c r="D42" s="157">
        <f>COUNTIFS(UAutomizer!B3:B119,"*_T.c", UAutomizer!D3:D119,"correct", UAutomizer!E3:E119,"&gt;=0.5")</f>
        <v>29</v>
      </c>
      <c r="E42" s="158">
        <f>COUNTIFS(UAutomizer!B3:B119,"*_T.c", UAutomizer!O3:O119,"correct", UAutomizer!P3:P119,"&gt;=0.5")</f>
        <v>29</v>
      </c>
      <c r="F42" s="158">
        <f>COUNTIFS(UAutomizer!B3:B119,"*_T.c", UAutomizer!Z3:Z119,"correct", UAutomizer!AA3:AA119,"&gt;=0.5")</f>
        <v>36</v>
      </c>
      <c r="G42" s="158">
        <f>COUNTIFS(UAutomizer!B3:B119,"*_T.c", UAutomizer!AK3:AK119,"correct", UAutomizer!AL3:AL119,"&gt;=0.5")</f>
        <v>33</v>
      </c>
      <c r="J42" s="19"/>
      <c r="K42" s="2"/>
    </row>
    <row r="43" spans="2:30" x14ac:dyDescent="0.25">
      <c r="B43" s="171"/>
      <c r="C43" s="156" t="s">
        <v>3998</v>
      </c>
      <c r="D43" s="157">
        <f>COUNTIFS(UAutomizer!B3:B119,"*_T.c", UAutomizer!D3:D119,"correct", UAutomizer!E3:E119,"=1")</f>
        <v>29</v>
      </c>
      <c r="E43" s="158">
        <f>COUNTIFS(UAutomizer!B3:B119,"*_T.c", UAutomizer!O3:O119,"correct", UAutomizer!P3:P119,"=1")</f>
        <v>25</v>
      </c>
      <c r="F43" s="158">
        <f>COUNTIFS(UAutomizer!B3:B119,"*_T.c", UAutomizer!Z3:Z119,"correct", UAutomizer!AA3:AA119,"=1")</f>
        <v>27</v>
      </c>
      <c r="G43" s="158">
        <f>COUNTIFS(UAutomizer!B3:B119,"*_T.c", UAutomizer!AK3:AK119,"correct", UAutomizer!AL3:AL119,"=1")</f>
        <v>21</v>
      </c>
      <c r="J43" s="82"/>
      <c r="K43" s="83"/>
    </row>
    <row r="44" spans="2:30" ht="21" thickBot="1" x14ac:dyDescent="0.3">
      <c r="B44" s="172"/>
      <c r="C44" s="159" t="s">
        <v>107</v>
      </c>
      <c r="D44" s="160">
        <f>COUNTIFS(UAutomizer!B3:B119,"*_T.c", UAutomizer!D3:D119,"wrong")</f>
        <v>1</v>
      </c>
      <c r="E44" s="160">
        <f>COUNTIFS(UAutomizer!B3:B119,"*_T.c", UAutomizer!O3:O119,"wrong")</f>
        <v>1</v>
      </c>
      <c r="F44" s="160">
        <f>COUNTIFS(UAutomizer!B3:B119,"*_T.c", UAutomizer!Z3:Z119,"wrong")</f>
        <v>0</v>
      </c>
      <c r="G44" s="160">
        <f>COUNTIFS(UAutomizer!B3:B119,"*_T.c", UAutomizer!AK3:AK119,"wrong")</f>
        <v>0</v>
      </c>
      <c r="J44" s="19"/>
    </row>
    <row r="45" spans="2:30" x14ac:dyDescent="0.25">
      <c r="B45" s="176" t="s">
        <v>108</v>
      </c>
      <c r="C45" s="156" t="s">
        <v>3996</v>
      </c>
      <c r="D45" s="157">
        <f>COUNTIFS(AProVE!B3:B119,"*_T.c", AProVE!D3:D119,"correct", AProVE!E3:E119,"&gt;0")</f>
        <v>25</v>
      </c>
      <c r="E45" s="157">
        <f>COUNTIFS(AProVE!B3:B119,"*_T.c", AProVE!O3:O119,"correct", AProVE!P3:P119,"&gt;0")</f>
        <v>28</v>
      </c>
      <c r="F45" s="157">
        <f>COUNTIFS(AProVE!B3:B119,"*_T.c", AProVE!Z3:Z119,"correct", AProVE!AA3:AA119,"&gt;0")</f>
        <v>41</v>
      </c>
      <c r="G45" s="157">
        <f>COUNTIFS(AProVE!B3:B119,"*_T.c", AProVE!AK3:AK119,"correct", AProVE!AL3:AL119,"&gt;0")</f>
        <v>41</v>
      </c>
      <c r="J45" s="19"/>
      <c r="K45" s="2"/>
      <c r="Y45" s="16"/>
      <c r="Z45" s="2"/>
      <c r="AA45" s="17"/>
      <c r="AB45" s="17"/>
      <c r="AC45" s="17"/>
      <c r="AD45" s="17"/>
    </row>
    <row r="46" spans="2:30" x14ac:dyDescent="0.25">
      <c r="B46" s="171"/>
      <c r="C46" s="156" t="s">
        <v>3997</v>
      </c>
      <c r="D46" s="157">
        <f>COUNTIFS(AProVE!B3:B119,"*_T.c", AProVE!D3:D119,"correct", AProVE!E3:E119,"&gt;=0.5")</f>
        <v>25</v>
      </c>
      <c r="E46" s="158">
        <f>COUNTIFS(AProVE!B3:B119,"*_T.c", AProVE!O3:O119,"correct", AProVE!P3:P119,"&gt;=0.5")</f>
        <v>25</v>
      </c>
      <c r="F46" s="158">
        <f>COUNTIFS(AProVE!B3:B119,"*_T.c", AProVE!Z3:Z119,"correct", AProVE!AA3:AA119,"&gt;=0.5")</f>
        <v>34</v>
      </c>
      <c r="G46" s="158">
        <f>COUNTIFS(AProVE!B3:B119,"*_T.c", AProVE!AK3:AK119,"correct", AProVE!AL3:AL119,"&gt;=0.5")</f>
        <v>32</v>
      </c>
      <c r="J46" s="19"/>
      <c r="K46" s="2"/>
    </row>
    <row r="47" spans="2:30" x14ac:dyDescent="0.25">
      <c r="B47" s="171"/>
      <c r="C47" s="156" t="s">
        <v>3998</v>
      </c>
      <c r="D47" s="157">
        <f>COUNTIFS(AProVE!B3:B119,"*_T.c", AProVE!D3:D119,"correct", AProVE!E3:E119,"=1")</f>
        <v>25</v>
      </c>
      <c r="E47" s="158">
        <f>COUNTIFS(AProVE!B3:B119,"*_T.c", AProVE!O3:O119,"correct", AProVE!P3:P119,"=1")</f>
        <v>22</v>
      </c>
      <c r="F47" s="158">
        <f>COUNTIFS(AProVE!B3:B119,"*_T.c", AProVE!Z3:Z119,"correct", AProVE!AA3:AA119,"=1")</f>
        <v>25</v>
      </c>
      <c r="G47" s="158">
        <f>COUNTIFS(AProVE!B3:B119,"*_T.c", AProVE!AK3:AK119,"correct", AProVE!AL3:AL119,"=1")</f>
        <v>24</v>
      </c>
      <c r="J47" s="82"/>
      <c r="K47" s="83"/>
    </row>
    <row r="48" spans="2:30" ht="21" thickBot="1" x14ac:dyDescent="0.3">
      <c r="B48" s="172"/>
      <c r="C48" s="159" t="s">
        <v>107</v>
      </c>
      <c r="D48" s="160">
        <f>COUNTIFS(AProVE!B3:B119,"*_T.c", AProVE!D3:D119,"wrong")</f>
        <v>0</v>
      </c>
      <c r="E48" s="160">
        <f>COUNTIFS(AProVE!B3:B119,"*_T.c", AProVE!O3:O119,"wrong")</f>
        <v>0</v>
      </c>
      <c r="F48" s="160">
        <f>COUNTIFS(AProVE!B3:B119,"*_T.c", AProVE!Z3:Z119,"wrong")</f>
        <v>0</v>
      </c>
      <c r="G48" s="160">
        <f>COUNTIFS(AProVE!B3:B119,"*_T.c", AProVE!AK3:AK119,"wrong")</f>
        <v>0</v>
      </c>
      <c r="J48" s="19"/>
    </row>
    <row r="49" spans="2:11" x14ac:dyDescent="0.25">
      <c r="B49" s="176" t="s">
        <v>110</v>
      </c>
      <c r="C49" s="156" t="s">
        <v>3996</v>
      </c>
      <c r="D49" s="157">
        <f>COUNTIFS(CPAchecker!B3:B119,"*_T.c", CPAchecker!D3:D119,"correct", CPAchecker!E3:E119,"&gt;0")</f>
        <v>10</v>
      </c>
      <c r="E49" s="157">
        <f>COUNTIFS(CPAchecker!B3:B119,"*_T.c", CPAchecker!O3:O119,"correct", CPAchecker!P3:P119,"&gt;0")</f>
        <v>10</v>
      </c>
      <c r="F49" s="157">
        <f>COUNTIFS(CPAchecker!B3:B119,"*_T.c", CPAchecker!Z3:Z119,"correct", CPAchecker!AA3:AA119,"&gt;0")</f>
        <v>34</v>
      </c>
      <c r="G49" s="157">
        <f>COUNTIFS(CPAchecker!B3:B119,"*_T.c", CPAchecker!AK3:AK119,"correct", CPAchecker!AL3:AL119,"&gt;0")</f>
        <v>34</v>
      </c>
      <c r="J49" s="19"/>
      <c r="K49" s="2"/>
    </row>
    <row r="50" spans="2:11" x14ac:dyDescent="0.25">
      <c r="B50" s="171"/>
      <c r="C50" s="156" t="s">
        <v>3997</v>
      </c>
      <c r="D50" s="157">
        <f>COUNTIFS(CPAchecker!B3:B119,"*_T.c", CPAchecker!D3:D119,"correct", CPAchecker!E3:E119,"&gt;=0.5")</f>
        <v>10</v>
      </c>
      <c r="E50" s="158">
        <f>COUNTIFS(CPAchecker!B3:B119,"*_T.c", CPAchecker!O3:O119,"correct", CPAchecker!P3:P119,"&gt;=0.5")</f>
        <v>10</v>
      </c>
      <c r="F50" s="158">
        <f>COUNTIFS(CPAchecker!B3:B119,"*_T.c", CPAchecker!Z3:Z119,"correct", CPAchecker!AA3:AA119,"&gt;=0.5")</f>
        <v>28</v>
      </c>
      <c r="G50" s="158">
        <f>COUNTIFS(CPAchecker!B3:B119,"*_T.c", CPAchecker!AK3:AK119,"correct", CPAchecker!AL3:AL119,"&gt;=0.5")</f>
        <v>29</v>
      </c>
      <c r="J50" s="19"/>
      <c r="K50" s="2"/>
    </row>
    <row r="51" spans="2:11" x14ac:dyDescent="0.25">
      <c r="B51" s="171"/>
      <c r="C51" s="156" t="s">
        <v>3998</v>
      </c>
      <c r="D51" s="157">
        <f>COUNTIFS(CPAchecker!B3:B119,"*_T.c", CPAchecker!D3:D119,"correct", CPAchecker!E3:E119,"=1")</f>
        <v>10</v>
      </c>
      <c r="E51" s="158">
        <f>COUNTIFS(CPAchecker!B3:B119,"*_T.c", CPAchecker!O3:O119,"correct", CPAchecker!P3:P119,"=1")</f>
        <v>9</v>
      </c>
      <c r="F51" s="158">
        <f>COUNTIFS(CPAchecker!B3:B119,"*_T.c", CPAchecker!Z3:Z119,"correct", CPAchecker!AA3:AA119,"=1")</f>
        <v>21</v>
      </c>
      <c r="G51" s="158">
        <f>COUNTIFS(CPAchecker!B3:B119,"*_T.c", CPAchecker!AK3:AK119,"correct", CPAchecker!AL3:AL119,"=1")</f>
        <v>19</v>
      </c>
      <c r="J51" s="82"/>
      <c r="K51" s="83"/>
    </row>
    <row r="52" spans="2:11" ht="21" thickBot="1" x14ac:dyDescent="0.3">
      <c r="B52" s="172"/>
      <c r="C52" s="159" t="s">
        <v>107</v>
      </c>
      <c r="D52" s="160">
        <f>COUNTIFS(CPAchecker!B3:B119,"*_T.c", CPAchecker!D3:D119,"wrong")</f>
        <v>5</v>
      </c>
      <c r="E52" s="160">
        <f>COUNTIFS(CPAchecker!B3:B119,"*_T.c", CPAchecker!O3:O119,"wrong")</f>
        <v>7</v>
      </c>
      <c r="F52" s="160">
        <f>COUNTIFS(CPAchecker!B3:B119,"*_T.c", CPAchecker!Z3:Z119,"wrong")</f>
        <v>1</v>
      </c>
      <c r="G52" s="160">
        <f>COUNTIFS(CPAchecker!B3:B119,"*_T.c", CPAchecker!AK3:AK119,"wrong")</f>
        <v>1</v>
      </c>
      <c r="J52" s="19"/>
    </row>
    <row r="53" spans="2:11" x14ac:dyDescent="0.25">
      <c r="B53" s="177" t="s">
        <v>111</v>
      </c>
      <c r="C53" s="156" t="s">
        <v>3996</v>
      </c>
      <c r="D53" s="157">
        <f>COUNTIFS('2LS'!B3:B119,"*_T.c", '2LS'!D3:D119,"correct", '2LS'!E3:E119,"&gt;0")</f>
        <v>29</v>
      </c>
      <c r="E53" s="157">
        <f>COUNTIFS('2LS'!B3:B119,"*_T.c", '2LS'!O3:O119,"correct", '2LS'!P3:P119,"&gt;0")</f>
        <v>34</v>
      </c>
      <c r="F53" s="157">
        <f>COUNTIFS('2LS'!B3:B119,"*_T.c", '2LS'!Z3:Z119,"correct", '2LS'!AA3:AA119,"&gt;0")</f>
        <v>41</v>
      </c>
      <c r="G53" s="157">
        <f>COUNTIFS('2LS'!B3:B119,"*_T.c", '2LS'!AK3:AK119,"correct", '2LS'!AL3:AL119,"&gt;0")</f>
        <v>46</v>
      </c>
      <c r="J53" s="19"/>
      <c r="K53" s="2"/>
    </row>
    <row r="54" spans="2:11" x14ac:dyDescent="0.25">
      <c r="B54" s="178"/>
      <c r="C54" s="156" t="s">
        <v>3997</v>
      </c>
      <c r="D54" s="157">
        <f>COUNTIFS('2LS'!B3:B119,"*_T.c", '2LS'!D3:D119,"correct", '2LS'!E3:E119,"&gt;=0.5")</f>
        <v>29</v>
      </c>
      <c r="E54" s="158">
        <f>COUNTIFS('2LS'!B3:B119,"*_T.c", '2LS'!O3:O119,"correct", '2LS'!P3:P119,"&gt;=0.5")</f>
        <v>32</v>
      </c>
      <c r="F54" s="158">
        <f>COUNTIFS('2LS'!B3:B119,"*_T.c", '2LS'!Z3:Z119,"correct", '2LS'!AA3:AA119,"&gt;=0.5")</f>
        <v>36</v>
      </c>
      <c r="G54" s="158">
        <f>COUNTIFS('2LS'!B3:B119,"*_T.c", '2LS'!AK3:AK119,"correct", '2LS'!AL3:AL119,"&gt;=0.5")</f>
        <v>39</v>
      </c>
      <c r="J54" s="19"/>
      <c r="K54" s="2"/>
    </row>
    <row r="55" spans="2:11" x14ac:dyDescent="0.25">
      <c r="B55" s="178"/>
      <c r="C55" s="156" t="s">
        <v>3998</v>
      </c>
      <c r="D55" s="157">
        <f>COUNTIFS('2LS'!B3:B119,"*_T.c", '2LS'!D3:D119,"correct", '2LS'!E3:E119,"=1")</f>
        <v>29</v>
      </c>
      <c r="E55" s="158">
        <f>COUNTIFS('2LS'!B3:B119,"*_T.c", '2LS'!O3:O119,"correct", '2LS'!P3:P119,"=1")</f>
        <v>29</v>
      </c>
      <c r="F55" s="158">
        <f>COUNTIFS('2LS'!B3:B119,"*_T.c", '2LS'!Z3:Z119,"correct", '2LS'!AA3:AA119,"=1")</f>
        <v>29</v>
      </c>
      <c r="G55" s="158">
        <f>COUNTIFS('2LS'!B3:B119,"*_T.c", '2LS'!AK3:AK119,"correct", '2LS'!AL3:AL119,"=1")</f>
        <v>29</v>
      </c>
      <c r="J55" s="82"/>
      <c r="K55" s="83"/>
    </row>
    <row r="56" spans="2:11" ht="21" thickBot="1" x14ac:dyDescent="0.3">
      <c r="B56" s="179"/>
      <c r="C56" s="159" t="s">
        <v>107</v>
      </c>
      <c r="D56" s="160">
        <f>COUNTIFS('2LS'!B3:B119,"*_T.c", '2LS'!D3:D119,"wrong")</f>
        <v>0</v>
      </c>
      <c r="E56" s="160">
        <f>COUNTIFS('2LS'!B3:B119,"*_T.c", '2LS'!O3:O119,"wrong")</f>
        <v>0</v>
      </c>
      <c r="F56" s="160">
        <f>COUNTIFS('2LS'!B3:B119,"*_T.c", '2LS'!Z3:Z119,"wrong")</f>
        <v>0</v>
      </c>
      <c r="G56" s="160">
        <f>COUNTIFS('2LS'!B3:B119,"*_T.c", '2LS'!AK3:AK119,"wrong")</f>
        <v>0</v>
      </c>
      <c r="I56" s="84"/>
      <c r="J56" s="19"/>
    </row>
    <row r="57" spans="2:11" x14ac:dyDescent="0.25">
      <c r="E57" s="85"/>
      <c r="F57" s="85"/>
      <c r="G57" s="85"/>
    </row>
    <row r="60" spans="2:11" x14ac:dyDescent="0.25">
      <c r="J60" s="19"/>
    </row>
    <row r="61" spans="2:11" x14ac:dyDescent="0.25">
      <c r="J61" s="18"/>
    </row>
    <row r="62" spans="2:11" x14ac:dyDescent="0.25">
      <c r="J62" s="18"/>
    </row>
    <row r="63" spans="2:11" x14ac:dyDescent="0.25">
      <c r="J63" s="18"/>
    </row>
    <row r="64" spans="2:11" x14ac:dyDescent="0.25">
      <c r="B64" s="20"/>
      <c r="C64" s="20"/>
      <c r="D64" s="20"/>
      <c r="J64" s="18"/>
    </row>
    <row r="66" spans="2:10" x14ac:dyDescent="0.25">
      <c r="B66" s="24"/>
      <c r="C66" s="24"/>
      <c r="D66" s="24"/>
      <c r="E66" s="24"/>
      <c r="F66" s="24"/>
      <c r="G66" s="24"/>
      <c r="H66" s="24"/>
      <c r="I66" s="24"/>
      <c r="J66" s="19"/>
    </row>
    <row r="67" spans="2:10" x14ac:dyDescent="0.25">
      <c r="B67" s="20"/>
      <c r="C67" s="18"/>
      <c r="D67" s="18"/>
      <c r="E67" s="18"/>
      <c r="F67" s="18"/>
      <c r="G67" s="18"/>
      <c r="H67" s="18"/>
      <c r="I67" s="18"/>
      <c r="J67" s="18"/>
    </row>
    <row r="68" spans="2:10" x14ac:dyDescent="0.25">
      <c r="B68" s="20"/>
      <c r="C68" s="18"/>
      <c r="D68" s="18"/>
      <c r="E68" s="18"/>
      <c r="F68" s="18"/>
      <c r="G68" s="18"/>
      <c r="H68" s="18"/>
      <c r="I68" s="18"/>
      <c r="J68" s="18"/>
    </row>
    <row r="69" spans="2:10" x14ac:dyDescent="0.25">
      <c r="B69" s="20"/>
      <c r="C69" s="18"/>
      <c r="D69" s="18"/>
      <c r="E69" s="18"/>
      <c r="F69" s="18"/>
      <c r="G69" s="18"/>
      <c r="H69" s="18"/>
      <c r="I69" s="18"/>
      <c r="J69" s="18"/>
    </row>
    <row r="70" spans="2:10" x14ac:dyDescent="0.25">
      <c r="B70" s="20"/>
      <c r="C70" s="18"/>
      <c r="D70" s="18"/>
      <c r="E70" s="18"/>
      <c r="F70" s="18"/>
      <c r="G70" s="18"/>
      <c r="H70" s="18"/>
      <c r="I70" s="18"/>
      <c r="J70" s="18"/>
    </row>
    <row r="72" spans="2:10" x14ac:dyDescent="0.25">
      <c r="B72" s="20"/>
      <c r="C72" s="20"/>
      <c r="D72" s="20"/>
    </row>
    <row r="74" spans="2:10" x14ac:dyDescent="0.25">
      <c r="B74" s="24"/>
      <c r="C74" s="24"/>
      <c r="D74" s="24"/>
      <c r="E74" s="24"/>
      <c r="F74" s="24"/>
      <c r="G74" s="24"/>
      <c r="H74" s="24"/>
      <c r="I74" s="24"/>
      <c r="J74" s="19"/>
    </row>
    <row r="75" spans="2:10" x14ac:dyDescent="0.25">
      <c r="B75" s="20"/>
      <c r="C75" s="18"/>
      <c r="D75" s="18"/>
      <c r="E75" s="18"/>
      <c r="F75" s="18"/>
      <c r="G75" s="18"/>
      <c r="H75" s="18"/>
      <c r="I75" s="18"/>
      <c r="J75" s="18"/>
    </row>
    <row r="76" spans="2:10" x14ac:dyDescent="0.25">
      <c r="B76" s="20"/>
      <c r="C76" s="18"/>
      <c r="D76" s="18"/>
      <c r="E76" s="18"/>
      <c r="F76" s="18"/>
      <c r="G76" s="18"/>
      <c r="H76" s="18"/>
      <c r="I76" s="18"/>
      <c r="J76" s="18"/>
    </row>
    <row r="77" spans="2:10" x14ac:dyDescent="0.25">
      <c r="B77" s="20"/>
      <c r="C77" s="18"/>
      <c r="D77" s="18"/>
      <c r="E77" s="18"/>
      <c r="F77" s="18"/>
      <c r="G77" s="18"/>
      <c r="H77" s="18"/>
      <c r="I77" s="18"/>
      <c r="J77" s="18"/>
    </row>
    <row r="78" spans="2:10" x14ac:dyDescent="0.25">
      <c r="B78" s="20"/>
      <c r="C78" s="18"/>
      <c r="D78" s="18"/>
      <c r="E78" s="18"/>
      <c r="F78" s="18"/>
      <c r="G78" s="18"/>
      <c r="H78" s="18"/>
      <c r="I78" s="18"/>
      <c r="J78" s="18"/>
    </row>
  </sheetData>
  <mergeCells count="12">
    <mergeCell ref="B49:B52"/>
    <mergeCell ref="B53:B56"/>
    <mergeCell ref="B5:B8"/>
    <mergeCell ref="B9:B12"/>
    <mergeCell ref="B13:B16"/>
    <mergeCell ref="B25:B28"/>
    <mergeCell ref="B21:B24"/>
    <mergeCell ref="B17:B20"/>
    <mergeCell ref="B33:B36"/>
    <mergeCell ref="B37:B40"/>
    <mergeCell ref="B41:B44"/>
    <mergeCell ref="B45:B4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0424-E6E7-4522-8076-A3D5744D9AB1}">
  <dimension ref="B2:W39"/>
  <sheetViews>
    <sheetView zoomScale="80" zoomScaleNormal="80" workbookViewId="0"/>
  </sheetViews>
  <sheetFormatPr baseColWidth="10" defaultColWidth="8.83203125" defaultRowHeight="20" x14ac:dyDescent="0.25"/>
  <cols>
    <col min="1" max="1" width="5.83203125" style="12" customWidth="1"/>
    <col min="2" max="2" width="20.83203125" style="12" customWidth="1"/>
    <col min="3" max="3" width="15.83203125" style="12" customWidth="1"/>
    <col min="4" max="8" width="5.83203125" style="12" customWidth="1"/>
    <col min="9" max="10" width="4.83203125" style="12" customWidth="1"/>
    <col min="11" max="22" width="5.83203125" style="12" customWidth="1"/>
    <col min="23" max="23" width="35.83203125" style="12" customWidth="1"/>
    <col min="24" max="26" width="8.83203125" style="12" customWidth="1"/>
    <col min="27" max="27" width="8.6640625" style="12" customWidth="1"/>
    <col min="28" max="16384" width="8.83203125" style="12"/>
  </cols>
  <sheetData>
    <row r="2" spans="2:23" x14ac:dyDescent="0.25">
      <c r="B2" s="22" t="s">
        <v>3987</v>
      </c>
      <c r="C2" s="37"/>
    </row>
    <row r="3" spans="2:23" ht="21" thickBot="1" x14ac:dyDescent="0.3"/>
    <row r="4" spans="2:23" ht="21" customHeight="1" thickBot="1" x14ac:dyDescent="0.3">
      <c r="B4" s="191" t="s">
        <v>119</v>
      </c>
      <c r="C4" s="192" t="s">
        <v>127</v>
      </c>
      <c r="D4" s="189" t="s">
        <v>144</v>
      </c>
      <c r="E4" s="189"/>
      <c r="F4" s="190"/>
      <c r="G4" s="188" t="s">
        <v>116</v>
      </c>
      <c r="H4" s="189"/>
      <c r="I4" s="190"/>
      <c r="J4" s="188" t="s">
        <v>109</v>
      </c>
      <c r="K4" s="189"/>
      <c r="L4" s="190"/>
      <c r="M4" s="188" t="s">
        <v>108</v>
      </c>
      <c r="N4" s="189"/>
      <c r="O4" s="190"/>
      <c r="P4" s="188" t="s">
        <v>110</v>
      </c>
      <c r="Q4" s="189"/>
      <c r="R4" s="190"/>
      <c r="S4" s="188" t="s">
        <v>111</v>
      </c>
      <c r="T4" s="189"/>
      <c r="U4" s="189"/>
    </row>
    <row r="5" spans="2:23" ht="21" thickBot="1" x14ac:dyDescent="0.3">
      <c r="B5" s="169"/>
      <c r="C5" s="193"/>
      <c r="D5" s="41" t="s">
        <v>3974</v>
      </c>
      <c r="E5" s="42" t="s">
        <v>118</v>
      </c>
      <c r="F5" s="43" t="s">
        <v>117</v>
      </c>
      <c r="G5" s="41" t="s">
        <v>3974</v>
      </c>
      <c r="H5" s="42" t="s">
        <v>118</v>
      </c>
      <c r="I5" s="43" t="s">
        <v>117</v>
      </c>
      <c r="J5" s="41" t="s">
        <v>3974</v>
      </c>
      <c r="K5" s="42" t="s">
        <v>118</v>
      </c>
      <c r="L5" s="43" t="s">
        <v>117</v>
      </c>
      <c r="M5" s="41" t="s">
        <v>3974</v>
      </c>
      <c r="N5" s="42" t="s">
        <v>118</v>
      </c>
      <c r="O5" s="43" t="s">
        <v>117</v>
      </c>
      <c r="P5" s="41" t="s">
        <v>3974</v>
      </c>
      <c r="Q5" s="42" t="s">
        <v>118</v>
      </c>
      <c r="R5" s="43" t="s">
        <v>117</v>
      </c>
      <c r="S5" s="41" t="s">
        <v>3974</v>
      </c>
      <c r="T5" s="42" t="s">
        <v>118</v>
      </c>
      <c r="U5" s="42" t="s">
        <v>117</v>
      </c>
      <c r="W5" s="12" t="s">
        <v>3979</v>
      </c>
    </row>
    <row r="6" spans="2:23" x14ac:dyDescent="0.25">
      <c r="B6" s="186" t="s">
        <v>115</v>
      </c>
      <c r="C6" s="89" t="s">
        <v>3974</v>
      </c>
      <c r="D6" s="2">
        <f>COUNTIFS(Athena!B3:B119,"*_NT.c", Athena!D3:D119,"correct", Athena!G3:G119,"&gt;0", Athena!O3:O119,"correct", Athena!R3:R119,"&gt;0")</f>
        <v>35</v>
      </c>
      <c r="E6" s="2">
        <f>COUNTIFS(Athena!B3:B119,"*_NT.c", Athena!D3:D119,"correct", Athena!G3:G119,"&gt;0", Athena!O3:O119,"correct", Athena!R3:R119,"=0")</f>
        <v>4</v>
      </c>
      <c r="F6" s="39">
        <f>COUNTIFS(Athena!B3:B119,"*_NT.c", Athena!D3:D119,"correct", Athena!G3:G119,"&gt;0", Athena!O3:O119,"wrong")</f>
        <v>0</v>
      </c>
      <c r="G6" s="2">
        <f>COUNTIFS(PROTON!B3:B119,"*_NT.c", PROTON!D3:D119,"correct", PROTON!G3:G119,"&gt;0", PROTON!O3:O119,"correct", PROTON!R3:R119,"&gt;0")</f>
        <v>29</v>
      </c>
      <c r="H6" s="2">
        <f>COUNTIFS(PROTON!B3:B119,"*_NT.c", PROTON!D3:D119,"correct", PROTON!G3:G119,"&gt;0", PROTON!O3:O119,"correct", PROTON!R3:R119,"=0")</f>
        <v>1</v>
      </c>
      <c r="I6" s="39">
        <f>COUNTIFS(PROTON!B3:B119,"*_NT.c", PROTON!D3:D119,"correct", PROTON!G3:G119,"&gt;0", PROTON!O3:O119,"wrong")</f>
        <v>0</v>
      </c>
      <c r="J6" s="2">
        <f>COUNTIFS(UAutomizer!B3:B119,"*_NT.c", UAutomizer!D3:D119,"correct", UAutomizer!G3:G119,"&gt;0", UAutomizer!O3:O119,"correct", UAutomizer!R3:R119,"&gt;0")</f>
        <v>18</v>
      </c>
      <c r="K6" s="2">
        <f>COUNTIFS(UAutomizer!B3:B119,"*_NT.c", UAutomizer!D3:D119,"correct", UAutomizer!G3:G119,"&gt;0", UAutomizer!O3:O119,"correct", UAutomizer!R3:R119,"=0")</f>
        <v>5</v>
      </c>
      <c r="L6" s="39">
        <f>COUNTIFS(UAutomizer!B3:B119,"*_NT.c", UAutomizer!D3:D119,"correct", UAutomizer!G3:G119,"&gt;0", UAutomizer!O3:O119,"wrong")</f>
        <v>0</v>
      </c>
      <c r="M6" s="65">
        <f>COUNTIFS(AProVE!B3:B119,"*_NT.c", AProVE!D3:D119,"correct", AProVE!G3:G119,"&gt;0", AProVE!O3:O119,"correct", AProVE!R3:R119,"&gt;0")</f>
        <v>12</v>
      </c>
      <c r="N6" s="65">
        <f>COUNTIFS(AProVE!B3:B119,"*_NT.c", AProVE!D3:D119,"correct", AProVE!G3:G119,"&gt;0", AProVE!O3:O119,"correct", AProVE!R3:R119,"=0")</f>
        <v>1</v>
      </c>
      <c r="O6" s="94">
        <f>COUNTIFS(AProVE!B3:B119,"*_NT.c", AProVE!D3:D119,"correct", AProVE!G3:G119,"&gt;0", AProVE!O3:O119,"wrong")</f>
        <v>0</v>
      </c>
      <c r="P6" s="2">
        <f>COUNTIFS(CPAchecker!B3:B119,"*_NT.c", CPAchecker!D3:D119,"correct", CPAchecker!G3:G119,"&gt;0", CPAchecker!O3:O119,"correct", CPAchecker!R3:R119,"&gt;0")</f>
        <v>18</v>
      </c>
      <c r="Q6" s="2">
        <f>COUNTIFS(CPAchecker!B3:B119,"*_NT.c", CPAchecker!D3:D119,"correct", CPAchecker!G3:G119,"&gt;0", CPAchecker!O3:O119,"correct", CPAchecker!R3:R119,"=0")</f>
        <v>2</v>
      </c>
      <c r="R6" s="39">
        <f>COUNTIFS(CPAchecker!B3:B119,"*_NT.c", CPAchecker!D3:D119,"correct", CPAchecker!G3:G119,"&gt;0", CPAchecker!O3:O119,"wrong")</f>
        <v>0</v>
      </c>
      <c r="S6" s="2">
        <f>COUNTIFS('2LS'!B3:B119,"*_NT.c", '2LS'!D3:D119,"correct", '2LS'!G3:G119,"&gt;0", '2LS'!O3:O119,"correct", '2LS'!R3:R119,"&gt;0")</f>
        <v>1</v>
      </c>
      <c r="T6" s="2">
        <f>COUNTIFS('2LS'!B3:B119,"*_NT.c", '2LS'!D3:D119,"correct", '2LS'!G3:G119,"&gt;0", '2LS'!O3:O119,"correct", '2LS'!R3:R119,"=0")</f>
        <v>0</v>
      </c>
      <c r="U6" s="2">
        <f>COUNTIFS('2LS'!B3:B119,"*_NT.c", '2LS'!D3:D119,"correct", '2LS'!G3:G119,"&gt;0", '2LS'!O3:O119,"wrong")</f>
        <v>0</v>
      </c>
      <c r="W6" s="12" t="s">
        <v>3980</v>
      </c>
    </row>
    <row r="7" spans="2:23" x14ac:dyDescent="0.25">
      <c r="B7" s="181"/>
      <c r="C7" s="81" t="s">
        <v>118</v>
      </c>
      <c r="D7" s="2">
        <f>COUNTIFS(Athena!B3:B119,"*_NT.c", Athena!D3:D119,"correct", Athena!G3:G119,"=0", Athena!O3:O119,"correct", Athena!R3:R119,"&gt;0")</f>
        <v>0</v>
      </c>
      <c r="E7" s="2">
        <f>COUNTIFS(Athena!B3:B119,"*_NT.c", Athena!D3:D119,"correct", Athena!G3:G119,"=0", Athena!O3:O119,"correct", Athena!R3:R119,"=0")</f>
        <v>17</v>
      </c>
      <c r="F7" s="39">
        <f>COUNTIFS(Athena!B3:B119,"*_NT.c", Athena!D3:D119,"correct", Athena!G3:G119,"=0", Athena!O3:O119,"wrong")</f>
        <v>0</v>
      </c>
      <c r="G7" s="2">
        <f>COUNTIFS(PROTON!B3:B119,"*_NT.c", PROTON!D3:D119,"correct", PROTON!G3:G119,"=0", PROTON!O3:O119,"correct", PROTON!R3:R119,"&gt;0")</f>
        <v>4</v>
      </c>
      <c r="H7" s="2">
        <f>COUNTIFS(PROTON!B3:B119,"*_NT.c", PROTON!D3:D119,"correct", PROTON!G3:G119,"=0", PROTON!O3:O119,"correct", PROTON!R3:R119,"=0")</f>
        <v>16</v>
      </c>
      <c r="I7" s="39">
        <f>COUNTIFS(PROTON!B3:B119,"*_NT.c", PROTON!D3:D119,"correct", PROTON!G3:G119,"=0", PROTON!O3:O119,"wrong")</f>
        <v>1</v>
      </c>
      <c r="J7" s="2">
        <f>COUNTIFS(UAutomizer!B3:B119,"*_NT.c", UAutomizer!D3:D119,"correct", UAutomizer!G3:G119,"=0", UAutomizer!O3:O119,"correct", UAutomizer!R3:R119,"&gt;0")</f>
        <v>2</v>
      </c>
      <c r="K7" s="2">
        <f>COUNTIFS(UAutomizer!B3:B119,"*_NT.c", UAutomizer!D3:D119,"correct", UAutomizer!G3:G119,"=0", UAutomizer!O3:O119,"correct", UAutomizer!R3:R119,"=0")</f>
        <v>29</v>
      </c>
      <c r="L7" s="39">
        <f>COUNTIFS(UAutomizer!B3:B119,"*_NT.c", UAutomizer!D3:D119,"correct", UAutomizer!G3:G119,"=0", UAutomizer!O3:O119,"wrong")</f>
        <v>0</v>
      </c>
      <c r="M7" s="65">
        <f>COUNTIFS(AProVE!B3:B119,"*_NT.c", AProVE!D3:D119,"correct", AProVE!G3:G119,"=0", AProVE!O3:O119,"correct", AProVE!R3:R119,"&gt;0")</f>
        <v>2</v>
      </c>
      <c r="N7" s="65">
        <f>COUNTIFS(AProVE!B3:B119,"*_NT.c", AProVE!D3:D119,"correct", AProVE!G3:G119,"=0", AProVE!O3:O119,"correct", AProVE!R3:R119,"=0")</f>
        <v>36</v>
      </c>
      <c r="O7" s="94">
        <f>COUNTIFS(AProVE!B3:B119,"*_NT.c", AProVE!D3:D119,"correct", AProVE!G3:G119,"=0", AProVE!O3:O119,"wrong")</f>
        <v>1</v>
      </c>
      <c r="P7" s="2">
        <f>COUNTIFS(CPAchecker!B3:B119,"*_NT.c", CPAchecker!D3:D119,"correct", CPAchecker!G3:G119,"=0", CPAchecker!O3:O119,"correct", CPAchecker!R3:R119,"&gt;0")</f>
        <v>3</v>
      </c>
      <c r="Q7" s="65">
        <f>COUNTIFS(CPAchecker!B3:B119,"*_NT.c", CPAchecker!D3:D119,"correct", CPAchecker!G3:G119,"=0", CPAchecker!O3:O119,"correct", CPAchecker!R3:R119,"=0")</f>
        <v>32</v>
      </c>
      <c r="R7" s="94">
        <f>COUNTIFS(CPAchecker!B3:B119,"*_NT.c", CPAchecker!D3:D119,"correct", CPAchecker!G3:G119,"=0", CPAchecker!O3:O119,"wrong")</f>
        <v>0</v>
      </c>
      <c r="S7" s="65">
        <f>COUNTIFS('2LS'!B3:B119,"*_NT.c", '2LS'!D3:D119,"correct", '2LS'!G3:G119,"=0", '2LS'!O3:O119,"correct", '2LS'!R3:R119,"&gt;0")</f>
        <v>0</v>
      </c>
      <c r="T7" s="65">
        <f>COUNTIFS('2LS'!B3:B119,"*_NT.c", '2LS'!D3:D119,"correct", '2LS'!G3:G119,"=0", '2LS'!O3:O119,"correct", '2LS'!R3:R119,"=0")</f>
        <v>51</v>
      </c>
      <c r="U7" s="65">
        <f>COUNTIFS('2LS'!B3:B119,"*_NT.c", '2LS'!D3:D119,"correct", '2LS'!G3:G119,"=0", '2LS'!O3:O119,"wrong")</f>
        <v>1</v>
      </c>
      <c r="W7" s="12" t="s">
        <v>3975</v>
      </c>
    </row>
    <row r="8" spans="2:23" x14ac:dyDescent="0.25">
      <c r="B8" s="187"/>
      <c r="C8" s="81" t="s">
        <v>117</v>
      </c>
      <c r="D8" s="91">
        <f>COUNTIFS(Athena!B3:B119,"*_NT.c", Athena!D3:D119,"wrong", Athena!O3:O119,"correct", Athena!R3:R119,"&gt;0")</f>
        <v>0</v>
      </c>
      <c r="E8" s="92">
        <f>COUNTIFS(Athena!B3:B119,"*_NT.c", Athena!D3:D119,"wrong", Athena!O3:O119,"correct", Athena!R3:R119,"=0")</f>
        <v>0</v>
      </c>
      <c r="F8" s="93">
        <f>COUNTIFS(Athena!B3:B119,"*_NT.c", Athena!D3:D119,"wrong", Athena!O3:O119,"wrong")</f>
        <v>0</v>
      </c>
      <c r="G8" s="92">
        <f>COUNTIFS(PROTON!B3:B119,"*_NT.c", PROTON!D3:D119,"wrong", PROTON!O3:O119,"correct", PROTON!R3:R119,"&gt;0")</f>
        <v>1</v>
      </c>
      <c r="H8" s="92">
        <f>COUNTIFS(PROTON!B3:B119,"*_NT.c", PROTON!D3:D119,"wrong", PROTON!O3:O119,"correct", PROTON!R3:R119,"=0")</f>
        <v>1</v>
      </c>
      <c r="I8" s="93">
        <f>COUNTIFS(PROTON!B3:B119,"*_NT.c", PROTON!D3:D119,"wrong", PROTON!O3:O119,"wrong")</f>
        <v>3</v>
      </c>
      <c r="J8" s="92">
        <f>COUNTIFS(UAutomizer!B3:B119,"*_NT.c", UAutomizer!D3:D119,"wrong", UAutomizer!O3:O119,"correct", UAutomizer!R3:R119,"&gt;0")</f>
        <v>0</v>
      </c>
      <c r="K8" s="92">
        <f>COUNTIFS(UAutomizer!B3:B119,"*_NT.c", UAutomizer!D3:D119,"wrong", UAutomizer!O3:O119,"correct", UAutomizer!R3:R119,"=0")</f>
        <v>0</v>
      </c>
      <c r="L8" s="93">
        <f>COUNTIFS(UAutomizer!B3:B119,"*_NT.c", UAutomizer!D3:D119,"wrong", UAutomizer!O3:O119,"wrong")</f>
        <v>2</v>
      </c>
      <c r="M8" s="96">
        <f>COUNTIFS(AProVE!B3:B119,"*_NT.c", AProVE!D3:D119,"wrong", AProVE!O3:O119,"correct", AProVE!R3:R119,"&gt;0")</f>
        <v>0</v>
      </c>
      <c r="N8" s="96">
        <f>COUNTIFS(AProVE!B3:B119,"*_NT.c", AProVE!D3:D119,"wrong", AProVE!O3:O119,"correct", AProVE!R3:R119,"=0")</f>
        <v>1</v>
      </c>
      <c r="O8" s="97">
        <f>COUNTIFS(AProVE!B3:B119,"*_NT.c", AProVE!D3:D119,"wrong", AProVE!O3:O119,"wrong")</f>
        <v>3</v>
      </c>
      <c r="P8" s="92">
        <f>COUNTIFS(CPAchecker!B3:B119,"*_NT.c", CPAchecker!D3:D119,"wrong", CPAchecker!O3:O119,"correct", CPAchecker!R3:R119,"&gt;0")</f>
        <v>1</v>
      </c>
      <c r="Q8" s="96">
        <f>COUNTIFS(CPAchecker!B3:B119,"*_NT.c", CPAchecker!D3:D119,"wrong", CPAchecker!O3:O119,"correct", CPAchecker!R3:R119,"=0")</f>
        <v>0</v>
      </c>
      <c r="R8" s="97">
        <f>COUNTIFS(CPAchecker!B3:B119,"*_NT.c", CPAchecker!D3:D119,"wrong", CPAchecker!O3:O119,"wrong")</f>
        <v>0</v>
      </c>
      <c r="S8" s="96">
        <f>COUNTIFS('2LS'!B3:B119,"*_NT.c", '2LS'!D3:D119,"wrong", '2LS'!O3:O119,"correct", '2LS'!R3:R119,"&gt;0")</f>
        <v>0</v>
      </c>
      <c r="T8" s="96">
        <f>COUNTIFS('2LS'!B3:B119,"*_NT.c", '2LS'!D3:D119,"wrong", '2LS'!O3:O119,"correct", '2LS'!R3:R119,"=0")</f>
        <v>0</v>
      </c>
      <c r="U8" s="96">
        <f>COUNTIFS('2LS'!B3:B119,"*_NT.c", '2LS'!D3:D119,"wrong", '2LS'!O3:O119,"wrong")</f>
        <v>3</v>
      </c>
    </row>
    <row r="9" spans="2:23" x14ac:dyDescent="0.25">
      <c r="B9" s="180" t="s">
        <v>152</v>
      </c>
      <c r="C9" s="90" t="s">
        <v>3974</v>
      </c>
      <c r="D9" s="2">
        <f>COUNTIFS(Athena!B3:B119,"*_NT.c", Athena!D3:D119,"correct", Athena!G3:G119,"&gt;0", Athena!Z3:Z119,"correct", Athena!AC3:AC119,"&gt;0")</f>
        <v>36</v>
      </c>
      <c r="E9" s="2">
        <f>COUNTIFS(Athena!B3:B119,"*_NT.c", Athena!D3:D119,"correct", Athena!G3:G119,"&gt;0", Athena!Z3:Z119,"correct", Athena!AC3:AC119,"=0")</f>
        <v>3</v>
      </c>
      <c r="F9" s="39">
        <f>COUNTIFS(Athena!B3:B119,"*_NT.c", Athena!D3:D119,"correct", Athena!G3:G119,"&gt;0", Athena!Z3:Z119,"wrong")</f>
        <v>0</v>
      </c>
      <c r="G9" s="65">
        <f>COUNTIFS(PROTON!B3:B119,"*_NT.c", PROTON!D3:D119,"correct", PROTON!G3:G119,"&gt;0", PROTON!Z3:Z119,"correct", PROTON!AC3:AC119,"&gt;0")</f>
        <v>27</v>
      </c>
      <c r="H9" s="65">
        <f>COUNTIFS(PROTON!B3:B119,"*_NT.c", PROTON!D3:D119,"correct", PROTON!G3:G119,"&gt;0", PROTON!Z3:Z119,"correct", PROTON!AC3:AC119,"=0")</f>
        <v>0</v>
      </c>
      <c r="I9" s="94">
        <f>COUNTIFS(PROTON!B3:B119,"*_NT.c", PROTON!D3:D119,"correct", PROTON!G3:G119,"&gt;0", PROTON!Z3:Z119,"wrong")</f>
        <v>3</v>
      </c>
      <c r="J9" s="65">
        <f>COUNTIFS(UAutomizer!B3:B119,"*_NT.c", UAutomizer!D3:D119,"correct", UAutomizer!G3:G119,"&gt;0", UAutomizer!Z3:Z119,"correct", UAutomizer!AC3:AC119,"&gt;0")</f>
        <v>20</v>
      </c>
      <c r="K9" s="65">
        <f>COUNTIFS(UAutomizer!B3:B119,"*_NT.c", UAutomizer!D3:D119,"correct", UAutomizer!G3:G119,"&gt;0", UAutomizer!Z3:Z119,"correct", UAutomizer!AC3:AC119,"=0")</f>
        <v>1</v>
      </c>
      <c r="L9" s="94">
        <f>COUNTIFS(UAutomizer!B3:B119,"*_NT.c", UAutomizer!D3:D119,"correct", UAutomizer!G3:G119,"&gt;0", UAutomizer!Z3:Z119,"wrong")</f>
        <v>2</v>
      </c>
      <c r="M9" s="65">
        <f>COUNTIFS(AProVE!B3:B119,"*_NT.c", AProVE!D3:D119,"correct", AProVE!G3:G119,"&gt;0", AProVE!Z3:Z119,"correct", AProVE!AC3:AC119,"&gt;0")</f>
        <v>11</v>
      </c>
      <c r="N9" s="65">
        <f>COUNTIFS(AProVE!B3:B119,"*_NT.c", AProVE!D3:D119,"correct", AProVE!G3:G119,"&gt;0", AProVE!Z3:Z119,"correct", AProVE!AC3:AC119,"=0")</f>
        <v>0</v>
      </c>
      <c r="O9" s="94">
        <f>COUNTIFS(AProVE!B3:B119,"*_NT.c", AProVE!D3:D119,"correct", AProVE!G3:G119,"&gt;0", AProVE!Z3:Z119,"wrong")</f>
        <v>2</v>
      </c>
      <c r="P9" s="65">
        <f>COUNTIFS(CPAchecker!B3:B119,"*_NT.c", CPAchecker!D3:D119,"correct", CPAchecker!G3:G119,"&gt;0", CPAchecker!Z3:Z119,"correct", CPAchecker!AC3:AC119,"&gt;0")</f>
        <v>18</v>
      </c>
      <c r="Q9" s="65">
        <f>COUNTIFS(CPAchecker!B3:B119,"*_NT.c", CPAchecker!D3:D119,"correct", CPAchecker!G3:G119,"&gt;0", CPAchecker!Z3:Z119,"correct", CPAchecker!AC3:AC119,"=0")</f>
        <v>0</v>
      </c>
      <c r="R9" s="94">
        <f>COUNTIFS(CPAchecker!B3:B119,"*_NT.c", CPAchecker!D3:D119,"correct", CPAchecker!G3:G119,"&gt;0", CPAchecker!Z3:Z119,"wrong")</f>
        <v>2</v>
      </c>
      <c r="S9" s="65">
        <f>COUNTIFS('2LS'!B3:B119,"*_NT.c", '2LS'!D3:D119,"correct", '2LS'!G3:G119,"&gt;0", '2LS'!Z3:Z119,"correct", '2LS'!AC3:AC119,"&gt;0")</f>
        <v>1</v>
      </c>
      <c r="T9" s="65">
        <f>COUNTIFS('2LS'!B3:B119,"*_NT.c", '2LS'!D3:D119,"correct", '2LS'!G3:G119,"&gt;0", '2LS'!Z3:Z119,"correct", '2LS'!AC3:AC119,"=0")</f>
        <v>0</v>
      </c>
      <c r="U9" s="65">
        <f>COUNTIFS('2LS'!B3:B119,"*_NT.c", '2LS'!D3:D119,"correct", '2LS'!G3:G119,"&gt;0", '2LS'!Z3:Z119,"wrong")</f>
        <v>0</v>
      </c>
    </row>
    <row r="10" spans="2:23" x14ac:dyDescent="0.25">
      <c r="B10" s="181"/>
      <c r="C10" s="81" t="s">
        <v>118</v>
      </c>
      <c r="D10" s="2">
        <f>COUNTIFS(Athena!B3:B119,"*_NT.c", Athena!D3:D119,"correct", Athena!G3:G119,"=0", Athena!Z3:Z119,"correct", Athena!AC3:AC119,"&gt;0")</f>
        <v>1</v>
      </c>
      <c r="E10" s="2">
        <f>COUNTIFS(Athena!B3:B119,"*_NT.c", Athena!D3:D119,"correct", Athena!G3:G119,"=0", Athena!Z3:Z119,"correct", Athena!AC3:AC119,"=0")</f>
        <v>16</v>
      </c>
      <c r="F10" s="39">
        <f>COUNTIFS(Athena!B3:B119,"*_NT.c", Athena!D3:D119,"correct", Athena!G3:G119,"=0", Athena!Z3:Z119,"wrong")</f>
        <v>0</v>
      </c>
      <c r="G10" s="65">
        <f>COUNTIFS(PROTON!B3:B119,"*_NT.c", PROTON!D3:D119,"correct", PROTON!G3:G119,"=0", PROTON!Z3:Z119,"correct", PROTON!AC3:AC119,"&gt;0")</f>
        <v>2</v>
      </c>
      <c r="H10" s="65">
        <f>COUNTIFS(PROTON!B3:B119,"*_NT.c", PROTON!D3:D119,"correct", PROTON!G3:G119,"=0", PROTON!Z3:Z119,"correct", PROTON!AC3:AC119,"=0")</f>
        <v>18</v>
      </c>
      <c r="I10" s="94">
        <f>COUNTIFS(PROTON!B3:B119,"*_NT.c", PROTON!D3:D119,"correct", PROTON!G3:G119,"=0", PROTON!Z3:Z119,"wrong")</f>
        <v>1</v>
      </c>
      <c r="J10" s="65">
        <f>COUNTIFS(UAutomizer!B3:B119,"*_NT.c", UAutomizer!D3:D119,"correct", UAutomizer!G3:G119,"=0", UAutomizer!Z3:Z119,"correct", UAutomizer!AC3:AC119,"&gt;0")</f>
        <v>2</v>
      </c>
      <c r="K10" s="65">
        <f>COUNTIFS(UAutomizer!B3:B119,"*_NT.c", UAutomizer!D3:D119,"correct", UAutomizer!G3:G119,"=0", UAutomizer!Z3:Z119,"correct", UAutomizer!AC3:AC119,"=0")</f>
        <v>26</v>
      </c>
      <c r="L10" s="94">
        <f>COUNTIFS(UAutomizer!B3:B119,"*_NT.c", UAutomizer!D3:D119,"correct", UAutomizer!G3:G119,"=0", UAutomizer!Z3:Z119,"wrong")</f>
        <v>3</v>
      </c>
      <c r="M10" s="65">
        <f>COUNTIFS(AProVE!B3:B119,"*_NT.c", AProVE!D3:D119,"correct", AProVE!G3:G119,"=0", AProVE!Z3:Z119,"correct", AProVE!AC3:AC119,"&gt;0")</f>
        <v>8</v>
      </c>
      <c r="N10" s="65">
        <f>COUNTIFS(AProVE!B3:B119,"*_NT.c", AProVE!D3:D119,"correct", AProVE!G3:G119,"=0", AProVE!Z3:Z119,"correct", AProVE!AC3:AC119,"=0")</f>
        <v>27</v>
      </c>
      <c r="O10" s="94">
        <f>COUNTIFS(AProVE!B3:B119,"*_NT.c", AProVE!D3:D119,"correct", AProVE!G3:G119,"=0", AProVE!Z3:Z119,"wrong")</f>
        <v>4</v>
      </c>
      <c r="P10" s="65">
        <f>COUNTIFS(CPAchecker!B3:B119,"*_NT.c", CPAchecker!D3:D119,"correct", CPAchecker!G3:G119,"=0", CPAchecker!Z3:Z119,"correct", CPAchecker!AC3:AC119,"&gt;0")</f>
        <v>1</v>
      </c>
      <c r="Q10" s="65">
        <f>COUNTIFS(CPAchecker!B3:B119,"*_NT.c", CPAchecker!D3:D119,"correct", CPAchecker!G3:G119,"=0", CPAchecker!Z3:Z119,"correct", CPAchecker!AC3:AC119,"=0")</f>
        <v>33</v>
      </c>
      <c r="R10" s="94">
        <f>COUNTIFS(CPAchecker!B3:B119,"*_NT.c", CPAchecker!D3:D119,"correct", CPAchecker!G3:G119,"=0", CPAchecker!Z3:Z119,"wrong")</f>
        <v>1</v>
      </c>
      <c r="S10" s="65">
        <f>COUNTIFS('2LS'!B3:B119,"*_NT.c", '2LS'!D3:D119,"correct", '2LS'!G3:G119,"=0", '2LS'!Z3:Z119,"correct", '2LS'!AC3:AC119,"&gt;0")</f>
        <v>24</v>
      </c>
      <c r="T10" s="65">
        <f>COUNTIFS('2LS'!B3:B119,"*_NT.c", '2LS'!D3:D119,"correct", '2LS'!G3:G119,"=0", '2LS'!Z3:Z119,"correct", '2LS'!AC3:AC119,"=0")</f>
        <v>28</v>
      </c>
      <c r="U10" s="65">
        <f>COUNTIFS('2LS'!B3:B119,"*_NT.c", '2LS'!D3:D119,"correct", '2LS'!G3:G119,"=0", '2LS'!Z3:Z119,"wrong")</f>
        <v>0</v>
      </c>
    </row>
    <row r="11" spans="2:23" x14ac:dyDescent="0.25">
      <c r="B11" s="187"/>
      <c r="C11" s="87" t="s">
        <v>117</v>
      </c>
      <c r="D11" s="91">
        <f>COUNTIFS(Athena!B3:B119,"*_NT.c", Athena!D3:D119,"wrong", Athena!Z3:Z119,"correct", Athena!AC3:AC119,"&gt;0")</f>
        <v>0</v>
      </c>
      <c r="E11" s="92">
        <f>COUNTIFS(Athena!B3:B119,"*_NT.c", Athena!D3:D119,"wrong", Athena!Z3:Z119,"correct", Athena!AC3:AC119,"=0")</f>
        <v>0</v>
      </c>
      <c r="F11" s="93">
        <f>COUNTIFS(Athena!B3:B119,"*_NT.c", Athena!D3:D119,"wrong", Athena!Z3:Z119,"wrong")</f>
        <v>0</v>
      </c>
      <c r="G11" s="95">
        <f>COUNTIFS(PROTON!B3:B119,"*_NT.c", PROTON!D3:D119,"wrong", PROTON!Z3:Z119,"correct", PROTON!AC3:AC119,"&gt;0")</f>
        <v>0</v>
      </c>
      <c r="H11" s="96">
        <f>COUNTIFS(PROTON!B3:B119,"*_NT.c", PROTON!D3:D119,"wrong", PROTON!Z3:Z119,"correct", PROTON!AC3:AC119,"=0")</f>
        <v>0</v>
      </c>
      <c r="I11" s="97">
        <f>COUNTIFS(PROTON!B3:B119,"*_NT.c", PROTON!D3:D119,"wrong", PROTON!Z3:Z119,"wrong")</f>
        <v>5</v>
      </c>
      <c r="J11" s="95">
        <f>COUNTIFS(UAutomizer!B3:B119,"*_NT.c", UAutomizer!D3:D119,"wrong", UAutomizer!Z3:Z119,"correct", UAutomizer!AC3:AC119,"&gt;0")</f>
        <v>0</v>
      </c>
      <c r="K11" s="96">
        <f>COUNTIFS(UAutomizer!B3:B119,"*_NT.c", UAutomizer!D3:D119,"wrong", UAutomizer!Z3:Z119,"correct", UAutomizer!AC3:AC119,"=0")</f>
        <v>0</v>
      </c>
      <c r="L11" s="97">
        <f>COUNTIFS(UAutomizer!B3:B119,"*_NT.c", UAutomizer!D3:D119,"wrong", UAutomizer!Z3:Z119,"wrong")</f>
        <v>2</v>
      </c>
      <c r="M11" s="95">
        <f>COUNTIFS(AProVE!B3:B119,"*_NT.c", AProVE!D3:D119,"wrong", AProVE!Z3:Z119,"correct", AProVE!AC3:AC119,"&gt;0")</f>
        <v>0</v>
      </c>
      <c r="N11" s="96">
        <f>COUNTIFS(AProVE!B3:B119,"*_NT.c", AProVE!D3:D119,"wrong", AProVE!Z3:Z119,"correct", AProVE!AC3:AC119,"=0")</f>
        <v>2</v>
      </c>
      <c r="O11" s="97">
        <f>COUNTIFS(AProVE!B3:B119,"*_NT.c", AProVE!D3:D119,"wrong", AProVE!Z3:Z119,"wrong")</f>
        <v>2</v>
      </c>
      <c r="P11" s="95">
        <f>COUNTIFS(CPAchecker!B3:B119,"*_NT.c", CPAchecker!D3:D119,"wrong", CPAchecker!Z3:Z119,"correct", CPAchecker!AC3:AC119,"&gt;0")</f>
        <v>0</v>
      </c>
      <c r="Q11" s="96">
        <f>COUNTIFS(CPAchecker!B3:B119,"*_NT.c", CPAchecker!D3:D119,"wrong", CPAchecker!Z3:Z119,"correct", CPAchecker!AC3:AC119,"=0")</f>
        <v>0</v>
      </c>
      <c r="R11" s="97">
        <f>COUNTIFS(CPAchecker!B3:B119,"*_NT.c", CPAchecker!D3:D119,"wrong", CPAchecker!Z3:Z119,"wrong")</f>
        <v>1</v>
      </c>
      <c r="S11" s="95">
        <f>COUNTIFS('2LS'!B3:B119,"*_NT.c", '2LS'!D3:D119,"wrong", '2LS'!Z3:Z119,"correct", '2LS'!AC3:AC119,"&gt;0")</f>
        <v>0</v>
      </c>
      <c r="T11" s="96">
        <f>COUNTIFS('2LS'!B3:B119,"*_NT.c", '2LS'!D3:D119,"wrong", '2LS'!Z3:Z119,"correct", '2LS'!AC3:AC119,"=0")</f>
        <v>0</v>
      </c>
      <c r="U11" s="96">
        <f>COUNTIFS('2LS'!B3:B119,"*_NT.c", '2LS'!D3:D119,"wrong", '2LS'!Z3:Z119,"wrong")</f>
        <v>3</v>
      </c>
    </row>
    <row r="12" spans="2:23" x14ac:dyDescent="0.25">
      <c r="B12" s="180" t="s">
        <v>153</v>
      </c>
      <c r="C12" s="90" t="s">
        <v>3974</v>
      </c>
      <c r="D12" s="2">
        <f>COUNTIFS(Athena!B3:B119,"*_NT.c", Athena!D3:D119,"correct", Athena!G3:G119,"&gt;0", Athena!AK3:AK119,"correct", Athena!AN3:AN119,"&gt;0")</f>
        <v>33</v>
      </c>
      <c r="E12" s="2">
        <f>COUNTIFS(Athena!B3:B119,"*_NT.c", Athena!D3:D119,"correct", Athena!G3:G119,"&gt;0", Athena!AK3:AK119,"correct", Athena!AN3:AN119,"=0")</f>
        <v>6</v>
      </c>
      <c r="F12" s="39">
        <f>COUNTIFS(Athena!B3:B119,"*_NT.c", Athena!D3:D119,"correct", Athena!G3:G119,"&gt;0", Athena!AK3:AK119,"wrong")</f>
        <v>0</v>
      </c>
      <c r="G12" s="65">
        <f>COUNTIFS(PROTON!B3:B119,"*_NT.c", PROTON!D3:D119,"correct", PROTON!G3:G119,"&gt;0", PROTON!AK3:AK119,"correct", PROTON!AN3:AN119,"&gt;0")</f>
        <v>24</v>
      </c>
      <c r="H12" s="65">
        <f>COUNTIFS(PROTON!B3:B119,"*_NT.c", PROTON!D3:D119,"correct", PROTON!G3:G119,"&gt;0", PROTON!AK3:AK119,"correct", PROTON!AN3:AN119,"=0")</f>
        <v>1</v>
      </c>
      <c r="I12" s="94">
        <f>COUNTIFS(PROTON!B3:B119,"*_NT.c", PROTON!D3:D119,"correct", PROTON!G3:G119,"&gt;0", PROTON!AK3:AK119,"wrong")</f>
        <v>5</v>
      </c>
      <c r="J12" s="65">
        <f>COUNTIFS(UAutomizer!B3:B119,"*_NT.c", UAutomizer!D3:D119,"correct", UAutomizer!G3:G119,"&gt;0", UAutomizer!AK3:AK119,"correct", UAutomizer!AN3:AN119,"&gt;0")</f>
        <v>14</v>
      </c>
      <c r="K12" s="65">
        <f>COUNTIFS(UAutomizer!B3:B119,"*_NT.c", UAutomizer!D3:D119,"correct", UAutomizer!G3:G119,"&gt;0", UAutomizer!AK3:AK119,"correct", UAutomizer!AN3:AN119,"=0")</f>
        <v>7</v>
      </c>
      <c r="L12" s="94">
        <f>COUNTIFS(UAutomizer!B3:B119,"*_NT.c", UAutomizer!D3:D119,"correct", UAutomizer!G3:G119,"&gt;0", UAutomizer!AK3:AK119,"wrong")</f>
        <v>2</v>
      </c>
      <c r="M12" s="65">
        <f>COUNTIFS(AProVE!B3:B119,"*_NT.c", AProVE!D3:D119,"correct", AProVE!G3:G119,"&gt;0", AProVE!AK3:AK119,"correct", AProVE!AN3:AN119,"&gt;0")</f>
        <v>10</v>
      </c>
      <c r="N12" s="65">
        <f>COUNTIFS(AProVE!B3:B119,"*_NT.c", AProVE!D3:D119,"correct", AProVE!G3:G119,"&gt;0", AProVE!AK3:AK119,"correct", AProVE!AN3:AN119,"=0")</f>
        <v>0</v>
      </c>
      <c r="O12" s="94">
        <f>COUNTIFS(AProVE!B3:B119,"*_NT.c", AProVE!D3:D119,"correct", AProVE!G3:G119,"&gt;0", AProVE!AK3:AK119,"wrong")</f>
        <v>3</v>
      </c>
      <c r="P12" s="65">
        <f>COUNTIFS(CPAchecker!B3:B119,"*_NT.c", CPAchecker!D3:D119,"correct", CPAchecker!G3:G119,"&gt;0", CPAchecker!AK3:AK119,"correct", CPAchecker!AN3:AN119,"&gt;0")</f>
        <v>17</v>
      </c>
      <c r="Q12" s="65">
        <f>COUNTIFS(CPAchecker!B3:B119,"*_NT.c", CPAchecker!D3:D119,"correct", CPAchecker!G3:G119,"&gt;0", CPAchecker!AK3:AK119,"correct", CPAchecker!AN3:AN119,"=0")</f>
        <v>1</v>
      </c>
      <c r="R12" s="94">
        <f>COUNTIFS(CPAchecker!B3:B119,"*_NT.c", CPAchecker!D3:D119,"correct", CPAchecker!G3:G119,"&gt;0", CPAchecker!AK3:AK119,"wrong")</f>
        <v>2</v>
      </c>
      <c r="S12" s="65">
        <f>COUNTIFS('2LS'!B3:B119,"*_NT.c", '2LS'!D3:D119,"correct", '2LS'!G3:G119,"&gt;0", '2LS'!AK3:AK119,"correct", '2LS'!AN3:AN119,"&gt;0")</f>
        <v>1</v>
      </c>
      <c r="T12" s="65">
        <f>COUNTIFS('2LS'!B3:B119,"*_NT.c", '2LS'!D3:D119,"correct", '2LS'!G3:G119,"&gt;0", '2LS'!AK3:AK119,"correct", '2LS'!AN3:AN119,"=0")</f>
        <v>0</v>
      </c>
      <c r="U12" s="65">
        <f>COUNTIFS('2LS'!B3:B119,"*_NT.c", '2LS'!D3:D119,"correct", '2LS'!G3:G119,"&gt;0", '2LS'!AK3:AK119,"wrong")</f>
        <v>0</v>
      </c>
    </row>
    <row r="13" spans="2:23" x14ac:dyDescent="0.25">
      <c r="B13" s="181"/>
      <c r="C13" s="81" t="s">
        <v>118</v>
      </c>
      <c r="D13" s="2">
        <f>COUNTIFS(Athena!B3:B119,"*_NT.c", Athena!D3:D119,"correct", Athena!G3:G119,"=0", Athena!AK3:AK119,"correct", Athena!AN3:AN119,"&gt;0")</f>
        <v>1</v>
      </c>
      <c r="E13" s="2">
        <f>COUNTIFS(Athena!B3:B119,"*_NT.c", Athena!D3:D119,"correct", Athena!G3:G119,"=0", Athena!AK3:AK119,"correct", Athena!AN3:AN119,"=0")</f>
        <v>16</v>
      </c>
      <c r="F13" s="39">
        <f>COUNTIFS(Athena!B3:B119,"*_NT.c", Athena!D3:D119,"correct", Athena!G3:G119,"=0", Athena!AK3:AK119,"wrong")</f>
        <v>0</v>
      </c>
      <c r="G13" s="65">
        <f>COUNTIFS(PROTON!B3:B119,"*_NT.c", PROTON!D3:D119,"correct", PROTON!G3:G119,"=0", PROTON!AK3:AK119,"correct", PROTON!AN3:AN119,"&gt;0")</f>
        <v>6</v>
      </c>
      <c r="H13" s="65">
        <f>COUNTIFS(PROTON!B3:B119,"*_NT.c", PROTON!D3:D119,"correct", PROTON!G3:G119,"=0", PROTON!AK3:AK119,"correct", PROTON!AN3:AN119,"=0")</f>
        <v>13</v>
      </c>
      <c r="I13" s="94">
        <f>COUNTIFS(PROTON!B3:B119,"*_NT.c", PROTON!D3:D119,"correct", PROTON!G3:G119,"=0", PROTON!AK3:AK119,"wrong")</f>
        <v>2</v>
      </c>
      <c r="J13" s="65">
        <f>COUNTIFS(UAutomizer!B3:B119,"*_NT.c", UAutomizer!D3:D119,"correct", UAutomizer!G3:G119,"=0", UAutomizer!AK3:AK119,"correct", UAutomizer!AN3:AN119,"&gt;0")</f>
        <v>3</v>
      </c>
      <c r="K13" s="65">
        <f>COUNTIFS(UAutomizer!B3:B119,"*_NT.c", UAutomizer!D3:D119,"correct", UAutomizer!G3:G119,"=0", UAutomizer!AK3:AK119,"correct", UAutomizer!AN3:AN119,"=0")</f>
        <v>25</v>
      </c>
      <c r="L13" s="94">
        <f>COUNTIFS(UAutomizer!B3:B119,"*_NT.c", UAutomizer!D3:D119,"correct", UAutomizer!G3:G119,"=0", UAutomizer!AK3:AK119,"wrong")</f>
        <v>3</v>
      </c>
      <c r="M13" s="65">
        <f>COUNTIFS(AProVE!B3:B119,"*_NT.c", AProVE!D3:D119,"correct", AProVE!G3:G119,"=0", AProVE!AK3:AK119,"correct", AProVE!AN3:AN119,"&gt;0")</f>
        <v>9</v>
      </c>
      <c r="N13" s="65">
        <f>COUNTIFS(AProVE!B3:B119,"*_NT.c", AProVE!D3:D119,"correct", AProVE!G3:G119,"=0", AProVE!AK3:AK119,"correct", AProVE!AN3:AN119,"=0")</f>
        <v>26</v>
      </c>
      <c r="O13" s="94">
        <f>COUNTIFS(AProVE!B3:B119,"*_NT.c", AProVE!D3:D119,"correct", AProVE!G3:G119,"=0", AProVE!AK3:AK119,"wrong")</f>
        <v>4</v>
      </c>
      <c r="P13" s="65">
        <f>COUNTIFS(CPAchecker!B3:B119,"*_NT.c", CPAchecker!D3:D119,"correct", CPAchecker!G3:G119,"=0", CPAchecker!AK3:AK119,"correct", CPAchecker!AN3:AN119,"&gt;0")</f>
        <v>3</v>
      </c>
      <c r="Q13" s="65">
        <f>COUNTIFS(CPAchecker!B3:B119,"*_NT.c", CPAchecker!D3:D119,"correct", CPAchecker!G3:G119,"=0", CPAchecker!AK3:AK119,"correct", CPAchecker!AN3:AN119,"=0")</f>
        <v>31</v>
      </c>
      <c r="R13" s="94">
        <f>COUNTIFS(CPAchecker!B3:B119,"*_NT.c", CPAchecker!D3:D119,"correct", CPAchecker!G3:G119,"=0", CPAchecker!AK3:AK119,"wrong")</f>
        <v>1</v>
      </c>
      <c r="S13" s="65">
        <f>COUNTIFS('2LS'!B3:B119,"*_NT.c", '2LS'!D3:D119,"correct", '2LS'!G3:G119,"=0", '2LS'!AK3:AK119,"correct", '2LS'!AN3:AN119,"&gt;0")</f>
        <v>23</v>
      </c>
      <c r="T13" s="65">
        <f>COUNTIFS('2LS'!B3:B119,"*_NT.c", '2LS'!D3:D119,"correct", '2LS'!G3:G119,"=0", '2LS'!AK3:AK119,"correct", '2LS'!AN3:AN119,"=0")</f>
        <v>28</v>
      </c>
      <c r="U13" s="65">
        <f>COUNTIFS('2LS'!B3:B119,"*_NT.c", '2LS'!D3:D119,"correct", '2LS'!G3:G119,"=0", '2LS'!AK3:AK119,"wrong")</f>
        <v>1</v>
      </c>
    </row>
    <row r="14" spans="2:23" ht="21" thickBot="1" x14ac:dyDescent="0.3">
      <c r="B14" s="182"/>
      <c r="C14" s="88" t="s">
        <v>117</v>
      </c>
      <c r="D14" s="46">
        <f>COUNTIFS(Athena!B3:B119,"*_NT.c", Athena!D3:D119,"wrong", Athena!AK3:AK119,"correct", Athena!AN3:AN119,"&gt;0")</f>
        <v>0</v>
      </c>
      <c r="E14" s="5">
        <f>COUNTIFS(Athena!B3:B119,"*_NT.c", Athena!D3:D119,"wrong", Athena!AK3:AK119,"correct", Athena!AN3:AN119,"=0")</f>
        <v>0</v>
      </c>
      <c r="F14" s="61">
        <f>COUNTIFS(Athena!B3:B119,"*_NT.c", Athena!D3:D119,"wrong", Athena!AK3:AK119,"wrong")</f>
        <v>0</v>
      </c>
      <c r="G14" s="98">
        <f>COUNTIFS(PROTON!B3:B119,"*_NT.c", PROTON!D3:D119,"wrong", PROTON!AK3:AK119,"correct", PROTON!AN3:AN119,"&gt;0")</f>
        <v>1</v>
      </c>
      <c r="H14" s="99">
        <f>COUNTIFS(PROTON!B3:B119,"*_NT.c", PROTON!D3:D119,"wrong", PROTON!AK3:AK119,"correct", PROTON!AN3:AN119,"=0")</f>
        <v>3</v>
      </c>
      <c r="I14" s="100">
        <f>COUNTIFS(PROTON!B3:B119,"*_NT.c", PROTON!D3:D119,"wrong", PROTON!AK3:AK119,"wrong")</f>
        <v>1</v>
      </c>
      <c r="J14" s="98">
        <f>COUNTIFS(UAutomizer!B3:B119,"*_NT.c", UAutomizer!D3:D119,"wrong", UAutomizer!AK3:AK119,"correct", UAutomizer!AN3:AN119,"&gt;0")</f>
        <v>0</v>
      </c>
      <c r="K14" s="99">
        <f>COUNTIFS(UAutomizer!B3:B119,"*_NT.c", UAutomizer!D3:D119,"wrong", UAutomizer!AK3:AK119,"correct", UAutomizer!AN3:AN119,"=0")</f>
        <v>0</v>
      </c>
      <c r="L14" s="100">
        <f>COUNTIFS(UAutomizer!B3:B119,"*_NT.c", UAutomizer!D3:D119,"wrong", UAutomizer!AK3:AK119,"wrong")</f>
        <v>2</v>
      </c>
      <c r="M14" s="98">
        <f>COUNTIFS(AProVE!B3:B119,"*_NT.c", AProVE!D3:D119,"wrong", AProVE!AK3:AK119,"correct", AProVE!AN3:AN119,"&gt;0")</f>
        <v>0</v>
      </c>
      <c r="N14" s="99">
        <f>COUNTIFS(AProVE!B3:B119,"*_NT.c", AProVE!D3:D119,"wrong", AProVE!AK3:AK119,"correct", AProVE!AN3:AN119,"=0")</f>
        <v>3</v>
      </c>
      <c r="O14" s="100">
        <f>COUNTIFS(AProVE!B3:B119,"*_NT.c", AProVE!D3:D119,"wrong", AProVE!AK3:AK119,"wrong")</f>
        <v>1</v>
      </c>
      <c r="P14" s="98">
        <f>COUNTIFS(CPAchecker!B3:B119,"*_NT.c", CPAchecker!D3:D119,"wrong", CPAchecker!AK3:AK119,"correct", CPAchecker!AN3:AN119,"&gt;0")</f>
        <v>1</v>
      </c>
      <c r="Q14" s="99">
        <f>COUNTIFS(CPAchecker!B3:B119,"*_NT.c", CPAchecker!D3:D119,"wrong", CPAchecker!AK3:AK119,"correct", CPAchecker!AN3:AN119,"=0")</f>
        <v>0</v>
      </c>
      <c r="R14" s="100">
        <f>COUNTIFS(CPAchecker!B3:B119,"*_NT.c", CPAchecker!D3:D119,"wrong", CPAchecker!AK3:AK119,"wrong")</f>
        <v>0</v>
      </c>
      <c r="S14" s="98">
        <f>COUNTIFS('2LS'!B3:B119,"*_NT.c", '2LS'!D3:D119,"wrong", '2LS'!AK3:AK119,"correct", '2LS'!AN3:AN119,"&gt;0")</f>
        <v>0</v>
      </c>
      <c r="T14" s="99">
        <f>COUNTIFS('2LS'!B3:B119,"*_NT.c", '2LS'!D3:D119,"wrong", '2LS'!AK3:AK119,"correct", '2LS'!AN3:AN119,"=0")</f>
        <v>0</v>
      </c>
      <c r="U14" s="99">
        <f>COUNTIFS('2LS'!B3:B119,"*_NT.c", '2LS'!D3:D119,"wrong", '2LS'!AK3:AK119,"wrong")</f>
        <v>3</v>
      </c>
    </row>
    <row r="15" spans="2:23" ht="16.5" customHeight="1" x14ac:dyDescent="0.25">
      <c r="M15" s="85"/>
      <c r="N15" s="85"/>
      <c r="O15" s="85"/>
    </row>
    <row r="16" spans="2:23" x14ac:dyDescent="0.25">
      <c r="B16" s="22" t="s">
        <v>3988</v>
      </c>
      <c r="C16" s="40"/>
    </row>
    <row r="17" spans="2:23" ht="21" thickBot="1" x14ac:dyDescent="0.3"/>
    <row r="18" spans="2:23" ht="21" customHeight="1" x14ac:dyDescent="0.25">
      <c r="B18" s="184" t="s">
        <v>119</v>
      </c>
      <c r="C18" s="197" t="s">
        <v>127</v>
      </c>
      <c r="D18" s="188" t="s">
        <v>144</v>
      </c>
      <c r="E18" s="189"/>
      <c r="F18" s="190"/>
      <c r="G18" s="194" t="s">
        <v>116</v>
      </c>
      <c r="H18" s="195"/>
      <c r="I18" s="196"/>
      <c r="J18" s="188" t="s">
        <v>109</v>
      </c>
      <c r="K18" s="189"/>
      <c r="L18" s="190"/>
      <c r="M18" s="188" t="s">
        <v>108</v>
      </c>
      <c r="N18" s="189"/>
      <c r="O18" s="190"/>
      <c r="P18" s="188" t="s">
        <v>110</v>
      </c>
      <c r="Q18" s="189"/>
      <c r="R18" s="190"/>
      <c r="S18" s="188" t="s">
        <v>111</v>
      </c>
      <c r="T18" s="189"/>
      <c r="U18" s="189"/>
    </row>
    <row r="19" spans="2:23" ht="21" thickBot="1" x14ac:dyDescent="0.3">
      <c r="B19" s="185"/>
      <c r="C19" s="198"/>
      <c r="D19" s="41" t="s">
        <v>3974</v>
      </c>
      <c r="E19" s="42" t="s">
        <v>118</v>
      </c>
      <c r="F19" s="43" t="s">
        <v>117</v>
      </c>
      <c r="G19" s="101" t="s">
        <v>3974</v>
      </c>
      <c r="H19" s="102" t="s">
        <v>118</v>
      </c>
      <c r="I19" s="103" t="s">
        <v>117</v>
      </c>
      <c r="J19" s="41" t="s">
        <v>3974</v>
      </c>
      <c r="K19" s="42" t="s">
        <v>118</v>
      </c>
      <c r="L19" s="43" t="s">
        <v>117</v>
      </c>
      <c r="M19" s="41" t="s">
        <v>3974</v>
      </c>
      <c r="N19" s="42" t="s">
        <v>118</v>
      </c>
      <c r="O19" s="43" t="s">
        <v>117</v>
      </c>
      <c r="P19" s="41" t="s">
        <v>3974</v>
      </c>
      <c r="Q19" s="42" t="s">
        <v>118</v>
      </c>
      <c r="R19" s="43" t="s">
        <v>117</v>
      </c>
      <c r="S19" s="41" t="s">
        <v>3974</v>
      </c>
      <c r="T19" s="42" t="s">
        <v>118</v>
      </c>
      <c r="U19" s="42" t="s">
        <v>117</v>
      </c>
      <c r="W19" s="12" t="s">
        <v>3981</v>
      </c>
    </row>
    <row r="20" spans="2:23" x14ac:dyDescent="0.25">
      <c r="B20" s="186" t="s">
        <v>115</v>
      </c>
      <c r="C20" s="89" t="s">
        <v>3974</v>
      </c>
      <c r="D20" s="65">
        <f>COUNTIFS(Athena!B3:B119,"*_T.c", Athena!D3:D119,"correct", Athena!E3:E119,"=1", Athena!O3:O119,"correct", Athena!P3:P119,"=1")</f>
        <v>34</v>
      </c>
      <c r="E20" s="65">
        <f>COUNTIFS(Athena!B3:B119,"*_T.c", Athena!D3:D119,"correct", Athena!E3:E119,"=1", Athena!O3:O119,"correct", Athena!P3:P119,"&lt;1")</f>
        <v>2</v>
      </c>
      <c r="F20" s="94">
        <f>COUNTIFS(Athena!B3:B119,"*_T.c", Athena!D3:D119,"correct", Athena!E3:E119,"=1", Athena!O3:O119,"wrong")</f>
        <v>0</v>
      </c>
      <c r="G20" s="65">
        <f>COUNTIFS(PROTON!B3:B119,"*_T.c", PROTON!D3:D119,"correct", PROTON!E3:E119,"=1", PROTON!O3:O119,"correct", PROTON!P3:P119,"=1")</f>
        <v>52</v>
      </c>
      <c r="H20" s="65">
        <f>COUNTIFS(PROTON!B3:B119,"*_T.c", PROTON!D3:D119,"correct", PROTON!E3:E119,"=1", PROTON!O3:O119,"correct", PROTON!P3:P119,"&lt;1")</f>
        <v>0</v>
      </c>
      <c r="I20" s="94">
        <f>COUNTIFS(PROTON!B3:B119,"*_T.c", PROTON!D3:D119,"correct", PROTON!E3:E119,"=1", PROTON!O3:O119,"wrong")</f>
        <v>0</v>
      </c>
      <c r="J20" s="65">
        <f>COUNTIFS(UAutomizer!B3:B119,"*_T.c", UAutomizer!D3:D119,"correct", UAutomizer!E3:E119,"=1", UAutomizer!O3:O119,"correct", UAutomizer!P3:P119,"=1")</f>
        <v>25</v>
      </c>
      <c r="K20" s="65">
        <f>COUNTIFS(UAutomizer!B3:B119,"*_T.c", UAutomizer!D3:D119,"correct", UAutomizer!E3:E119,"=1", UAutomizer!O3:O119,"correct", UAutomizer!P3:P119,"&lt;1")</f>
        <v>4</v>
      </c>
      <c r="L20" s="94">
        <f>COUNTIFS(UAutomizer!B3:B119,"*_T.c", UAutomizer!D3:D119,"correct", UAutomizer!E3:E119,"=1", UAutomizer!O3:O119,"wrong")</f>
        <v>0</v>
      </c>
      <c r="M20" s="65">
        <f>COUNTIFS(AProVE!B3:B119,"*_T.c", AProVE!D3:D119,"correct", AProVE!E3:E119,"=1", AProVE!O3:O119,"correct", AProVE!P3:P119,"=1")</f>
        <v>22</v>
      </c>
      <c r="N20" s="65">
        <f>COUNTIFS(AProVE!B3:B119,"*_T.c", AProVE!D3:D119,"correct", AProVE!E3:E119,"=1", AProVE!O3:O119,"correct", AProVE!P3:P119,"&lt;1")</f>
        <v>3</v>
      </c>
      <c r="O20" s="94">
        <f>COUNTIFS(AProVE!B3:B119,"*_T.c", AProVE!D3:D119,"correct", AProVE!E3:E119,"=1", AProVE!O3:O119,"wrong")</f>
        <v>0</v>
      </c>
      <c r="P20" s="65">
        <f>COUNTIFS(CPAchecker!B3:B119,"*_T.c", CPAchecker!D3:D119,"correct", CPAchecker!E3:E119,"=1", CPAchecker!O3:O119,"correct", CPAchecker!P3:P119,"=1")</f>
        <v>8</v>
      </c>
      <c r="Q20" s="65">
        <f>COUNTIFS(CPAchecker!B3:B119,"*_T.c", CPAchecker!D3:D119,"correct", CPAchecker!E3:E119,"=1", CPAchecker!O3:O119,"correct", CPAchecker!P3:P119,"&lt;1")</f>
        <v>2</v>
      </c>
      <c r="R20" s="94">
        <f>COUNTIFS(CPAchecker!B3:B119,"*_T.c", CPAchecker!D3:D119,"correct", CPAchecker!E3:E119,"=1", CPAchecker!O3:O119,"wrong")</f>
        <v>0</v>
      </c>
      <c r="S20" s="65">
        <f>COUNTIFS('2LS'!B3:B119,"*_T.c", '2LS'!D3:D119,"correct", '2LS'!E3:E119,"=1", '2LS'!O3:O119,"correct", '2LS'!P3:P119,"=1")</f>
        <v>29</v>
      </c>
      <c r="T20" s="65">
        <f>COUNTIFS('2LS'!B3:B119,"*_T.c", '2LS'!D3:D119,"correct", '2LS'!E3:E119,"=1", '2LS'!O3:O119,"correct", '2LS'!P3:P119,"&lt;1")</f>
        <v>0</v>
      </c>
      <c r="U20" s="65">
        <f>COUNTIFS('2LS'!B3:B119,"*_T.c", '2LS'!D3:D119,"correct", '2LS'!E3:E119,"=1", '2LS'!O3:O119,"wrong")</f>
        <v>0</v>
      </c>
      <c r="W20" s="12" t="s">
        <v>3982</v>
      </c>
    </row>
    <row r="21" spans="2:23" x14ac:dyDescent="0.25">
      <c r="B21" s="181"/>
      <c r="C21" s="81" t="s">
        <v>118</v>
      </c>
      <c r="D21" s="65">
        <f>COUNTIFS(Athena!B3:B119,"*_T.c", Athena!D3:D119,"correct", Athena!E3:E119,"&lt;1", Athena!O3:O119,"correct", Athena!P3:P119,"=1")</f>
        <v>0</v>
      </c>
      <c r="E21" s="65">
        <f>COUNTIFS(Athena!B3:B119,"*_T.c", Athena!D3:D119,"correct", Athena!E3:E119,"&lt;1", Athena!O3:O119,"correct", Athena!P3:P119,"&lt;1")</f>
        <v>25</v>
      </c>
      <c r="F21" s="94">
        <f>COUNTIFS(Athena!B3:B119,"*_T.c", Athena!D3:D119,"correct", Athena!E3:E119,"&lt;1", Athena!O3:O119,"wrong")</f>
        <v>0</v>
      </c>
      <c r="G21" s="65">
        <f>COUNTIFS(PROTON!B3:B119,"*_T.c", PROTON!D3:D119,"correct", PROTON!E3:E119,"&lt;1", PROTON!O3:O119,"correct", PROTON!P3:P119,"=1")</f>
        <v>0</v>
      </c>
      <c r="H21" s="65">
        <f>COUNTIFS(PROTON!B3:B119,"*_T.c", PROTON!D3:D119,"correct", PROTON!E3:E119,"&lt;1", PROTON!O3:O119,"correct", PROTON!P3:P119,"&lt;1")</f>
        <v>4</v>
      </c>
      <c r="I21" s="94">
        <f>COUNTIFS(PROTON!B3:B119,"*_T.c", PROTON!D3:D119,"correct", PROTON!E3:E119,"&lt;1", PROTON!O3:O119,"wrong")</f>
        <v>0</v>
      </c>
      <c r="J21" s="65">
        <f>COUNTIFS(UAutomizer!B3:B119,"*_T.c", UAutomizer!D3:D119,"correct", UAutomizer!E3:E119,"&lt;1", UAutomizer!O3:O119,"correct", UAutomizer!P3:P119,"=1")</f>
        <v>0</v>
      </c>
      <c r="K21" s="65">
        <f>COUNTIFS(UAutomizer!B3:B119,"*_T.c", UAutomizer!D3:D119,"correct", UAutomizer!E3:E119,"&lt;1", UAutomizer!O3:O119,"correct", UAutomizer!P3:P119,"&lt;1")</f>
        <v>31</v>
      </c>
      <c r="L21" s="94">
        <f>COUNTIFS(UAutomizer!B3:B119,"*_T.c", UAutomizer!D3:D119,"correct", UAutomizer!E3:E119,"&lt;1", UAutomizer!O3:O119,"wrong")</f>
        <v>0</v>
      </c>
      <c r="M21" s="65">
        <f>COUNTIFS(AProVE!B3:B119,"*_T.c", AProVE!D3:D119,"correct", AProVE!E3:E119,"&lt;1", AProVE!O3:O119,"correct", AProVE!P3:P119,"=1")</f>
        <v>0</v>
      </c>
      <c r="N21" s="65">
        <f>COUNTIFS(AProVE!B3:B119,"*_T.c", AProVE!D3:D119,"correct", AProVE!E3:E119,"&lt;1", AProVE!O3:O119,"correct", AProVE!P3:P119,"&lt;1")</f>
        <v>36</v>
      </c>
      <c r="O21" s="94">
        <f>COUNTIFS(AProVE!B3:B119,"*_T.c", AProVE!D3:D119,"correct", AProVE!E3:E119,"&lt;1", AProVE!O3:O119,"wrong")</f>
        <v>0</v>
      </c>
      <c r="P21" s="65">
        <f>COUNTIFS(CPAchecker!B3:B119,"*_T.c", CPAchecker!D3:D119,"correct", CPAchecker!E3:E119,"&lt;1", CPAchecker!O3:O119,"correct", CPAchecker!P3:P119,"=1")</f>
        <v>1</v>
      </c>
      <c r="Q21" s="65">
        <f>COUNTIFS(CPAchecker!B3:B119,"*_T.c", CPAchecker!D3:D119,"correct", CPAchecker!E3:E119,"&lt;1", CPAchecker!O3:O119,"correct", CPAchecker!P3:P119,"&lt;1")</f>
        <v>43</v>
      </c>
      <c r="R21" s="94">
        <f>COUNTIFS(CPAchecker!B3:B119,"*_T.c", CPAchecker!D3:D119,"correct", CPAchecker!E3:E119,"&lt;1", CPAchecker!O3:O119,"wrong")</f>
        <v>2</v>
      </c>
      <c r="S21" s="65">
        <f>COUNTIFS('2LS'!B3:B119,"*_T.c", '2LS'!D3:D119,"correct", '2LS'!E3:E119,"&lt;1", '2LS'!O3:O119,"correct", '2LS'!P3:P119,"=1")</f>
        <v>0</v>
      </c>
      <c r="T21" s="65">
        <f>COUNTIFS('2LS'!B3:B119,"*_T.c", '2LS'!D3:D119,"correct", '2LS'!E3:E119,"&lt;1", '2LS'!O3:O119,"correct", '2LS'!P3:P119,"&lt;1")</f>
        <v>32</v>
      </c>
      <c r="U21" s="65">
        <f>COUNTIFS('2LS'!B3:B119,"*_T.c", '2LS'!D3:D119,"correct", '2LS'!E3:E119,"&lt;1", '2LS'!O3:O119,"wrong")</f>
        <v>0</v>
      </c>
      <c r="W21" s="12" t="s">
        <v>3975</v>
      </c>
    </row>
    <row r="22" spans="2:23" x14ac:dyDescent="0.25">
      <c r="B22" s="187"/>
      <c r="C22" s="81" t="s">
        <v>117</v>
      </c>
      <c r="D22" s="95">
        <f>COUNTIFS(Athena!B3:B119,"*_T.c", Athena!D3:D119,"wrong", Athena!O3:O119,"correct", Athena!P3:P119,"=1")</f>
        <v>0</v>
      </c>
      <c r="E22" s="96">
        <f>COUNTIFS(Athena!B3:B119,"*_T.c", Athena!D3:D119,"wrong", Athena!O3:O119,"correct", Athena!P3:P119,"&lt;1")</f>
        <v>0</v>
      </c>
      <c r="F22" s="97">
        <f>COUNTIFS(Athena!B3:B119,"*_T.c", Athena!D3:D119,"wrong", Athena!O3:O119,"wrong")</f>
        <v>0</v>
      </c>
      <c r="G22" s="95">
        <f>COUNTIFS(PROTON!B3:B119,"*_T.c", PROTON!D3:D119,"wrong", PROTON!O3:O119,"correct", PROTON!P3:P119,"=1")</f>
        <v>0</v>
      </c>
      <c r="H22" s="96">
        <f>COUNTIFS(PROTON!B3:B119,"*_T.c", PROTON!D3:D119,"wrong", PROTON!O3:O119,"correct", PROTON!P3:P119,"&lt;1")</f>
        <v>1</v>
      </c>
      <c r="I22" s="97">
        <f>COUNTIFS(PROTON!B3:B119,"*_T.c", PROTON!D3:D119,"wrong", PROTON!O3:O119,"wrong")</f>
        <v>4</v>
      </c>
      <c r="J22" s="95">
        <f>COUNTIFS(UAutomizer!B3:B119,"*_T.c", UAutomizer!D3:D119,"wrong", UAutomizer!O3:O119,"correct", UAutomizer!P3:P119,"=1")</f>
        <v>0</v>
      </c>
      <c r="K22" s="96">
        <f>COUNTIFS(UAutomizer!B3:B119,"*_T.c", UAutomizer!D3:D119,"wrong", UAutomizer!O3:O119,"correct", UAutomizer!P3:P119,"&lt;1")</f>
        <v>0</v>
      </c>
      <c r="L22" s="97">
        <f>COUNTIFS(UAutomizer!B3:B119,"*_T.c", UAutomizer!D3:D119,"wrong", UAutomizer!O3:O119,"wrong")</f>
        <v>1</v>
      </c>
      <c r="M22" s="95">
        <f>COUNTIFS(AProVE!B3:B119,"*_T.c", AProVE!D3:D119,"wrong", AProVE!O3:O119,"correct", AProVE!P3:P119,"=1")</f>
        <v>0</v>
      </c>
      <c r="N22" s="96">
        <f>COUNTIFS(AProVE!B3:B119,"*_T.c", AProVE!D3:D119,"wrong", AProVE!O3:O119,"correct", AProVE!P3:P119,"&lt;1")</f>
        <v>0</v>
      </c>
      <c r="O22" s="97">
        <f>COUNTIFS(AProVE!B3:B119,"*_T.c", AProVE!D3:D119,"wrong", AProVE!O3:O119,"wrong")</f>
        <v>0</v>
      </c>
      <c r="P22" s="95">
        <f>COUNTIFS(CPAchecker!B3:B119,"*_T.c", CPAchecker!D3:D119,"wrong", CPAchecker!O3:O119,"correct", CPAchecker!P3:P119,"=1")</f>
        <v>0</v>
      </c>
      <c r="Q22" s="96">
        <f>COUNTIFS(CPAchecker!B3:B119,"*_T.c", CPAchecker!D3:D119,"wrong", CPAchecker!O3:O119,"correct", CPAchecker!P3:P119,"&lt;1")</f>
        <v>0</v>
      </c>
      <c r="R22" s="97">
        <f>COUNTIFS(CPAchecker!B3:B119,"*_T.c", CPAchecker!D3:D119,"wrong", CPAchecker!O3:O119,"wrong")</f>
        <v>5</v>
      </c>
      <c r="S22" s="95">
        <f>COUNTIFS('2LS'!B3:B119,"*_T.c", '2LS'!D3:D119,"wrong", '2LS'!O3:O119,"correct", '2LS'!P3:P119,"=1")</f>
        <v>0</v>
      </c>
      <c r="T22" s="96">
        <f>COUNTIFS('2LS'!B3:B119,"*_T.c", '2LS'!D3:D119,"wrong", '2LS'!O3:O119,"correct", '2LS'!P3:P119,"&lt;1")</f>
        <v>0</v>
      </c>
      <c r="U22" s="96">
        <f>COUNTIFS('2LS'!B3:B119,"*_T.c", '2LS'!D3:D119,"wrong", '2LS'!O3:O119,"wrong")</f>
        <v>0</v>
      </c>
    </row>
    <row r="23" spans="2:23" x14ac:dyDescent="0.25">
      <c r="B23" s="180" t="s">
        <v>152</v>
      </c>
      <c r="C23" s="90" t="s">
        <v>3974</v>
      </c>
      <c r="D23" s="65">
        <f>COUNTIFS(Athena!B3:B119,"*_T.c", Athena!D3:D119,"correct", Athena!E3:E119,"=1", Athena!Z3:Z119,"correct", Athena!AA3:AA119,"=1")</f>
        <v>35</v>
      </c>
      <c r="E23" s="65">
        <f>COUNTIFS(Athena!B3:B119,"*_T.c", Athena!D3:D119,"correct", Athena!E3:E119,"=1", Athena!Z3:Z119,"correct", Athena!AA3:AA119,"&lt;1")</f>
        <v>1</v>
      </c>
      <c r="F23" s="94">
        <f>COUNTIFS(Athena!B3:B119,"*_T.c", Athena!D3:D119,"correct", Athena!E3:E119,"=1", Athena!Z3:Z119,"wrong")</f>
        <v>0</v>
      </c>
      <c r="G23" s="65">
        <f>COUNTIFS(PROTON!B3:B119,"*_T.c", PROTON!D3:D119,"correct", PROTON!E3:E119,"=1", PROTON!Z3:Z119,"correct", PROTON!AA3:AA119,"=1")</f>
        <v>45</v>
      </c>
      <c r="H23" s="65">
        <f>COUNTIFS(PROTON!B3:B119,"*_T.c", PROTON!D3:D119,"correct", PROTON!E3:E119,"=1", PROTON!Z3:Z119,"correct", PROTON!AA3:AA119,"&lt;1")</f>
        <v>7</v>
      </c>
      <c r="I23" s="94">
        <f>COUNTIFS(PROTON!B3:B119,"*_T.c", PROTON!D3:D119,"correct", PROTON!E3:E119,"=1", PROTON!Z3:Z119,"wrong")</f>
        <v>0</v>
      </c>
      <c r="J23" s="65">
        <f>COUNTIFS(UAutomizer!B3:B119,"*_T.c", UAutomizer!D3:D119,"correct", UAutomizer!E3:E119,"=1", UAutomizer!Z3:Z119,"correct", UAutomizer!AA3:AA119,"=1")</f>
        <v>25</v>
      </c>
      <c r="K23" s="65">
        <f>COUNTIFS(UAutomizer!B3:B119,"*_T.c", UAutomizer!D3:D119,"correct", UAutomizer!E3:E119,"=1", UAutomizer!Z3:Z119,"correct", UAutomizer!AA3:AA119,"&lt;1")</f>
        <v>4</v>
      </c>
      <c r="L23" s="94">
        <f>COUNTIFS(UAutomizer!B3:B119,"*_T.c", UAutomizer!D3:D119,"correct", UAutomizer!E3:E119,"=1", UAutomizer!Z3:Z119,"wrong")</f>
        <v>0</v>
      </c>
      <c r="M23" s="65">
        <f>COUNTIFS(AProVE!B3:B119,"*_T.c", AProVE!D3:D119,"correct", AProVE!E3:E119,"=1", AProVE!Z3:Z119,"correct", AProVE!AA3:AA119,"=1")</f>
        <v>23</v>
      </c>
      <c r="N23" s="65">
        <f>COUNTIFS(AProVE!B3:B119,"*_T.c", AProVE!D3:D119,"correct", AProVE!E3:E119,"=1", AProVE!Z3:Z119,"correct", AProVE!AA3:AA119,"&lt;1")</f>
        <v>2</v>
      </c>
      <c r="O23" s="94">
        <f>COUNTIFS(AProVE!B3:B119,"*_T.c", AProVE!D3:D119,"correct", AProVE!E3:E119,"=1", AProVE!Z3:Z119,"wrong")</f>
        <v>0</v>
      </c>
      <c r="P23" s="65">
        <f>COUNTIFS(CPAchecker!B3:B119,"*_T.c", CPAchecker!D3:D119,"correct", CPAchecker!E3:E119,"=1", CPAchecker!Z3:Z119,"correct", CPAchecker!AA3:AA119,"=1")</f>
        <v>8</v>
      </c>
      <c r="Q23" s="65">
        <f>COUNTIFS(CPAchecker!B3:B119,"*_T.c", CPAchecker!D3:D119,"correct", CPAchecker!E3:E119,"=1", CPAchecker!Z3:Z119,"correct", CPAchecker!AA3:AA119,"&lt;1")</f>
        <v>2</v>
      </c>
      <c r="R23" s="94">
        <f>COUNTIFS(CPAchecker!B3:B119,"*_T.c", CPAchecker!D3:D119,"correct", CPAchecker!E3:E119,"=1", CPAchecker!Z3:Z119,"wrong")</f>
        <v>0</v>
      </c>
      <c r="S23" s="65">
        <f>COUNTIFS('2LS'!B3:B119,"*_T.c", '2LS'!D3:D119,"correct", '2LS'!E3:E119,"=1", '2LS'!Z3:Z119,"correct", '2LS'!AA3:AA119,"=1")</f>
        <v>28</v>
      </c>
      <c r="T23" s="65">
        <f>COUNTIFS('2LS'!B3:B119,"*_T.c", '2LS'!D3:D119,"correct", '2LS'!E3:E119,"=1", '2LS'!Z3:Z119,"correct", '2LS'!AA3:AA119,"&lt;1")</f>
        <v>1</v>
      </c>
      <c r="U23" s="65">
        <f>COUNTIFS('2LS'!B3:B119,"*_T.c", '2LS'!D3:D119,"correct", '2LS'!E3:E119,"=1", '2LS'!Z3:Z119,"wrong")</f>
        <v>0</v>
      </c>
    </row>
    <row r="24" spans="2:23" ht="22" customHeight="1" x14ac:dyDescent="0.25">
      <c r="B24" s="181"/>
      <c r="C24" s="81" t="s">
        <v>118</v>
      </c>
      <c r="D24" s="65">
        <f>COUNTIFS(Athena!B3:B119,"*_T.c", Athena!D3:D119,"correct", Athena!E3:E119,"&lt;1", Athena!Z3:Z119,"correct", Athena!AA3:AA119,"=1")</f>
        <v>4</v>
      </c>
      <c r="E24" s="65">
        <f>COUNTIFS(Athena!B3:B119,"*_T.c", Athena!D3:D119,"correct", Athena!E3:E119,"&lt;1", Athena!Z3:Z119,"correct", Athena!AA3:AA119,"&lt;1")</f>
        <v>21</v>
      </c>
      <c r="F24" s="94">
        <f>COUNTIFS(Athena!B3:B119,"*_T.c", Athena!D3:D119,"correct", Athena!E3:E119,"&lt;1", Athena!Z3:Z119,"wrong")</f>
        <v>0</v>
      </c>
      <c r="G24" s="65">
        <f>COUNTIFS(PROTON!B3:B119,"*_T.c", PROTON!D3:D119,"correct", PROTON!E3:E119,"&lt;1", PROTON!Z3:Z119,"correct", PROTON!AA3:AA119,"=1")</f>
        <v>1</v>
      </c>
      <c r="H24" s="65">
        <f>COUNTIFS(PROTON!B3:B119,"*_T.c", PROTON!D3:D119,"correct", PROTON!E3:E119,"&lt;1", PROTON!Z3:Z119,"correct", PROTON!AA3:AA119,"&lt;1")</f>
        <v>3</v>
      </c>
      <c r="I24" s="94">
        <f>COUNTIFS(PROTON!B3:B119,"*_T.c", PROTON!D3:D119,"correct", PROTON!E3:E119,"&lt;1", PROTON!Z3:Z119,"wrong")</f>
        <v>0</v>
      </c>
      <c r="J24" s="65">
        <f>COUNTIFS(UAutomizer!B3:B119,"*_T.c", UAutomizer!D3:D119,"correct", UAutomizer!E3:E119,"&lt;1", UAutomizer!Z3:Z119,"correct", UAutomizer!AA3:AA119,"=1")</f>
        <v>2</v>
      </c>
      <c r="K24" s="65">
        <f>COUNTIFS(UAutomizer!B3:B119,"*_T.c", UAutomizer!D3:D119,"correct", UAutomizer!E3:E119,"&lt;1", UAutomizer!Z3:Z119,"correct", UAutomizer!AA3:AA119,"&lt;1")</f>
        <v>29</v>
      </c>
      <c r="L24" s="94">
        <f>COUNTIFS(UAutomizer!B3:B119,"*_T.c", UAutomizer!D3:D119,"correct", UAutomizer!E3:E119,"&lt;1", UAutomizer!Z3:Z119,"wrong")</f>
        <v>0</v>
      </c>
      <c r="M24" s="65">
        <f>COUNTIFS(AProVE!B3:B119,"*_T.c", AProVE!D3:D119,"correct", AProVE!E3:E119,"&lt;1", AProVE!Z3:Z119,"correct", AProVE!AA3:AA119,"=1")</f>
        <v>2</v>
      </c>
      <c r="N24" s="65">
        <f>COUNTIFS(AProVE!B3:B119,"*_T.c", AProVE!D3:D119,"correct", AProVE!E3:E119,"&lt;1", AProVE!Z3:Z119,"correct", AProVE!AA3:AA119,"&lt;1")</f>
        <v>34</v>
      </c>
      <c r="O24" s="94">
        <f>COUNTIFS(AProVE!B3:B119,"*_T.c", AProVE!D3:D119,"correct", AProVE!E3:E119,"&lt;1", AProVE!Z3:Z119,"wrong")</f>
        <v>0</v>
      </c>
      <c r="P24" s="65">
        <f>COUNTIFS(CPAchecker!B3:B119,"*_T.c", CPAchecker!D3:D119,"correct", CPAchecker!E3:E119,"&lt;1", CPAchecker!Z3:Z119,"correct", CPAchecker!AA3:AA119,"=1")</f>
        <v>9</v>
      </c>
      <c r="Q24" s="65">
        <f>COUNTIFS(CPAchecker!B3:B119,"*_T.c", CPAchecker!D3:D119,"correct", CPAchecker!E3:E119,"&lt;1", CPAchecker!Z3:Z119,"correct", CPAchecker!AA3:AA119,"&lt;1")</f>
        <v>37</v>
      </c>
      <c r="R24" s="94">
        <f>COUNTIFS(CPAchecker!B3:B119,"*_T.c", CPAchecker!D3:D119,"correct", CPAchecker!E3:E119,"&lt;1", CPAchecker!Z3:Z119,"wrong")</f>
        <v>0</v>
      </c>
      <c r="S24" s="65">
        <f>COUNTIFS('2LS'!B3:B119,"*_T.c", '2LS'!D3:D119,"correct", '2LS'!E3:E119,"&lt;1", '2LS'!Z3:Z119,"correct", '2LS'!AA3:AA119,"=1")</f>
        <v>1</v>
      </c>
      <c r="T24" s="65">
        <f>COUNTIFS('2LS'!B3:B119,"*_T.c", '2LS'!D3:D119,"correct", '2LS'!E3:E119,"&lt;1", '2LS'!Z3:Z119,"correct", '2LS'!AA3:AA119,"&lt;1")</f>
        <v>31</v>
      </c>
      <c r="U24" s="65">
        <f>COUNTIFS('2LS'!B3:B119,"*_T.c", '2LS'!D3:D119,"correct", '2LS'!E3:E119,"&lt;1", '2LS'!Z3:Z119,"wrong")</f>
        <v>0</v>
      </c>
    </row>
    <row r="25" spans="2:23" x14ac:dyDescent="0.25">
      <c r="B25" s="187"/>
      <c r="C25" s="87" t="s">
        <v>117</v>
      </c>
      <c r="D25" s="95">
        <f>COUNTIFS(Athena!B3:B119,"*_T.c", Athena!D3:D119,"wrong", Athena!Z3:Z119,"correct", Athena!AA3:AA119,"=1")</f>
        <v>0</v>
      </c>
      <c r="E25" s="96">
        <f>COUNTIFS(Athena!B3:B119,"*_T.c", Athena!D3:D119,"wrong", Athena!Z3:Z119,"correct", Athena!AA3:AA119,"&lt;1")</f>
        <v>0</v>
      </c>
      <c r="F25" s="97">
        <f>COUNTIFS(Athena!B3:B119,"*_T.c", Athena!D3:D119,"wrong", Athena!Z3:Z119,"wrong")</f>
        <v>0</v>
      </c>
      <c r="G25" s="95">
        <f>COUNTIFS(PROTON!B3:B119,"*_T.c", PROTON!D3:D119,"wrong", PROTON!Z3:Z119,"correct", PROTON!AA3:AA119,"=1")</f>
        <v>2</v>
      </c>
      <c r="H25" s="96">
        <f>COUNTIFS(PROTON!B3:B119,"*_T.c", PROTON!D3:D119,"wrong", PROTON!Z3:Z119,"correct", PROTON!AA3:AA119,"&lt;1")</f>
        <v>0</v>
      </c>
      <c r="I25" s="97">
        <f>COUNTIFS(PROTON!B3:B119,"*_T.c", PROTON!D3:D119,"wrong", PROTON!Z3:Z119,"wrong")</f>
        <v>3</v>
      </c>
      <c r="J25" s="95">
        <f>COUNTIFS(UAutomizer!B3:B119,"*_T.c", UAutomizer!D3:D119,"wrong", UAutomizer!Z3:Z119,"correct", UAutomizer!AA3:AA119,"=1")</f>
        <v>0</v>
      </c>
      <c r="K25" s="96">
        <f>COUNTIFS(UAutomizer!B3:B119,"*_T.c", UAutomizer!D3:D119,"wrong", UAutomizer!Z3:Z119,"correct", UAutomizer!AA3:AA119,"&lt;1")</f>
        <v>1</v>
      </c>
      <c r="L25" s="97">
        <f>COUNTIFS(UAutomizer!B3:B119,"*_T.c", UAutomizer!D3:D119,"wrong", UAutomizer!Z3:Z119,"wrong")</f>
        <v>0</v>
      </c>
      <c r="M25" s="95">
        <f>COUNTIFS(AProVE!B3:B119,"*_T.c", AProVE!D3:D119,"wrong", AProVE!Z3:Z119,"correct", AProVE!AA3:AA119,"=1")</f>
        <v>0</v>
      </c>
      <c r="N25" s="96">
        <f>COUNTIFS(AProVE!B3:B119,"*_T.c", AProVE!D3:D119,"wrong", AProVE!Z3:Z119,"correct", AProVE!AA3:AA119,"&lt;1")</f>
        <v>0</v>
      </c>
      <c r="O25" s="97">
        <f>COUNTIFS(AProVE!B3:B119,"*_T.c", AProVE!D3:D119,"wrong", AProVE!Z3:Z119,"wrong")</f>
        <v>0</v>
      </c>
      <c r="P25" s="95">
        <f>COUNTIFS(CPAchecker!B3:B119,"*_T.c", CPAchecker!D3:D119,"wrong", CPAchecker!Z3:Z119,"correct", CPAchecker!AA3:AA119,"=1")</f>
        <v>4</v>
      </c>
      <c r="Q25" s="96">
        <f>COUNTIFS(CPAchecker!B3:B119,"*_T.c", CPAchecker!D3:D119,"wrong", CPAchecker!Z3:Z119,"correct", CPAchecker!AA3:AA119,"&lt;1")</f>
        <v>0</v>
      </c>
      <c r="R25" s="97">
        <f>COUNTIFS(CPAchecker!B3:B119,"*_T.c", CPAchecker!D3:D119,"wrong", CPAchecker!Z3:Z119,"wrong")</f>
        <v>1</v>
      </c>
      <c r="S25" s="95">
        <f>COUNTIFS('2LS'!B3:B119,"*_T.c", '2LS'!D3:D119,"wrong", '2LS'!Z3:Z119,"correct", '2LS'!AA3:AA119,"=1")</f>
        <v>0</v>
      </c>
      <c r="T25" s="96">
        <f>COUNTIFS('2LS'!B3:B119,"*_T.c", '2LS'!D3:D119,"wrong", '2LS'!Z3:Z119,"correct", '2LS'!AA3:AA119,"&lt;1")</f>
        <v>0</v>
      </c>
      <c r="U25" s="96">
        <f>COUNTIFS('2LS'!B3:B119,"*_T.c", '2LS'!D3:D119,"wrong", '2LS'!Z3:Z119,"wrong")</f>
        <v>0</v>
      </c>
    </row>
    <row r="26" spans="2:23" x14ac:dyDescent="0.25">
      <c r="B26" s="180" t="s">
        <v>153</v>
      </c>
      <c r="C26" s="90" t="s">
        <v>3974</v>
      </c>
      <c r="D26" s="65">
        <f>COUNTIFS(Athena!B3:B119,"*_T.c", Athena!D3:D119,"correct", Athena!E3:E119,"=1", Athena!AK3:AK119,"correct", Athena!AL3:AL119,"=1")</f>
        <v>33</v>
      </c>
      <c r="E26" s="65">
        <f>COUNTIFS(Athena!B3:B119,"*_T.c", Athena!D3:D119,"correct", Athena!E3:E119,"=1", Athena!AK3:AK119,"correct", Athena!AL3:AL119,"&lt;1")</f>
        <v>3</v>
      </c>
      <c r="F26" s="94">
        <f>COUNTIFS(Athena!B3:B119,"*_T.c", Athena!D3:D119,"correct", Athena!E3:E119,"=1", Athena!AK3:AK119,"wrong")</f>
        <v>0</v>
      </c>
      <c r="G26" s="65">
        <f>COUNTIFS(PROTON!B3:B119,"*_T.c", PROTON!D3:D119,"correct", PROTON!E3:E119,"=1", PROTON!AK3:AK119,"correct", PROTON!AL3:AL119,"=1")</f>
        <v>45</v>
      </c>
      <c r="H26" s="65">
        <f>COUNTIFS(PROTON!B3:B119,"*_T.c", PROTON!D3:D119,"correct", PROTON!E3:E119,"=1", PROTON!AK3:AK119,"correct", PROTON!AL3:AL119,"&lt;1")</f>
        <v>7</v>
      </c>
      <c r="I26" s="94">
        <f>COUNTIFS(PROTON!B3:B119,"*_T.c", PROTON!D3:D119,"correct", PROTON!E3:E119,"=1", PROTON!AK3:AK119,"wrong")</f>
        <v>0</v>
      </c>
      <c r="J26" s="65">
        <f>COUNTIFS(UAutomizer!B3:B119,"*_T.c", UAutomizer!D3:D119,"correct", UAutomizer!E3:E119,"=1", UAutomizer!AK3:AK119,"correct", UAutomizer!AL3:AL119,"=1")</f>
        <v>20</v>
      </c>
      <c r="K26" s="65">
        <f>COUNTIFS(UAutomizer!B3:B119,"*_T.c", UAutomizer!D3:D119,"correct", UAutomizer!E3:E119,"=1", UAutomizer!AK3:AK119,"correct", UAutomizer!AL3:AL119,"&lt;1")</f>
        <v>9</v>
      </c>
      <c r="L26" s="94">
        <f>COUNTIFS(UAutomizer!B3:B119,"*_T.c", UAutomizer!D3:D119,"correct", UAutomizer!E3:E119,"=1", UAutomizer!AK3:AK119,"wrong")</f>
        <v>0</v>
      </c>
      <c r="M26" s="65">
        <f>COUNTIFS(AProVE!B3:B119,"*_T.c", AProVE!D3:D119,"correct", AProVE!E3:E119,"=1", AProVE!AK3:AK119,"correct", AProVE!AL3:AL119,"=1")</f>
        <v>22</v>
      </c>
      <c r="N26" s="65">
        <f>COUNTIFS(AProVE!B3:B119,"*_T.c", AProVE!D3:D119,"correct", AProVE!E3:E119,"=1", AProVE!AK3:AK119,"correct", AProVE!AL3:AL119,"&lt;1")</f>
        <v>3</v>
      </c>
      <c r="O26" s="94">
        <f>COUNTIFS(AProVE!B3:B119,"*_T.c", AProVE!D3:D119,"correct", AProVE!E3:E119,"=1", AProVE!AK3:AK119,"wrong")</f>
        <v>0</v>
      </c>
      <c r="P26" s="65">
        <f>COUNTIFS(CPAchecker!B3:B119,"*_T.c", CPAchecker!D3:D119,"correct", CPAchecker!E3:E119,"=1", CPAchecker!AK3:AK119,"correct", CPAchecker!AL3:AL119,"=1")</f>
        <v>6</v>
      </c>
      <c r="Q26" s="65">
        <f>COUNTIFS(CPAchecker!B3:B119,"*_T.c", CPAchecker!D3:D119,"correct", CPAchecker!E3:E119,"=1", CPAchecker!AK3:AK119,"correct", CPAchecker!AL3:AL119,"&lt;1")</f>
        <v>4</v>
      </c>
      <c r="R26" s="94">
        <f>COUNTIFS(CPAchecker!B3:B119,"*_T.c", CPAchecker!D3:D119,"correct", CPAchecker!E3:E119,"=1", CPAchecker!AK3:AK119,"wrong")</f>
        <v>0</v>
      </c>
      <c r="S26" s="65">
        <f>COUNTIFS('2LS'!B3:B119,"*_T.c", '2LS'!D3:D119,"correct", '2LS'!E3:E119,"=1", '2LS'!AK3:AK119,"correct", '2LS'!AL3:AL119,"=1")</f>
        <v>28</v>
      </c>
      <c r="T26" s="65">
        <f>COUNTIFS('2LS'!B3:B119,"*_T.c", '2LS'!D3:D119,"correct", '2LS'!E3:E119,"=1", '2LS'!AK3:AK119,"correct", '2LS'!AL3:AL119,"&lt;1")</f>
        <v>1</v>
      </c>
      <c r="U26" s="65">
        <f>COUNTIFS('2LS'!B3:B119,"*_T.c", '2LS'!D3:D119,"correct", '2LS'!E3:E119,"=1", '2LS'!AK3:AK119,"wrong")</f>
        <v>0</v>
      </c>
    </row>
    <row r="27" spans="2:23" x14ac:dyDescent="0.25">
      <c r="B27" s="181"/>
      <c r="C27" s="81" t="s">
        <v>118</v>
      </c>
      <c r="D27" s="65">
        <f>COUNTIFS(Athena!B3:B119,"*_T.c", Athena!D3:D119,"correct", Athena!E3:E119,"&lt;1", Athena!AK3:AK119,"correct", Athena!AL3:AL119,"=1")</f>
        <v>3</v>
      </c>
      <c r="E27" s="65">
        <f>COUNTIFS(Athena!B3:B119,"*_T.c", Athena!D3:D119,"correct", Athena!E3:E119,"&lt;1", Athena!AK3:AK119,"correct", Athena!AL3:AL119,"&lt;1")</f>
        <v>22</v>
      </c>
      <c r="F27" s="94">
        <f>COUNTIFS(Athena!B3:B119,"*_T.c", Athena!D3:D119,"correct", Athena!E3:E119,"&lt;1", Athena!AK3:AK119,"wrong")</f>
        <v>0</v>
      </c>
      <c r="G27" s="65">
        <f>COUNTIFS(PROTON!B3:B119,"*_T.c", PROTON!D3:D119,"correct", PROTON!E3:E119,"&lt;1", PROTON!AK3:AK119,"correct", PROTON!AL3:AL119,"=1")</f>
        <v>1</v>
      </c>
      <c r="H27" s="65">
        <f>COUNTIFS(PROTON!B3:B119,"*_T.c", PROTON!D3:D119,"correct", PROTON!E3:E119,"&lt;1", PROTON!AK3:AK119,"correct", PROTON!AL3:AL119,"&lt;1")</f>
        <v>3</v>
      </c>
      <c r="I27" s="94">
        <f>COUNTIFS(PROTON!B3:B119,"*_T.c", PROTON!D3:D119,"correct", PROTON!E3:E119,"&lt;1", PROTON!AK3:AK119,"wrong")</f>
        <v>0</v>
      </c>
      <c r="J27" s="65">
        <f>COUNTIFS(UAutomizer!B3:B119,"*_T.c", UAutomizer!D3:D119,"correct", UAutomizer!E3:E119,"&lt;1", UAutomizer!AK3:AK119,"correct", UAutomizer!AL3:AL119,"=1")</f>
        <v>1</v>
      </c>
      <c r="K27" s="65">
        <f>COUNTIFS(UAutomizer!B3:B119,"*_T.c", UAutomizer!D3:D119,"correct", UAutomizer!E3:E119,"&lt;1", UAutomizer!AK3:AK119,"correct", UAutomizer!AL3:AL119,"&lt;1")</f>
        <v>30</v>
      </c>
      <c r="L27" s="94">
        <f>COUNTIFS(UAutomizer!B3:B119,"*_T.c", UAutomizer!D3:D119,"correct", UAutomizer!E3:E119,"&lt;1", UAutomizer!AK3:AK119,"wrong")</f>
        <v>0</v>
      </c>
      <c r="M27" s="65">
        <f>COUNTIFS(AProVE!B3:B119,"*_T.c", AProVE!D3:D119,"correct", AProVE!E3:E119,"&lt;1", AProVE!AK3:AK119,"correct", AProVE!AL3:AL119,"=1")</f>
        <v>2</v>
      </c>
      <c r="N27" s="65">
        <f>COUNTIFS(AProVE!B3:B119,"*_T.c", AProVE!D3:D119,"correct", AProVE!E3:E119,"&lt;1", AProVE!AK3:AK119,"correct", AProVE!AL3:AL119,"&lt;1")</f>
        <v>34</v>
      </c>
      <c r="O27" s="94">
        <f>COUNTIFS(AProVE!B3:B119,"*_T.c", AProVE!D3:D119,"correct", AProVE!E3:E119,"&lt;1", AProVE!AK3:AK119,"wrong")</f>
        <v>0</v>
      </c>
      <c r="P27" s="65">
        <f>COUNTIFS(CPAchecker!B3:B119,"*_T.c", CPAchecker!D3:D119,"correct", CPAchecker!E3:E119,"&lt;1", CPAchecker!AK3:AK119,"correct", CPAchecker!AL3:AL119,"=1")</f>
        <v>9</v>
      </c>
      <c r="Q27" s="65">
        <f>COUNTIFS(CPAchecker!B3:B119,"*_T.c", CPAchecker!D3:D119,"correct", CPAchecker!E3:E119,"&lt;1", CPAchecker!AK3:AK119,"correct", CPAchecker!AL3:AL119,"&lt;1")</f>
        <v>37</v>
      </c>
      <c r="R27" s="94">
        <f>COUNTIFS(CPAchecker!B3:B119,"*_T.c", CPAchecker!D3:D119,"correct", CPAchecker!E3:E119,"&lt;1", CPAchecker!AK3:AK119,"wrong")</f>
        <v>0</v>
      </c>
      <c r="S27" s="65">
        <f>COUNTIFS('2LS'!B3:B119,"*_T.c", '2LS'!D3:D119,"correct", '2LS'!E3:E119,"&lt;1", '2LS'!AK3:AK119,"correct", '2LS'!AL3:AL119,"=1")</f>
        <v>1</v>
      </c>
      <c r="T27" s="65">
        <f>COUNTIFS('2LS'!B3:B119,"*_T.c", '2LS'!D3:D119,"correct", '2LS'!E3:E119,"&lt;1", '2LS'!AK3:AK119,"correct", '2LS'!AL3:AL119,"&lt;1")</f>
        <v>31</v>
      </c>
      <c r="U27" s="65">
        <f>COUNTIFS('2LS'!B3:B119,"*_T.c", '2LS'!D3:D119,"correct", '2LS'!E3:E119,"&lt;1", '2LS'!AK3:AK119,"wrong")</f>
        <v>0</v>
      </c>
    </row>
    <row r="28" spans="2:23" ht="21" thickBot="1" x14ac:dyDescent="0.3">
      <c r="B28" s="182"/>
      <c r="C28" s="88" t="s">
        <v>117</v>
      </c>
      <c r="D28" s="98">
        <f>COUNTIFS(Athena!B3:B119,"*_T.c", Athena!D3:D119,"wrong", Athena!AK3:AK119,"correct", Athena!AL3:AL119,"=1")</f>
        <v>0</v>
      </c>
      <c r="E28" s="99">
        <f>COUNTIFS(Athena!B3:B119,"*_T.c", Athena!D3:D119,"wrong", Athena!AK3:AK119,"correct", Athena!AL3:AL119,"&lt;1")</f>
        <v>0</v>
      </c>
      <c r="F28" s="100">
        <f>COUNTIFS(Athena!B3:B119,"*_T.c", Athena!D3:D119,"wrong", Athena!AK3:AK119,"wrong")</f>
        <v>0</v>
      </c>
      <c r="G28" s="98">
        <f>COUNTIFS(PROTON!B3:B119,"*_T.c", PROTON!D3:D119,"wrong", PROTON!AK3:AK119,"correct", PROTON!AL3:AL119,"=1")</f>
        <v>1</v>
      </c>
      <c r="H28" s="99">
        <f>COUNTIFS(PROTON!B3:B119,"*_T.c", PROTON!D3:D119,"wrong", PROTON!AK3:AK119,"correct", PROTON!AL3:AL119,"&lt;1")</f>
        <v>1</v>
      </c>
      <c r="I28" s="100">
        <f>COUNTIFS(PROTON!B3:B119,"*_T.c", PROTON!D3:D119,"wrong", PROTON!AK3:AK119,"wrong")</f>
        <v>3</v>
      </c>
      <c r="J28" s="98">
        <f>COUNTIFS(UAutomizer!B3:B119,"*_T.c", UAutomizer!D3:D119,"wrong", UAutomizer!AK3:AK119,"correct", UAutomizer!AL3:AL119,"=1")</f>
        <v>0</v>
      </c>
      <c r="K28" s="99">
        <f>COUNTIFS(UAutomizer!B3:B119,"*_T.c", UAutomizer!D3:D119,"wrong", UAutomizer!AK3:AK119,"correct", UAutomizer!AL3:AL119,"&lt;1")</f>
        <v>1</v>
      </c>
      <c r="L28" s="100">
        <f>COUNTIFS(UAutomizer!B3:B119,"*_T.c", UAutomizer!D3:D119,"wrong", UAutomizer!AK3:AK119,"wrong")</f>
        <v>0</v>
      </c>
      <c r="M28" s="98">
        <f>COUNTIFS(AProVE!B3:B119,"*_T.c", AProVE!D3:D119,"wrong", AProVE!AK3:AK119,"correct", AProVE!AL3:AL119,"=1")</f>
        <v>0</v>
      </c>
      <c r="N28" s="99">
        <f>COUNTIFS(AProVE!B3:B119,"*_T.c", AProVE!D3:D119,"wrong", AProVE!AK3:AK119,"correct", AProVE!AL3:AL119,"&lt;1")</f>
        <v>0</v>
      </c>
      <c r="O28" s="100">
        <f>COUNTIFS(AProVE!B3:B119,"*_T.c", AProVE!D3:D119,"wrong", AProVE!AK3:AK119,"wrong")</f>
        <v>0</v>
      </c>
      <c r="P28" s="98">
        <f>COUNTIFS(CPAchecker!B3:B119,"*_T.c", CPAchecker!D3:D119,"wrong", CPAchecker!AK3:AK119,"correct", CPAchecker!AL3:AL119,"=1")</f>
        <v>4</v>
      </c>
      <c r="Q28" s="99">
        <f>COUNTIFS(CPAchecker!B3:B119,"*_T.c", CPAchecker!D3:D119,"wrong", CPAchecker!AK3:AK119,"correct", CPAchecker!AL3:AL119,"&lt;1")</f>
        <v>0</v>
      </c>
      <c r="R28" s="100">
        <f>COUNTIFS(CPAchecker!B3:B119,"*_T.c", CPAchecker!D3:D119,"wrong", CPAchecker!AK3:AK119,"wrong")</f>
        <v>1</v>
      </c>
      <c r="S28" s="98">
        <f>COUNTIFS('2LS'!B3:B119,"*_T.c", '2LS'!D3:D119,"wrong", '2LS'!AK3:AK119,"correct", '2LS'!AL3:AL119,"=1")</f>
        <v>0</v>
      </c>
      <c r="T28" s="99">
        <f>COUNTIFS('2LS'!B3:B119,"*_T.c", '2LS'!D3:D119,"wrong", '2LS'!AK3:AK119,"correct", '2LS'!AL3:AL119,"&lt;1")</f>
        <v>0</v>
      </c>
      <c r="U28" s="99">
        <f>COUNTIFS('2LS'!B3:B119,"*_T.c", '2LS'!D3:D119,"wrong", '2LS'!AK3:AK119,"wrong")</f>
        <v>0</v>
      </c>
    </row>
    <row r="29" spans="2:23" x14ac:dyDescent="0.25">
      <c r="B29" s="183"/>
      <c r="D29" s="2"/>
      <c r="E29" s="2"/>
      <c r="F29" s="2"/>
      <c r="G29" s="2"/>
      <c r="H29" s="2"/>
      <c r="I29" s="2"/>
      <c r="J29" s="65"/>
      <c r="K29" s="65"/>
      <c r="L29" s="65"/>
      <c r="M29" s="2"/>
      <c r="N29" s="2"/>
      <c r="O29" s="2"/>
      <c r="P29" s="2"/>
      <c r="Q29" s="2"/>
      <c r="R29" s="2"/>
      <c r="S29" s="2"/>
      <c r="T29" s="2"/>
      <c r="U29" s="2"/>
    </row>
    <row r="30" spans="2:23" x14ac:dyDescent="0.25">
      <c r="B30" s="183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2:23" x14ac:dyDescent="0.25">
      <c r="B31" s="183"/>
      <c r="C31" s="1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</row>
    <row r="39" ht="21" customHeight="1" x14ac:dyDescent="0.25"/>
  </sheetData>
  <mergeCells count="23">
    <mergeCell ref="B6:B8"/>
    <mergeCell ref="B9:B11"/>
    <mergeCell ref="S18:U18"/>
    <mergeCell ref="D18:F18"/>
    <mergeCell ref="G18:I18"/>
    <mergeCell ref="J18:L18"/>
    <mergeCell ref="M18:O18"/>
    <mergeCell ref="P18:R18"/>
    <mergeCell ref="C18:C19"/>
    <mergeCell ref="P4:R4"/>
    <mergeCell ref="S4:U4"/>
    <mergeCell ref="B4:B5"/>
    <mergeCell ref="C4:C5"/>
    <mergeCell ref="D4:F4"/>
    <mergeCell ref="G4:I4"/>
    <mergeCell ref="J4:L4"/>
    <mergeCell ref="M4:O4"/>
    <mergeCell ref="B26:B28"/>
    <mergeCell ref="B29:B31"/>
    <mergeCell ref="B18:B19"/>
    <mergeCell ref="B12:B14"/>
    <mergeCell ref="B20:B22"/>
    <mergeCell ref="B23:B2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934E-6469-2A4B-842F-3B1E6445DF94}">
  <dimension ref="B2:AG28"/>
  <sheetViews>
    <sheetView zoomScale="80" zoomScaleNormal="80" workbookViewId="0"/>
  </sheetViews>
  <sheetFormatPr baseColWidth="10" defaultColWidth="11" defaultRowHeight="16" x14ac:dyDescent="0.2"/>
  <cols>
    <col min="1" max="1" width="5.83203125" customWidth="1"/>
    <col min="2" max="3" width="15.83203125" customWidth="1"/>
    <col min="4" max="33" width="12.83203125" customWidth="1"/>
  </cols>
  <sheetData>
    <row r="2" spans="2:33" ht="20" x14ac:dyDescent="0.2">
      <c r="B2" s="25" t="s">
        <v>3989</v>
      </c>
      <c r="C2" s="26"/>
      <c r="D2" s="17"/>
    </row>
    <row r="3" spans="2:33" ht="17" thickBot="1" x14ac:dyDescent="0.25"/>
    <row r="4" spans="2:33" ht="20" x14ac:dyDescent="0.25">
      <c r="B4" s="206" t="s">
        <v>145</v>
      </c>
      <c r="C4" s="193" t="s">
        <v>146</v>
      </c>
      <c r="D4" s="199" t="s">
        <v>144</v>
      </c>
      <c r="E4" s="200"/>
      <c r="F4" s="200"/>
      <c r="G4" s="200"/>
      <c r="H4" s="203"/>
      <c r="I4" s="199" t="s">
        <v>116</v>
      </c>
      <c r="J4" s="200"/>
      <c r="K4" s="200"/>
      <c r="L4" s="200"/>
      <c r="M4" s="203"/>
      <c r="N4" s="199" t="s">
        <v>109</v>
      </c>
      <c r="O4" s="200"/>
      <c r="P4" s="200"/>
      <c r="Q4" s="200"/>
      <c r="R4" s="203"/>
      <c r="S4" s="199" t="s">
        <v>108</v>
      </c>
      <c r="T4" s="200"/>
      <c r="U4" s="200"/>
      <c r="V4" s="200"/>
      <c r="W4" s="203"/>
      <c r="X4" s="199" t="s">
        <v>110</v>
      </c>
      <c r="Y4" s="200"/>
      <c r="Z4" s="200"/>
      <c r="AA4" s="200"/>
      <c r="AB4" s="203"/>
      <c r="AC4" s="201" t="s">
        <v>111</v>
      </c>
      <c r="AD4" s="202"/>
      <c r="AE4" s="202"/>
      <c r="AF4" s="202"/>
      <c r="AG4" s="202"/>
    </row>
    <row r="5" spans="2:33" ht="85" thickBot="1" x14ac:dyDescent="0.25">
      <c r="B5" s="207"/>
      <c r="C5" s="205"/>
      <c r="D5" s="52" t="s">
        <v>147</v>
      </c>
      <c r="E5" s="53" t="s">
        <v>148</v>
      </c>
      <c r="F5" s="53" t="s">
        <v>149</v>
      </c>
      <c r="G5" s="53" t="s">
        <v>150</v>
      </c>
      <c r="H5" s="53" t="s">
        <v>151</v>
      </c>
      <c r="I5" s="134" t="s">
        <v>147</v>
      </c>
      <c r="J5" s="135" t="s">
        <v>148</v>
      </c>
      <c r="K5" s="135" t="s">
        <v>149</v>
      </c>
      <c r="L5" s="135" t="s">
        <v>150</v>
      </c>
      <c r="M5" s="135" t="s">
        <v>151</v>
      </c>
      <c r="N5" s="134" t="s">
        <v>147</v>
      </c>
      <c r="O5" s="135" t="s">
        <v>148</v>
      </c>
      <c r="P5" s="135" t="s">
        <v>149</v>
      </c>
      <c r="Q5" s="135" t="s">
        <v>150</v>
      </c>
      <c r="R5" s="135" t="s">
        <v>151</v>
      </c>
      <c r="S5" s="134" t="s">
        <v>147</v>
      </c>
      <c r="T5" s="135" t="s">
        <v>148</v>
      </c>
      <c r="U5" s="135" t="s">
        <v>149</v>
      </c>
      <c r="V5" s="135" t="s">
        <v>150</v>
      </c>
      <c r="W5" s="135" t="s">
        <v>151</v>
      </c>
      <c r="X5" s="134" t="s">
        <v>147</v>
      </c>
      <c r="Y5" s="135" t="s">
        <v>148</v>
      </c>
      <c r="Z5" s="135" t="s">
        <v>149</v>
      </c>
      <c r="AA5" s="135" t="s">
        <v>150</v>
      </c>
      <c r="AB5" s="135" t="s">
        <v>151</v>
      </c>
      <c r="AC5" s="134" t="s">
        <v>147</v>
      </c>
      <c r="AD5" s="135" t="s">
        <v>148</v>
      </c>
      <c r="AE5" s="135" t="s">
        <v>149</v>
      </c>
      <c r="AF5" s="135" t="s">
        <v>150</v>
      </c>
      <c r="AG5" s="135" t="s">
        <v>151</v>
      </c>
    </row>
    <row r="6" spans="2:33" ht="20" x14ac:dyDescent="0.2">
      <c r="B6" s="2">
        <v>1</v>
      </c>
      <c r="C6" s="47" cm="1">
        <f t="array" ref="C6">SUMPRODUCT(
  --(RIGHT(Athena!B3:B119,5)="_NT.c"),
  --(
    IFERROR(VALUE(_xlfn.TEXTAFTER(Athena!Q3:Q119,"/")),0)
    +
    IFERROR(VALUE(_xlfn.TEXTAFTER(Athena!S3:S119,"/")),0)
    = 1
  )
)</f>
        <v>37</v>
      </c>
      <c r="D6" s="47" cm="1">
        <f t="array" ref="D6">SUMPRODUCT(
  --(RIGHT(Athena!B3:B119,5)="_NT.c"),
  --(
    IFERROR(VALUE(_xlfn.TEXTAFTER(Athena!Q3:Q119,"/")),0)
    +
    IFERROR(VALUE(_xlfn.TEXTAFTER(Athena!S3:S119,"/")),0)
    = 1
  ),
  --(
    IFERROR(VALUE(_xlfn.TEXTBEFORE(Athena!Q3:Q119,"/")),0)
    +
    IFERROR(VALUE(_xlfn.TEXTBEFORE(Athena!S3:S119,"/")),0)
    = 0
  )
)</f>
        <v>14</v>
      </c>
      <c r="E6" s="2" cm="1">
        <f t="array" ref="E6">SUMPRODUCT(
  --(RIGHT(Athena!B3:B119,5)="_NT.c"),
  --(
    IFERROR(VALUE(_xlfn.TEXTAFTER(Athena!Q3:Q119,"/")),0)
    +
    IFERROR(VALUE(_xlfn.TEXTAFTER(Athena!S3:S119,"/")),0)
    = 1
  ),
  --(
    IFERROR(VALUE(_xlfn.TEXTBEFORE(Athena!Q3:Q119,"/")),0)
    +
    IFERROR(VALUE(_xlfn.TEXTBEFORE(Athena!S3:S119,"/")),0)
    = 1
  )
)</f>
        <v>23</v>
      </c>
      <c r="F6" s="2" t="s">
        <v>3995</v>
      </c>
      <c r="G6" s="2" t="s">
        <v>3995</v>
      </c>
      <c r="H6" s="2" t="s">
        <v>3995</v>
      </c>
      <c r="I6" s="136" cm="1">
        <f t="array" ref="I6">SUMPRODUCT(
  --(RIGHT(PROTON!B3:B119,5)="_NT.c"),
  --(
    IFERROR(VALUE(_xlfn.TEXTAFTER(PROTON!Q3:Q119,"/")),0)
    +
    IFERROR(VALUE(_xlfn.TEXTAFTER(PROTON!S3:S119,"/")),0)
    = 1
  ),
  --(
    IFERROR(VALUE(_xlfn.TEXTBEFORE(PROTON!Q3:Q119,"/")),0)
    +
    IFERROR(VALUE(_xlfn.TEXTBEFORE(PROTON!S3:S119,"/")),0)
    = 0
  )
)</f>
        <v>13</v>
      </c>
      <c r="J6" s="65" cm="1">
        <f t="array" ref="J6">SUMPRODUCT(
  --(RIGHT(PROTON!B3:B119,5)="_NT.c"),
  --(
    IFERROR(VALUE(_xlfn.TEXTAFTER(PROTON!Q3:Q119,"/")),0)
    +
    IFERROR(VALUE(_xlfn.TEXTAFTER(PROTON!S3:S119,"/")),0)
    = 1
  ),
  --(
    IFERROR(VALUE(_xlfn.TEXTBEFORE(PROTON!Q3:Q119,"/")),0)
    +
    IFERROR(VALUE(_xlfn.TEXTBEFORE(PROTON!S3:S119,"/")),0)
    = 1
  )
)</f>
        <v>20</v>
      </c>
      <c r="K6" s="65" t="s">
        <v>3995</v>
      </c>
      <c r="L6" s="65" t="s">
        <v>3995</v>
      </c>
      <c r="M6" s="65" t="s">
        <v>3995</v>
      </c>
      <c r="N6" s="136" cm="1">
        <f t="array" ref="N6">SUMPRODUCT(
  --(RIGHT(UAutomizer!B3:B119,5)="_NT.c"),
  --(
    IFERROR(VALUE(_xlfn.TEXTAFTER(UAutomizer!Q3:Q119,"/")),0)
    +
    IFERROR(VALUE(_xlfn.TEXTAFTER(UAutomizer!S3:S119,"/")),0)
    = 1
  ),
  --(
    IFERROR(VALUE(_xlfn.TEXTBEFORE(UAutomizer!Q3:Q119,"/")),0)
    +
    IFERROR(VALUE(_xlfn.TEXTBEFORE(UAutomizer!S3:S119,"/")),0)
    = 0
  )
)</f>
        <v>25</v>
      </c>
      <c r="O6" s="65" cm="1">
        <f t="array" ref="O6">SUMPRODUCT(
  --(RIGHT(UAutomizer!B3:B119,5)="_NT.c"),
  --(
    IFERROR(VALUE(_xlfn.TEXTAFTER(UAutomizer!Q3:Q119,"/")),0)
    +
    IFERROR(VALUE(_xlfn.TEXTAFTER(UAutomizer!S3:S119,"/")),0)
    = 1
  ),
  --(
    IFERROR(VALUE(_xlfn.TEXTBEFORE(UAutomizer!Q3:Q119,"/")),0)
    +
    IFERROR(VALUE(_xlfn.TEXTBEFORE(UAutomizer!S3:S119,"/")),0)
    = 1
  )
)</f>
        <v>10</v>
      </c>
      <c r="P6" s="65" t="s">
        <v>3995</v>
      </c>
      <c r="Q6" s="65" t="s">
        <v>3995</v>
      </c>
      <c r="R6" s="65" t="s">
        <v>3995</v>
      </c>
      <c r="S6" s="136" cm="1">
        <f t="array" ref="S6">SUMPRODUCT(
  --(RIGHT(AProVE!B3:B119,5)="_NT.c"),
  --(
    IFERROR(VALUE(_xlfn.TEXTAFTER(AProVE!Q3:Q119,"/")),0)
    +
    IFERROR(VALUE(_xlfn.TEXTAFTER(AProVE!S3:S119,"/")),0)
    = 1
  ),
  --(
    IFERROR(VALUE(_xlfn.TEXTBEFORE(AProVE!Q3:Q119,"/")),0)
    +
    IFERROR(VALUE(_xlfn.TEXTBEFORE(AProVE!S3:S119,"/")),0)
    = 0
  )
)</f>
        <v>25</v>
      </c>
      <c r="T6" s="65" cm="1">
        <f t="array" ref="T6">SUMPRODUCT(
  --(RIGHT(AProVE!B3:B119,5)="_NT.c"),
  --(
    IFERROR(VALUE(_xlfn.TEXTAFTER(AProVE!Q3:Q119,"/")),0)
    +
    IFERROR(VALUE(_xlfn.TEXTAFTER(AProVE!S3:S119,"/")),0)
    = 1
  ),
  --(
    IFERROR(VALUE(_xlfn.TEXTBEFORE(AProVE!Q3:Q119,"/")),0)
    +
    IFERROR(VALUE(_xlfn.TEXTBEFORE(AProVE!S3:S119,"/")),0)
    = 1
  )
)</f>
        <v>8</v>
      </c>
      <c r="U6" s="65" t="s">
        <v>3995</v>
      </c>
      <c r="V6" s="65" t="s">
        <v>3995</v>
      </c>
      <c r="W6" s="65" t="s">
        <v>3995</v>
      </c>
      <c r="X6" s="136" cm="1">
        <f t="array" ref="X6">SUMPRODUCT(
  --(RIGHT(CPAchecker!B3:B119,5)="_NT.c"),
  --(
    IFERROR(VALUE(_xlfn.TEXTAFTER(CPAchecker!Q3:Q119,"/")),0)
    +
    IFERROR(VALUE(_xlfn.TEXTAFTER(CPAchecker!S3:S119,"/")),0)
    = 1
  ),
  --(
    IFERROR(VALUE(_xlfn.TEXTBEFORE(CPAchecker!Q3:Q119,"/")),0)
    +
    IFERROR(VALUE(_xlfn.TEXTBEFORE(CPAchecker!S3:S119,"/")),0)
    = 0
  )
)</f>
        <v>21</v>
      </c>
      <c r="Y6" s="65" cm="1">
        <f t="array" ref="Y6">SUMPRODUCT(
  --(RIGHT(CPAchecker!B3:B119,5)="_NT.c"),
  --(
    IFERROR(VALUE(_xlfn.TEXTAFTER(CPAchecker!Q3:Q119,"/")),0)
    +
    IFERROR(VALUE(_xlfn.TEXTAFTER(CPAchecker!S3:S119,"/")),0)
    = 1
  ),
  --(
    IFERROR(VALUE(_xlfn.TEXTBEFORE(CPAchecker!Q3:Q119,"/")),0)
    +
    IFERROR(VALUE(_xlfn.TEXTBEFORE(CPAchecker!S3:S119,"/")),0)
    = 1
  )
)</f>
        <v>16</v>
      </c>
      <c r="Z6" s="65" t="s">
        <v>3995</v>
      </c>
      <c r="AA6" s="65" t="s">
        <v>3995</v>
      </c>
      <c r="AB6" s="65" t="s">
        <v>3995</v>
      </c>
      <c r="AC6" s="136" cm="1">
        <f t="array" ref="AC6">SUMPRODUCT(
  --(RIGHT('2LS'!B3:B119,5)="_NT.c"),
  --(
    IFERROR(VALUE(_xlfn.TEXTAFTER('2LS'!Q3:Q119,"/")),0)
    +
    IFERROR(VALUE(_xlfn.TEXTAFTER('2LS'!S3:S119,"/")),0)
    = 1
  ),
  --(
    IFERROR(VALUE(_xlfn.TEXTBEFORE('2LS'!Q3:Q119,"/")),0)
    +
    IFERROR(VALUE(_xlfn.TEXTBEFORE('2LS'!S3:S119,"/")),0)
    = 0
  )
)</f>
        <v>34</v>
      </c>
      <c r="AD6" s="65" cm="1">
        <f t="array" ref="AD6">SUMPRODUCT(
  --(RIGHT('2LS'!B3:B119,5)="_NT.c"),
  --(
    IFERROR(VALUE(_xlfn.TEXTAFTER('2LS'!Q3:Q119,"/")),0)
    +
    IFERROR(VALUE(_xlfn.TEXTAFTER('2LS'!S3:S119,"/")),0)
    = 1
  ),
  --(
    IFERROR(VALUE(_xlfn.TEXTBEFORE('2LS'!Q3:Q119,"/")),0)
    +
    IFERROR(VALUE(_xlfn.TEXTBEFORE('2LS'!S3:S119,"/")),0)
    = 1
  )
)</f>
        <v>0</v>
      </c>
      <c r="AE6" s="65" t="s">
        <v>3995</v>
      </c>
      <c r="AF6" s="65" t="s">
        <v>3995</v>
      </c>
      <c r="AG6" s="65" t="s">
        <v>3995</v>
      </c>
    </row>
    <row r="7" spans="2:33" ht="20" x14ac:dyDescent="0.2">
      <c r="B7" s="2">
        <v>2</v>
      </c>
      <c r="C7" s="4" cm="1">
        <f t="array" ref="C7">SUMPRODUCT(
  --(RIGHT(Athena!B3:B119,5)="_NT.c"),
  --(
    IFERROR(VALUE(_xlfn.TEXTAFTER(Athena!Q3:Q119,"/")),0)
    +
    IFERROR(VALUE(_xlfn.TEXTAFTER(Athena!S3:S119,"/")),0)
    = 2
  )
)</f>
        <v>13</v>
      </c>
      <c r="D7" s="4" cm="1">
        <f t="array" ref="D7">SUMPRODUCT(
  --(RIGHT(Athena!B3:B119,5)="_NT.c"),
  --(
    IFERROR(VALUE(_xlfn.TEXTAFTER(Athena!Q3:Q119,"/")),0)
    +
    IFERROR(VALUE(_xlfn.TEXTAFTER(Athena!S3:S119,"/")),0)
    = 2
  ),
  --(
    IFERROR(VALUE(_xlfn.TEXTBEFORE(Athena!Q3:Q119,"/")),0)
    +
    IFERROR(VALUE(_xlfn.TEXTBEFORE(Athena!S3:S119,"/")),0)
    = 0
  )
)</f>
        <v>1</v>
      </c>
      <c r="E7" s="2" cm="1">
        <f t="array" ref="E7">SUMPRODUCT(
  --(RIGHT(Athena!B3:B119,5)="_NT.c"),
  --(
    IFERROR(VALUE(_xlfn.TEXTAFTER(Athena!Q3:Q119,"/")),0)
    +
    IFERROR(VALUE(_xlfn.TEXTAFTER(Athena!S3:S119,"/")),0)
    = 2
  ),
  --(
    IFERROR(VALUE(_xlfn.TEXTBEFORE(Athena!Q3:Q119,"/")),0)
    +
    IFERROR(VALUE(_xlfn.TEXTBEFORE(Athena!S3:S119,"/")),0)
    = 1
  )
)</f>
        <v>5</v>
      </c>
      <c r="F7" s="2" cm="1">
        <f t="array" ref="F7">SUMPRODUCT(
  --(RIGHT(Athena!B3:B119,5)="_NT.c"),
  --(
    IFERROR(VALUE(_xlfn.TEXTAFTER(Athena!Q3:Q119,"/")),0)
    +
    IFERROR(VALUE(_xlfn.TEXTAFTER(Athena!S3:S119,"/")),0)
    = 2
  ),
  --(
    IFERROR(VALUE(_xlfn.TEXTBEFORE(Athena!Q3:Q119,"/")),0)
    +
    IFERROR(VALUE(_xlfn.TEXTBEFORE(Athena!S3:S119,"/")),0)
    = 2
  )
)</f>
        <v>7</v>
      </c>
      <c r="G7" s="2" t="s">
        <v>3995</v>
      </c>
      <c r="H7" s="2" t="s">
        <v>3995</v>
      </c>
      <c r="I7" s="137" cm="1">
        <f t="array" ref="I7">SUMPRODUCT(
  --(RIGHT(PROTON!B3:B119,5)="_NT.c"),
  --(
    IFERROR(VALUE(_xlfn.TEXTAFTER(PROTON!Q3:Q119,"/")),0)
    +
    IFERROR(VALUE(_xlfn.TEXTAFTER(PROTON!S3:S119,"/")),0)
    = 2
  ),
  --(
    IFERROR(VALUE(_xlfn.TEXTBEFORE(PROTON!Q3:Q119,"/")),0)
    +
    IFERROR(VALUE(_xlfn.TEXTBEFORE(PROTON!S3:S119,"/")),0)
    = 0
  )
)</f>
        <v>0</v>
      </c>
      <c r="J7" s="65" cm="1">
        <f t="array" ref="J7">SUMPRODUCT(
  --(RIGHT(PROTON!B3:B119,5)="_NT.c"),
  --(
    IFERROR(VALUE(_xlfn.TEXTAFTER(PROTON!Q3:Q119,"/")),0)
    +
    IFERROR(VALUE(_xlfn.TEXTAFTER(PROTON!S3:S119,"/")),0)
    = 2
  ),
  --(
    IFERROR(VALUE(_xlfn.TEXTBEFORE(PROTON!Q3:Q119,"/")),0)
    +
    IFERROR(VALUE(_xlfn.TEXTBEFORE(PROTON!S3:S119,"/")),0)
    = 1
  )
)</f>
        <v>1</v>
      </c>
      <c r="K7" s="65" cm="1">
        <f t="array" ref="K7">SUMPRODUCT(
  --(RIGHT(PROTON!B3:B119,5)="_NT.c"),
  --(
    IFERROR(VALUE(_xlfn.TEXTAFTER(PROTON!Q3:Q119,"/")),0)
    +
    IFERROR(VALUE(_xlfn.TEXTAFTER(PROTON!S3:S119,"/")),0)
    = 2
  ),
  --(
    IFERROR(VALUE(_xlfn.TEXTBEFORE(PROTON!Q3:Q119,"/")),0)
    +
    IFERROR(VALUE(_xlfn.TEXTBEFORE(PROTON!S3:S119,"/")),0)
    = 2
  )
)</f>
        <v>12</v>
      </c>
      <c r="L7" s="65" t="s">
        <v>3995</v>
      </c>
      <c r="M7" s="65" t="s">
        <v>3995</v>
      </c>
      <c r="N7" s="137" cm="1">
        <f t="array" ref="N7">SUMPRODUCT(
  --(RIGHT(UAutomizer!B3:B119,5)="_NT.c"),
  --(
    IFERROR(VALUE(_xlfn.TEXTAFTER(UAutomizer!Q3:Q119,"/")),0)
    +
    IFERROR(VALUE(_xlfn.TEXTAFTER(UAutomizer!S3:S119,"/")),0)
    = 2
  ),
  --(
    IFERROR(VALUE(_xlfn.TEXTBEFORE(UAutomizer!Q3:Q119,"/")),0)
    +
    IFERROR(VALUE(_xlfn.TEXTBEFORE(UAutomizer!S3:S119,"/")),0)
    = 0
  )
)</f>
        <v>2</v>
      </c>
      <c r="O7" s="65" cm="1">
        <f t="array" ref="O7">SUMPRODUCT(
  --(RIGHT(UAutomizer!B3:B119,5)="_NT.c"),
  --(
    IFERROR(VALUE(_xlfn.TEXTAFTER(UAutomizer!Q3:Q119,"/")),0)
    +
    IFERROR(VALUE(_xlfn.TEXTAFTER(UAutomizer!S3:S119,"/")),0)
    = 2
  ),
  --(
    IFERROR(VALUE(_xlfn.TEXTBEFORE(UAutomizer!Q3:Q119,"/")),0)
    +
    IFERROR(VALUE(_xlfn.TEXTBEFORE(UAutomizer!S3:S119,"/")),0)
    = 1
  )
)</f>
        <v>2</v>
      </c>
      <c r="P7" s="65" cm="1">
        <f t="array" ref="P7">SUMPRODUCT(
  --(RIGHT(UAutomizer!B3:B119,5)="_NT.c"),
  --(
    IFERROR(VALUE(_xlfn.TEXTAFTER(UAutomizer!Q3:Q119,"/")),0)
    +
    IFERROR(VALUE(_xlfn.TEXTAFTER(UAutomizer!S3:S119,"/")),0)
    = 2
  ),
  --(
    IFERROR(VALUE(_xlfn.TEXTBEFORE(UAutomizer!Q3:Q119,"/")),0)
    +
    IFERROR(VALUE(_xlfn.TEXTBEFORE(UAutomizer!S3:S119,"/")),0)
    = 2
  )
)</f>
        <v>9</v>
      </c>
      <c r="Q7" s="65" t="s">
        <v>3995</v>
      </c>
      <c r="R7" s="65" t="s">
        <v>3995</v>
      </c>
      <c r="S7" s="137" cm="1">
        <f t="array" ref="S7">SUMPRODUCT(
  --(RIGHT(AProVE!B3:B119,5)="_NT.c"),
  --(
    IFERROR(VALUE(_xlfn.TEXTAFTER(AProVE!Q3:Q119,"/")),0)
    +
    IFERROR(VALUE(_xlfn.TEXTAFTER(AProVE!S3:S119,"/")),0)
    = 2
  ),
  --(
    IFERROR(VALUE(_xlfn.TEXTBEFORE(AProVE!Q3:Q119,"/")),0)
    +
    IFERROR(VALUE(_xlfn.TEXTBEFORE(AProVE!S3:S119,"/")),0)
    = 0
  )
)</f>
        <v>5</v>
      </c>
      <c r="T7" s="65" cm="1">
        <f t="array" ref="T7">SUMPRODUCT(
  --(RIGHT(AProVE!B3:B119,5)="_NT.c"),
  --(
    IFERROR(VALUE(_xlfn.TEXTAFTER(AProVE!Q3:Q119,"/")),0)
    +
    IFERROR(VALUE(_xlfn.TEXTAFTER(AProVE!S3:S119,"/")),0)
    = 2
  ),
  --(
    IFERROR(VALUE(_xlfn.TEXTBEFORE(AProVE!Q3:Q119,"/")),0)
    +
    IFERROR(VALUE(_xlfn.TEXTBEFORE(AProVE!S3:S119,"/")),0)
    = 1
  )
)</f>
        <v>4</v>
      </c>
      <c r="U7" s="65" cm="1">
        <f t="array" ref="U7">SUMPRODUCT(
  --(RIGHT(AProVE!B3:B119,5)="_NT.c"),
  --(
    IFERROR(VALUE(_xlfn.TEXTAFTER(AProVE!Q3:Q119,"/")),0)
    +
    IFERROR(VALUE(_xlfn.TEXTAFTER(AProVE!S3:S119,"/")),0)
    = 2
  ),
  --(
    IFERROR(VALUE(_xlfn.TEXTBEFORE(AProVE!Q3:Q119,"/")),0)
    +
    IFERROR(VALUE(_xlfn.TEXTBEFORE(AProVE!S3:S119,"/")),0)
    = 2
  )
)</f>
        <v>4</v>
      </c>
      <c r="V7" s="65" t="s">
        <v>3995</v>
      </c>
      <c r="W7" s="65" t="s">
        <v>3995</v>
      </c>
      <c r="X7" s="137" cm="1">
        <f t="array" ref="X7">SUMPRODUCT(
  --(RIGHT(CPAchecker!B3:B119,5)="_NT.c"),
  --(
    IFERROR(VALUE(_xlfn.TEXTAFTER(CPAchecker!Q3:Q119,"/")),0)
    +
    IFERROR(VALUE(_xlfn.TEXTAFTER(CPAchecker!S3:S119,"/")),0)
    = 2
  ),
  --(
    IFERROR(VALUE(_xlfn.TEXTBEFORE(CPAchecker!Q3:Q119,"/")),0)
    +
    IFERROR(VALUE(_xlfn.TEXTBEFORE(CPAchecker!S3:S119,"/")),0)
    = 0
  )
)</f>
        <v>8</v>
      </c>
      <c r="Y7" s="65" cm="1">
        <f t="array" ref="Y7">SUMPRODUCT(
  --(RIGHT(CPAchecker!B3:B119,5)="_NT.c"),
  --(
    IFERROR(VALUE(_xlfn.TEXTAFTER(CPAchecker!Q3:Q119,"/")),0)
    +
    IFERROR(VALUE(_xlfn.TEXTAFTER(CPAchecker!S3:S119,"/")),0)
    = 2
  ),
  --(
    IFERROR(VALUE(_xlfn.TEXTBEFORE(CPAchecker!Q3:Q119,"/")),0)
    +
    IFERROR(VALUE(_xlfn.TEXTBEFORE(CPAchecker!S3:S119,"/")),0)
    = 1
  )
)</f>
        <v>0</v>
      </c>
      <c r="Z7" s="65" cm="1">
        <f t="array" ref="Z7">SUMPRODUCT(
  --(RIGHT(CPAchecker!B3:B119,5)="_NT.c"),
  --(
    IFERROR(VALUE(_xlfn.TEXTAFTER(CPAchecker!Q3:Q119,"/")),0)
    +
    IFERROR(VALUE(_xlfn.TEXTAFTER(CPAchecker!S3:S119,"/")),0)
    = 2
  ),
  --(
    IFERROR(VALUE(_xlfn.TEXTBEFORE(CPAchecker!Q3:Q119,"/")),0)
    +
    IFERROR(VALUE(_xlfn.TEXTBEFORE(CPAchecker!S3:S119,"/")),0)
    = 2
  )
)</f>
        <v>5</v>
      </c>
      <c r="AA7" s="65" t="s">
        <v>3995</v>
      </c>
      <c r="AB7" s="65" t="s">
        <v>3995</v>
      </c>
      <c r="AC7" s="137" cm="1">
        <f t="array" ref="AC7">SUMPRODUCT(
  --(RIGHT('2LS'!B3:B119,5)="_NT.c"),
  --(
    IFERROR(VALUE(_xlfn.TEXTAFTER('2LS'!Q3:Q119,"/")),0)
    +
    IFERROR(VALUE(_xlfn.TEXTAFTER('2LS'!S3:S119,"/")),0)
    = 2
  ),
  --(
    IFERROR(VALUE(_xlfn.TEXTBEFORE('2LS'!Q3:Q119,"/")),0)
    +
    IFERROR(VALUE(_xlfn.TEXTBEFORE('2LS'!S3:S119,"/")),0)
    = 0
  )
)</f>
        <v>10</v>
      </c>
      <c r="AD7" s="65" cm="1">
        <f t="array" ref="AD7">SUMPRODUCT(
  --(RIGHT('2LS'!B3:B119,5)="_NT.c"),
  --(
    IFERROR(VALUE(_xlfn.TEXTAFTER('2LS'!Q3:Q119,"/")),0)
    +
    IFERROR(VALUE(_xlfn.TEXTAFTER('2LS'!S3:S119,"/")),0)
    = 2
  ),
  --(
    IFERROR(VALUE(_xlfn.TEXTBEFORE('2LS'!Q3:Q119,"/")),0)
    +
    IFERROR(VALUE(_xlfn.TEXTBEFORE('2LS'!S3:S119,"/")),0)
    = 1
  )
)</f>
        <v>3</v>
      </c>
      <c r="AE7" s="65" cm="1">
        <f t="array" ref="AE7">SUMPRODUCT(
  --(RIGHT('2LS'!B3:B119,5)="_NT.c"),
  --(
    IFERROR(VALUE(_xlfn.TEXTAFTER('2LS'!Q3:Q119,"/")),0)
    +
    IFERROR(VALUE(_xlfn.TEXTAFTER('2LS'!S3:S119,"/")),0)
    = 2
  ),
  --(
    IFERROR(VALUE(_xlfn.TEXTBEFORE('2LS'!Q3:Q119,"/")),0)
    +
    IFERROR(VALUE(_xlfn.TEXTBEFORE('2LS'!S3:S119,"/")),0)
    = 2
  )
)</f>
        <v>0</v>
      </c>
      <c r="AF7" s="65" t="s">
        <v>3995</v>
      </c>
      <c r="AG7" s="65" t="s">
        <v>3995</v>
      </c>
    </row>
    <row r="8" spans="2:33" ht="20" x14ac:dyDescent="0.2">
      <c r="B8" s="2">
        <v>3</v>
      </c>
      <c r="C8" s="4" cm="1">
        <f t="array" ref="C8">SUMPRODUCT(
  --(RIGHT(Athena!B3:B119,5)="_NT.c"),
  --(
    IFERROR(VALUE(_xlfn.TEXTAFTER(Athena!Q3:Q119,"/")),0)
    +
    IFERROR(VALUE(_xlfn.TEXTAFTER(Athena!S3:S119,"/")),0)
    = 3
  )
)</f>
        <v>4</v>
      </c>
      <c r="D8" s="4" cm="1">
        <f t="array" ref="D8">SUMPRODUCT(
  --(RIGHT(Athena!B3:B119,5)="_NT.c"),
  --(
    IFERROR(VALUE(_xlfn.TEXTAFTER(Athena!Q3:Q119,"/")),0)
    +
    IFERROR(VALUE(_xlfn.TEXTAFTER(Athena!S3:S119,"/")),0)
    = 3
  ),
  --(
    IFERROR(VALUE(_xlfn.TEXTBEFORE(Athena!Q3:Q119,"/")),0)
    +
    IFERROR(VALUE(_xlfn.TEXTBEFORE(Athena!S3:S119,"/")),0)
    = 0
  )
)</f>
        <v>1</v>
      </c>
      <c r="E8" s="2" cm="1">
        <f t="array" ref="E8">SUMPRODUCT(
  --(RIGHT(Athena!B3:B119,5)="_NT.c"),
  --(
    IFERROR(VALUE(_xlfn.TEXTAFTER(Athena!Q3:Q119,"/")),0)
    +
    IFERROR(VALUE(_xlfn.TEXTAFTER(Athena!S3:S119,"/")),0)
    = 3
  ),
  --(
    IFERROR(VALUE(_xlfn.TEXTBEFORE(Athena!Q3:Q119,"/")),0)
    +
    IFERROR(VALUE(_xlfn.TEXTBEFORE(Athena!S3:S119,"/")),0)
    = 1
  )
)</f>
        <v>1</v>
      </c>
      <c r="F8" s="2" cm="1">
        <f t="array" ref="F8">SUMPRODUCT(
  --(RIGHT(Athena!B3:B119,5)="_NT.c"),
  --(
    IFERROR(VALUE(_xlfn.TEXTAFTER(Athena!Q3:Q119,"/")),0)
    +
    IFERROR(VALUE(_xlfn.TEXTAFTER(Athena!S3:S119,"/")),0)
    = 3
  ),
  --(
    IFERROR(VALUE(_xlfn.TEXTBEFORE(Athena!Q3:Q119,"/")),0)
    +
    IFERROR(VALUE(_xlfn.TEXTBEFORE(Athena!S3:S119,"/")),0)
    = 2
  )
)</f>
        <v>0</v>
      </c>
      <c r="G8" s="2" cm="1">
        <f t="array" ref="G8">SUMPRODUCT(
  --(RIGHT(Athena!B3:B119,5)="_NT.c"),
  --(
    IFERROR(VALUE(_xlfn.TEXTAFTER(Athena!Q3:Q119,"/")),0)
    +
    IFERROR(VALUE(_xlfn.TEXTAFTER(Athena!S3:S119,"/")),0)
    = 3
  ),
  --(
    IFERROR(VALUE(_xlfn.TEXTBEFORE(Athena!Q3:Q119,"/")),0)
    +
    IFERROR(VALUE(_xlfn.TEXTBEFORE(Athena!S3:S119,"/")),0)
    = 3
  )
)</f>
        <v>2</v>
      </c>
      <c r="H8" s="2" t="s">
        <v>3995</v>
      </c>
      <c r="I8" s="137" cm="1">
        <f t="array" ref="I8">SUMPRODUCT(
  --(RIGHT(PROTON!B3:B119,5)="_NT.c"),
  --(
    IFERROR(VALUE(_xlfn.TEXTAFTER(PROTON!Q3:Q119,"/")),0)
    +
    IFERROR(VALUE(_xlfn.TEXTAFTER(PROTON!S3:S119,"/")),0)
    = 3
  ),
  --(
    IFERROR(VALUE(_xlfn.TEXTBEFORE(PROTON!Q3:Q119,"/")),0)
    +
    IFERROR(VALUE(_xlfn.TEXTBEFORE(PROTON!S3:S119,"/")),0)
    = 0
  )
)</f>
        <v>0</v>
      </c>
      <c r="J8" s="65" cm="1">
        <f t="array" ref="J8">SUMPRODUCT(
  --(RIGHT(PROTON!B3:B119,5)="_NT.c"),
  --(
    IFERROR(VALUE(_xlfn.TEXTAFTER(PROTON!Q3:Q119,"/")),0)
    +
    IFERROR(VALUE(_xlfn.TEXTAFTER(PROTON!S3:S119,"/")),0)
    = 3
  ),
  --(
    IFERROR(VALUE(_xlfn.TEXTBEFORE(PROTON!Q3:Q119,"/")),0)
    +
    IFERROR(VALUE(_xlfn.TEXTBEFORE(PROTON!S3:S119,"/")),0)
    = 1
  )
)</f>
        <v>2</v>
      </c>
      <c r="K8" s="65" cm="1">
        <f t="array" ref="K8">SUMPRODUCT(
  --(RIGHT(PROTON!B3:B119,5)="_NT.c"),
  --(
    IFERROR(VALUE(_xlfn.TEXTAFTER(PROTON!Q3:Q119,"/")),0)
    +
    IFERROR(VALUE(_xlfn.TEXTAFTER(PROTON!S3:S119,"/")),0)
    = 3
  ),
  --(
    IFERROR(VALUE(_xlfn.TEXTBEFORE(PROTON!Q3:Q119,"/")),0)
    +
    IFERROR(VALUE(_xlfn.TEXTBEFORE(PROTON!S3:S119,"/")),0)
    = 2
  )
)</f>
        <v>1</v>
      </c>
      <c r="L8" s="65" cm="1">
        <f t="array" ref="L8">SUMPRODUCT(
  --(RIGHT(PROTON!B3:B119,5)="_NT.c"),
  --(
    IFERROR(VALUE(_xlfn.TEXTAFTER(PROTON!Q3:Q119,"/")),0)
    +
    IFERROR(VALUE(_xlfn.TEXTAFTER(PROTON!S3:S119,"/")),0)
    = 3
  ),
  --(
    IFERROR(VALUE(_xlfn.TEXTBEFORE(PROTON!Q3:Q119,"/")),0)
    +
    IFERROR(VALUE(_xlfn.TEXTBEFORE(PROTON!S3:S119,"/")),0)
    = 3
  )
)</f>
        <v>1</v>
      </c>
      <c r="M8" s="65" t="s">
        <v>3995</v>
      </c>
      <c r="N8" s="137" cm="1">
        <f t="array" ref="N8">SUMPRODUCT(
  --(RIGHT(UAutomizer!B3:B119,5)="_NT.c"),
  --(
    IFERROR(VALUE(_xlfn.TEXTAFTER(UAutomizer!Q3:Q119,"/")),0)
    +
    IFERROR(VALUE(_xlfn.TEXTAFTER(UAutomizer!S3:S119,"/")),0)
    = 3
  ),
  --(
    IFERROR(VALUE(_xlfn.TEXTBEFORE(UAutomizer!Q3:Q119,"/")),0)
    +
    IFERROR(VALUE(_xlfn.TEXTBEFORE(UAutomizer!S3:S119,"/")),0)
    = 0
  )
)</f>
        <v>0</v>
      </c>
      <c r="O8" s="65" cm="1">
        <f t="array" ref="O8">SUMPRODUCT(
  --(RIGHT(UAutomizer!B3:B119,5)="_NT.c"),
  --(
    IFERROR(VALUE(_xlfn.TEXTAFTER(UAutomizer!Q3:Q119,"/")),0)
    +
    IFERROR(VALUE(_xlfn.TEXTAFTER(UAutomizer!S3:S119,"/")),0)
    = 3
  ),
  --(
    IFERROR(VALUE(_xlfn.TEXTBEFORE(UAutomizer!Q3:Q119,"/")),0)
    +
    IFERROR(VALUE(_xlfn.TEXTBEFORE(UAutomizer!S3:S119,"/")),0)
    = 1
  )
)</f>
        <v>3</v>
      </c>
      <c r="P8" s="65" cm="1">
        <f t="array" ref="P8">SUMPRODUCT(
  --(RIGHT(UAutomizer!B3:B119,5)="_NT.c"),
  --(
    IFERROR(VALUE(_xlfn.TEXTAFTER(UAutomizer!Q3:Q119,"/")),0)
    +
    IFERROR(VALUE(_xlfn.TEXTAFTER(UAutomizer!S3:S119,"/")),0)
    = 3
  ),
  --(
    IFERROR(VALUE(_xlfn.TEXTBEFORE(UAutomizer!Q3:Q119,"/")),0)
    +
    IFERROR(VALUE(_xlfn.TEXTBEFORE(UAutomizer!S3:S119,"/")),0)
    = 2
  )
)</f>
        <v>1</v>
      </c>
      <c r="Q8" s="65" cm="1">
        <f t="array" ref="Q8">SUMPRODUCT(
  --(RIGHT(UAutomizer!B3:B119,5)="_NT.c"),
  --(
    IFERROR(VALUE(_xlfn.TEXTAFTER(UAutomizer!Q3:Q119,"/")),0)
    +
    IFERROR(VALUE(_xlfn.TEXTAFTER(UAutomizer!S3:S119,"/")),0)
    = 3
  ),
  --(
    IFERROR(VALUE(_xlfn.TEXTBEFORE(UAutomizer!Q3:Q119,"/")),0)
    +
    IFERROR(VALUE(_xlfn.TEXTBEFORE(UAutomizer!S3:S119,"/")),0)
    = 3
  )
)</f>
        <v>0</v>
      </c>
      <c r="R8" s="65" t="s">
        <v>3995</v>
      </c>
      <c r="S8" s="137" cm="1">
        <f t="array" ref="S8">SUMPRODUCT(
  --(RIGHT(AProVE!B3:B119,5)="_NT.c"),
  --(
    IFERROR(VALUE(_xlfn.TEXTAFTER(AProVE!Q3:Q119,"/")),0)
    +
    IFERROR(VALUE(_xlfn.TEXTAFTER(AProVE!S3:S119,"/")),0)
    = 3
  ),
  --(
    IFERROR(VALUE(_xlfn.TEXTBEFORE(AProVE!Q3:Q119,"/")),0)
    +
    IFERROR(VALUE(_xlfn.TEXTBEFORE(AProVE!S3:S119,"/")),0)
    = 0
  )
)</f>
        <v>0</v>
      </c>
      <c r="T8" s="65" cm="1">
        <f t="array" ref="T8">SUMPRODUCT(
  --(RIGHT(AProVE!B3:B119,5)="_NT.c"),
  --(
    IFERROR(VALUE(_xlfn.TEXTAFTER(AProVE!Q3:Q119,"/")),0)
    +
    IFERROR(VALUE(_xlfn.TEXTAFTER(AProVE!S3:S119,"/")),0)
    = 3
  ),
  --(
    IFERROR(VALUE(_xlfn.TEXTBEFORE(AProVE!Q3:Q119,"/")),0)
    +
    IFERROR(VALUE(_xlfn.TEXTBEFORE(AProVE!S3:S119,"/")),0)
    = 1
  )
)</f>
        <v>3</v>
      </c>
      <c r="U8" s="65" cm="1">
        <f t="array" ref="U8">SUMPRODUCT(
  --(RIGHT(AProVE!B3:B119,5)="_NT.c"),
  --(
    IFERROR(VALUE(_xlfn.TEXTAFTER(AProVE!Q3:Q119,"/")),0)
    +
    IFERROR(VALUE(_xlfn.TEXTAFTER(AProVE!S3:S119,"/")),0)
    = 3
  ),
  --(
    IFERROR(VALUE(_xlfn.TEXTBEFORE(AProVE!Q3:Q119,"/")),0)
    +
    IFERROR(VALUE(_xlfn.TEXTBEFORE(AProVE!S3:S119,"/")),0)
    = 2
  )
)</f>
        <v>1</v>
      </c>
      <c r="V8" s="65" cm="1">
        <f t="array" ref="V8">SUMPRODUCT(
  --(RIGHT(AProVE!B3:B119,5)="_NT.c"),
  --(
    IFERROR(VALUE(_xlfn.TEXTAFTER(AProVE!Q3:Q119,"/")),0)
    +
    IFERROR(VALUE(_xlfn.TEXTAFTER(AProVE!S3:S119,"/")),0)
    = 3
  ),
  --(
    IFERROR(VALUE(_xlfn.TEXTBEFORE(AProVE!Q3:Q119,"/")),0)
    +
    IFERROR(VALUE(_xlfn.TEXTBEFORE(AProVE!S3:S119,"/")),0)
    = 3
  )
)</f>
        <v>0</v>
      </c>
      <c r="W8" s="65" t="s">
        <v>3995</v>
      </c>
      <c r="X8" s="137" cm="1">
        <f t="array" ref="X8">SUMPRODUCT(
  --(RIGHT(CPAchecker!B3:B119,5)="_NT.c"),
  --(
    IFERROR(VALUE(_xlfn.TEXTAFTER(CPAchecker!Q3:Q119,"/")),0)
    +
    IFERROR(VALUE(_xlfn.TEXTAFTER(CPAchecker!S3:S119,"/")),0)
    = 3
  ),
  --(
    IFERROR(VALUE(_xlfn.TEXTBEFORE(CPAchecker!Q3:Q119,"/")),0)
    +
    IFERROR(VALUE(_xlfn.TEXTBEFORE(CPAchecker!S3:S119,"/")),0)
    = 0
  )
)</f>
        <v>3</v>
      </c>
      <c r="Y8" s="65" cm="1">
        <f t="array" ref="Y8">SUMPRODUCT(
  --(RIGHT(CPAchecker!B3:B119,5)="_NT.c"),
  --(
    IFERROR(VALUE(_xlfn.TEXTAFTER(CPAchecker!Q3:Q119,"/")),0)
    +
    IFERROR(VALUE(_xlfn.TEXTAFTER(CPAchecker!S3:S119,"/")),0)
    = 3
  ),
  --(
    IFERROR(VALUE(_xlfn.TEXTBEFORE(CPAchecker!Q3:Q119,"/")),0)
    +
    IFERROR(VALUE(_xlfn.TEXTBEFORE(CPAchecker!S3:S119,"/")),0)
    = 1
  )
)</f>
        <v>0</v>
      </c>
      <c r="Z8" s="65" cm="1">
        <f t="array" ref="Z8">SUMPRODUCT(
  --(RIGHT(CPAchecker!B3:B119,5)="_NT.c"),
  --(
    IFERROR(VALUE(_xlfn.TEXTAFTER(CPAchecker!Q3:Q119,"/")),0)
    +
    IFERROR(VALUE(_xlfn.TEXTAFTER(CPAchecker!S3:S119,"/")),0)
    = 3
  ),
  --(
    IFERROR(VALUE(_xlfn.TEXTBEFORE(CPAchecker!Q3:Q119,"/")),0)
    +
    IFERROR(VALUE(_xlfn.TEXTBEFORE(CPAchecker!S3:S119,"/")),0)
    = 2
  )
)</f>
        <v>1</v>
      </c>
      <c r="AA8" s="65" cm="1">
        <f t="array" ref="AA8">SUMPRODUCT(
  --(RIGHT(CPAchecker!B3:B119,5)="_NT.c"),
  --(
    IFERROR(VALUE(_xlfn.TEXTAFTER(CPAchecker!Q3:Q119,"/")),0)
    +
    IFERROR(VALUE(_xlfn.TEXTAFTER(CPAchecker!S3:S119,"/")),0)
    = 3
  ),
  --(
    IFERROR(VALUE(_xlfn.TEXTBEFORE(CPAchecker!Q3:Q119,"/")),0)
    +
    IFERROR(VALUE(_xlfn.TEXTBEFORE(CPAchecker!S3:S119,"/")),0)
    = 3
  )
)</f>
        <v>0</v>
      </c>
      <c r="AB8" s="65" t="s">
        <v>3995</v>
      </c>
      <c r="AC8" s="137" cm="1">
        <f t="array" ref="AC8">SUMPRODUCT(
  --(RIGHT('2LS'!B3:B119,5)="_NT.c"),
  --(
    IFERROR(VALUE(_xlfn.TEXTAFTER('2LS'!Q3:Q119,"/")),0)
    +
    IFERROR(VALUE(_xlfn.TEXTAFTER('2LS'!S3:S119,"/")),0)
    = 3
  ),
  --(
    IFERROR(VALUE(_xlfn.TEXTBEFORE('2LS'!Q3:Q119,"/")),0)
    +
    IFERROR(VALUE(_xlfn.TEXTBEFORE('2LS'!S3:S119,"/")),0)
    = 0
  )
)</f>
        <v>1</v>
      </c>
      <c r="AD8" s="65" cm="1">
        <f t="array" ref="AD8">SUMPRODUCT(
  --(RIGHT('2LS'!B3:B119,5)="_NT.c"),
  --(
    IFERROR(VALUE(_xlfn.TEXTAFTER('2LS'!Q3:Q119,"/")),0)
    +
    IFERROR(VALUE(_xlfn.TEXTAFTER('2LS'!S3:S119,"/")),0)
    = 3
  ),
  --(
    IFERROR(VALUE(_xlfn.TEXTBEFORE('2LS'!Q3:Q119,"/")),0)
    +
    IFERROR(VALUE(_xlfn.TEXTBEFORE('2LS'!S3:S119,"/")),0)
    = 1
  )
)</f>
        <v>1</v>
      </c>
      <c r="AE8" s="65" cm="1">
        <f t="array" ref="AE8">SUMPRODUCT(
  --(RIGHT('2LS'!B3:B119,5)="_NT.c"),
  --(
    IFERROR(VALUE(_xlfn.TEXTAFTER('2LS'!Q3:Q119,"/")),0)
    +
    IFERROR(VALUE(_xlfn.TEXTAFTER('2LS'!S3:S119,"/")),0)
    = 3
  ),
  --(
    IFERROR(VALUE(_xlfn.TEXTBEFORE('2LS'!Q3:Q119,"/")),0)
    +
    IFERROR(VALUE(_xlfn.TEXTBEFORE('2LS'!S3:S119,"/")),0)
    = 2
  )
)</f>
        <v>0</v>
      </c>
      <c r="AF8" s="65" cm="1">
        <f t="array" ref="AF8">SUMPRODUCT(
  --(RIGHT('2LS'!B3:B119,5)="_NT.c"),
  --(
    IFERROR(VALUE(_xlfn.TEXTAFTER('2LS'!Q3:Q119,"/")),0)
    +
    IFERROR(VALUE(_xlfn.TEXTAFTER('2LS'!S3:S119,"/")),0)
    = 3
  ),
  --(
    IFERROR(VALUE(_xlfn.TEXTBEFORE('2LS'!Q3:Q119,"/")),0)
    +
    IFERROR(VALUE(_xlfn.TEXTBEFORE('2LS'!S3:S119,"/")),0)
    = 3
  )
)</f>
        <v>1</v>
      </c>
      <c r="AG8" s="65" t="s">
        <v>3995</v>
      </c>
    </row>
    <row r="9" spans="2:33" ht="21" thickBot="1" x14ac:dyDescent="0.25">
      <c r="B9" s="5">
        <v>4</v>
      </c>
      <c r="C9" s="46" cm="1">
        <f t="array" ref="C9">SUMPRODUCT(
  --(RIGHT(Athena!B3:B119,5)="_NT.c"),
  --(
    IFERROR(VALUE(_xlfn.TEXTAFTER(Athena!Q3:Q119,"/")),0)
    +
    IFERROR(VALUE(_xlfn.TEXTAFTER(Athena!S3:S119,"/")),0)
    = 4
  )
)</f>
        <v>2</v>
      </c>
      <c r="D9" s="46" cm="1">
        <f t="array" ref="D9">SUMPRODUCT(
  --(RIGHT(Athena!B3:B119,5)="_NT.c"),
  --(
    IFERROR(VALUE(_xlfn.TEXTAFTER(Athena!Q3:Q119,"/")),0)
    +
    IFERROR(VALUE(_xlfn.TEXTAFTER(Athena!S3:S119,"/")),0)
    = 4
  ),
  --(
    IFERROR(VALUE(_xlfn.TEXTBEFORE(Athena!Q3:Q119,"/")),0)
    +
    IFERROR(VALUE(_xlfn.TEXTBEFORE(Athena!S3:S119,"/")),0)
    = 0
  )
)</f>
        <v>1</v>
      </c>
      <c r="E9" s="5" cm="1">
        <f t="array" ref="E9">SUMPRODUCT(
  --(RIGHT(Athena!B3:B119,5)="_NT.c"),
  --(
    IFERROR(VALUE(_xlfn.TEXTAFTER(Athena!Q3:Q119,"/")),0)
    +
    IFERROR(VALUE(_xlfn.TEXTAFTER(Athena!S3:S119,"/")),0)
    = 4
  ),
  --(
    IFERROR(VALUE(_xlfn.TEXTBEFORE(Athena!Q3:Q119,"/")),0)
    +
    IFERROR(VALUE(_xlfn.TEXTBEFORE(Athena!S3:S119,"/")),0)
    = 1
  )
)</f>
        <v>0</v>
      </c>
      <c r="F9" s="5" cm="1">
        <f t="array" ref="F9">SUMPRODUCT(
  --(RIGHT(Athena!B3:B119,5)="_NT.c"),
  --(
    IFERROR(VALUE(_xlfn.TEXTAFTER(Athena!Q3:Q119,"/")),0)
    +
    IFERROR(VALUE(_xlfn.TEXTAFTER(Athena!S3:S119,"/")),0)
    = 4
  ),
  --(
    IFERROR(VALUE(_xlfn.TEXTBEFORE(Athena!Q3:Q119,"/")),0)
    +
    IFERROR(VALUE(_xlfn.TEXTBEFORE(Athena!S3:S119,"/")),0)
    = 2
  )
)</f>
        <v>1</v>
      </c>
      <c r="G9" s="5" cm="1">
        <f t="array" ref="G9">SUMPRODUCT(
  --(RIGHT(Athena!B3:B119,5)="_NT.c"),
  --(
    IFERROR(VALUE(_xlfn.TEXTAFTER(Athena!Q3:Q119,"/")),0)
    +
    IFERROR(VALUE(_xlfn.TEXTAFTER(Athena!S3:S119,"/")),0)
    = 4
  ),
  --(
    IFERROR(VALUE(_xlfn.TEXTBEFORE(Athena!Q3:Q119,"/")),0)
    +
    IFERROR(VALUE(_xlfn.TEXTBEFORE(Athena!S3:S119,"/")),0)
    = 3
  )
)</f>
        <v>0</v>
      </c>
      <c r="H9" s="5" cm="1">
        <f t="array" ref="H9">SUMPRODUCT(
  --(RIGHT(Athena!B3:B119,5)="_NT.c"),
  --(
    IFERROR(VALUE(_xlfn.TEXTAFTER(Athena!Q3:Q119,"/")),0)
    +
    IFERROR(VALUE(_xlfn.TEXTAFTER(Athena!S3:S119,"/")),0)
    = 4
  ),
  --(
    IFERROR(VALUE(_xlfn.TEXTBEFORE(Athena!Q3:Q119,"/")),0)
    +
    IFERROR(VALUE(_xlfn.TEXTBEFORE(Athena!S3:S119,"/")),0)
    = 4
  )
)</f>
        <v>0</v>
      </c>
      <c r="I9" s="98" cm="1">
        <f t="array" ref="I9">SUMPRODUCT(
  --(RIGHT(PROTON!B3:B119,5)="_NT.c"),
  --(
    IFERROR(VALUE(_xlfn.TEXTAFTER(PROTON!Q3:Q119,"/")),0)
    +
    IFERROR(VALUE(_xlfn.TEXTAFTER(PROTON!S3:S119,"/")),0)
    = 4
  ),
  --(
    IFERROR(VALUE(_xlfn.TEXTBEFORE(PROTON!Q3:Q119,"/")),0)
    +
    IFERROR(VALUE(_xlfn.TEXTBEFORE(PROTON!S3:S119,"/")),0)
    = 0
  )
)</f>
        <v>1</v>
      </c>
      <c r="J9" s="99" cm="1">
        <f t="array" ref="J9">SUMPRODUCT(
  --(RIGHT(PROTON!B3:B119,5)="_NT.c"),
  --(
    IFERROR(VALUE(_xlfn.TEXTAFTER(PROTON!Q3:Q119,"/")),0)
    +
    IFERROR(VALUE(_xlfn.TEXTAFTER(PROTON!S3:S119,"/")),0)
    = 4
  ),
  --(
    IFERROR(VALUE(_xlfn.TEXTBEFORE(PROTON!Q3:Q119,"/")),0)
    +
    IFERROR(VALUE(_xlfn.TEXTBEFORE(PROTON!S3:S119,"/")),0)
    = 1
  )
)</f>
        <v>1</v>
      </c>
      <c r="K9" s="99" cm="1">
        <f t="array" ref="K9">SUMPRODUCT(
  --(RIGHT(PROTON!B3:B119,5)="_NT.c"),
  --(
    IFERROR(VALUE(_xlfn.TEXTAFTER(PROTON!Q3:Q119,"/")),0)
    +
    IFERROR(VALUE(_xlfn.TEXTAFTER(PROTON!S3:S119,"/")),0)
    = 4
  ),
  --(
    IFERROR(VALUE(_xlfn.TEXTBEFORE(PROTON!Q3:Q119,"/")),0)
    +
    IFERROR(VALUE(_xlfn.TEXTBEFORE(PROTON!S3:S119,"/")),0)
    = 2
  )
)</f>
        <v>0</v>
      </c>
      <c r="L9" s="99" cm="1">
        <f t="array" ref="L9">SUMPRODUCT(
  --(RIGHT(PROTON!B3:B119,5)="_NT.c"),
  --(
    IFERROR(VALUE(_xlfn.TEXTAFTER(PROTON!Q3:Q119,"/")),0)
    +
    IFERROR(VALUE(_xlfn.TEXTAFTER(PROTON!S3:S119,"/")),0)
    = 4
  ),
  --(
    IFERROR(VALUE(_xlfn.TEXTBEFORE(PROTON!Q3:Q119,"/")),0)
    +
    IFERROR(VALUE(_xlfn.TEXTBEFORE(PROTON!S3:S119,"/")),0)
    = 3
  )
)</f>
        <v>0</v>
      </c>
      <c r="M9" s="99" cm="1">
        <f t="array" ref="M9">SUMPRODUCT(
  --(RIGHT(PROTON!B3:B119,5)="_NT.c"),
  --(
    IFERROR(VALUE(_xlfn.TEXTAFTER(PROTON!Q3:Q119,"/")),0)
    +
    IFERROR(VALUE(_xlfn.TEXTAFTER(PROTON!S3:S119,"/")),0)
    = 4
  ),
  --(
    IFERROR(VALUE(_xlfn.TEXTBEFORE(PROTON!Q3:Q119,"/")),0)
    +
    IFERROR(VALUE(_xlfn.TEXTBEFORE(PROTON!S3:S119,"/")),0)
    = 4
  )
)</f>
        <v>0</v>
      </c>
      <c r="N9" s="98" cm="1">
        <f t="array" ref="N9">SUMPRODUCT(
  --(RIGHT(UAutomizer!B3:B119,5)="_NT.c"),
  --(
    IFERROR(VALUE(_xlfn.TEXTAFTER(UAutomizer!Q3:Q119,"/")),0)
    +
    IFERROR(VALUE(_xlfn.TEXTAFTER(UAutomizer!S3:S119,"/")),0)
    = 4
  ),
  --(
    IFERROR(VALUE(_xlfn.TEXTBEFORE(UAutomizer!Q3:Q119,"/")),0)
    +
    IFERROR(VALUE(_xlfn.TEXTBEFORE(UAutomizer!S3:S119,"/")),0)
    = 0
  )
)</f>
        <v>1</v>
      </c>
      <c r="O9" s="99" cm="1">
        <f t="array" ref="O9">SUMPRODUCT(
  --(RIGHT(UAutomizer!B3:B119,5)="_NT.c"),
  --(
    IFERROR(VALUE(_xlfn.TEXTAFTER(UAutomizer!Q3:Q119,"/")),0)
    +
    IFERROR(VALUE(_xlfn.TEXTAFTER(UAutomizer!S3:S119,"/")),0)
    = 4
  ),
  --(
    IFERROR(VALUE(_xlfn.TEXTBEFORE(UAutomizer!Q3:Q119,"/")),0)
    +
    IFERROR(VALUE(_xlfn.TEXTBEFORE(UAutomizer!S3:S119,"/")),0)
    = 1
  )
)</f>
        <v>1</v>
      </c>
      <c r="P9" s="99" cm="1">
        <f t="array" ref="P9">SUMPRODUCT(
  --(RIGHT(UAutomizer!B3:B119,5)="_NT.c"),
  --(
    IFERROR(VALUE(_xlfn.TEXTAFTER(UAutomizer!Q3:Q119,"/")),0)
    +
    IFERROR(VALUE(_xlfn.TEXTAFTER(UAutomizer!S3:S119,"/")),0)
    = 4
  ),
  --(
    IFERROR(VALUE(_xlfn.TEXTBEFORE(UAutomizer!Q3:Q119,"/")),0)
    +
    IFERROR(VALUE(_xlfn.TEXTBEFORE(UAutomizer!S3:S119,"/")),0)
    = 2
  )
)</f>
        <v>0</v>
      </c>
      <c r="Q9" s="99" cm="1">
        <f t="array" ref="Q9">SUMPRODUCT(
  --(RIGHT(UAutomizer!B3:B119,5)="_NT.c"),
  --(
    IFERROR(VALUE(_xlfn.TEXTAFTER(UAutomizer!Q3:Q119,"/")),0)
    +
    IFERROR(VALUE(_xlfn.TEXTAFTER(UAutomizer!S3:S119,"/")),0)
    = 4
  ),
  --(
    IFERROR(VALUE(_xlfn.TEXTBEFORE(UAutomizer!Q3:Q119,"/")),0)
    +
    IFERROR(VALUE(_xlfn.TEXTBEFORE(UAutomizer!S3:S119,"/")),0)
    = 3
  )
)</f>
        <v>0</v>
      </c>
      <c r="R9" s="99" cm="1">
        <f t="array" ref="R9">SUMPRODUCT(
  --(RIGHT(UAutomizer!B3:B119,5)="_NT.c"),
  --(
    IFERROR(VALUE(_xlfn.TEXTAFTER(UAutomizer!Q3:Q119,"/")),0)
    +
    IFERROR(VALUE(_xlfn.TEXTAFTER(UAutomizer!S3:S119,"/")),0)
    = 4
  ),
  --(
    IFERROR(VALUE(_xlfn.TEXTBEFORE(UAutomizer!Q3:Q119,"/")),0)
    +
    IFERROR(VALUE(_xlfn.TEXTBEFORE(UAutomizer!S3:S119,"/")),0)
    = 4
  )
)</f>
        <v>0</v>
      </c>
      <c r="S9" s="98" cm="1">
        <f t="array" ref="S9">SUMPRODUCT(
  --(RIGHT(AProVE!B3:B119,5)="_NT.c"),
  --(
    IFERROR(VALUE(_xlfn.TEXTAFTER(AProVE!Q3:Q119,"/")),0)
    +
    IFERROR(VALUE(_xlfn.TEXTAFTER(AProVE!S3:S119,"/")),0)
    = 4
  ),
  --(
    IFERROR(VALUE(_xlfn.TEXTBEFORE(AProVE!Q3:Q119,"/")),0)
    +
    IFERROR(VALUE(_xlfn.TEXTBEFORE(AProVE!S3:S119,"/")),0)
    = 0
  )
)</f>
        <v>1</v>
      </c>
      <c r="T9" s="99" cm="1">
        <f t="array" ref="T9">SUMPRODUCT(
  --(RIGHT(AProVE!B3:B119,5)="_NT.c"),
  --(
    IFERROR(VALUE(_xlfn.TEXTAFTER(AProVE!Q3:Q119,"/")),0)
    +
    IFERROR(VALUE(_xlfn.TEXTAFTER(AProVE!S3:S119,"/")),0)
    = 4
  ),
  --(
    IFERROR(VALUE(_xlfn.TEXTBEFORE(AProVE!Q3:Q119,"/")),0)
    +
    IFERROR(VALUE(_xlfn.TEXTBEFORE(AProVE!S3:S119,"/")),0)
    = 1
  )
)</f>
        <v>1</v>
      </c>
      <c r="U9" s="99" cm="1">
        <f t="array" ref="U9">SUMPRODUCT(
  --(RIGHT(AProVE!B3:B119,5)="_NT.c"),
  --(
    IFERROR(VALUE(_xlfn.TEXTAFTER(AProVE!Q3:Q119,"/")),0)
    +
    IFERROR(VALUE(_xlfn.TEXTAFTER(AProVE!S3:S119,"/")),0)
    = 4
  ),
  --(
    IFERROR(VALUE(_xlfn.TEXTBEFORE(AProVE!Q3:Q119,"/")),0)
    +
    IFERROR(VALUE(_xlfn.TEXTBEFORE(AProVE!S3:S119,"/")),0)
    = 2
  )
)</f>
        <v>0</v>
      </c>
      <c r="V9" s="99" cm="1">
        <f t="array" ref="V9">SUMPRODUCT(
  --(RIGHT(AProVE!B3:B119,5)="_NT.c"),
  --(
    IFERROR(VALUE(_xlfn.TEXTAFTER(AProVE!Q3:Q119,"/")),0)
    +
    IFERROR(VALUE(_xlfn.TEXTAFTER(AProVE!S3:S119,"/")),0)
    = 4
  ),
  --(
    IFERROR(VALUE(_xlfn.TEXTBEFORE(AProVE!Q3:Q119,"/")),0)
    +
    IFERROR(VALUE(_xlfn.TEXTBEFORE(AProVE!S3:S119,"/")),0)
    = 3
  )
)</f>
        <v>0</v>
      </c>
      <c r="W9" s="99" cm="1">
        <f t="array" ref="W9">SUMPRODUCT(
  --(RIGHT(AProVE!B3:B119,5)="_NT.c"),
  --(
    IFERROR(VALUE(_xlfn.TEXTAFTER(AProVE!Q3:Q119,"/")),0)
    +
    IFERROR(VALUE(_xlfn.TEXTAFTER(AProVE!S3:S119,"/")),0)
    = 4
  ),
  --(
    IFERROR(VALUE(_xlfn.TEXTBEFORE(AProVE!Q3:Q119,"/")),0)
    +
    IFERROR(VALUE(_xlfn.TEXTBEFORE(AProVE!S3:S119,"/")),0)
    = 4
  )
)</f>
        <v>0</v>
      </c>
      <c r="X9" s="98" cm="1">
        <f t="array" ref="X9">SUMPRODUCT(
  --(RIGHT(CPAchecker!B3:B119,5)="_NT.c"),
  --(
    IFERROR(VALUE(_xlfn.TEXTAFTER(CPAchecker!Q3:Q119,"/")),0)
    +
    IFERROR(VALUE(_xlfn.TEXTAFTER(CPAchecker!S3:S119,"/")),0)
    = 4
  ),
  --(
    IFERROR(VALUE(_xlfn.TEXTBEFORE(CPAchecker!Q3:Q119,"/")),0)
    +
    IFERROR(VALUE(_xlfn.TEXTBEFORE(CPAchecker!S3:S119,"/")),0)
    = 0
  )
)</f>
        <v>2</v>
      </c>
      <c r="Y9" s="99" cm="1">
        <f t="array" ref="Y9">SUMPRODUCT(
  --(RIGHT(CPAchecker!B3:B119,5)="_NT.c"),
  --(
    IFERROR(VALUE(_xlfn.TEXTAFTER(CPAchecker!Q3:Q119,"/")),0)
    +
    IFERROR(VALUE(_xlfn.TEXTAFTER(CPAchecker!S3:S119,"/")),0)
    = 4
  ),
  --(
    IFERROR(VALUE(_xlfn.TEXTBEFORE(CPAchecker!Q3:Q119,"/")),0)
    +
    IFERROR(VALUE(_xlfn.TEXTBEFORE(CPAchecker!S3:S119,"/")),0)
    = 1
  )
)</f>
        <v>0</v>
      </c>
      <c r="Z9" s="99" cm="1">
        <f t="array" ref="Z9">SUMPRODUCT(
  --(RIGHT(CPAchecker!B3:B119,5)="_NT.c"),
  --(
    IFERROR(VALUE(_xlfn.TEXTAFTER(CPAchecker!Q3:Q119,"/")),0)
    +
    IFERROR(VALUE(_xlfn.TEXTAFTER(CPAchecker!S3:S119,"/")),0)
    = 4
  ),
  --(
    IFERROR(VALUE(_xlfn.TEXTBEFORE(CPAchecker!Q3:Q119,"/")),0)
    +
    IFERROR(VALUE(_xlfn.TEXTBEFORE(CPAchecker!S3:S119,"/")),0)
    = 2
  )
)</f>
        <v>0</v>
      </c>
      <c r="AA9" s="99" cm="1">
        <f t="array" ref="AA9">SUMPRODUCT(
  --(RIGHT(CPAchecker!B3:B119,5)="_NT.c"),
  --(
    IFERROR(VALUE(_xlfn.TEXTAFTER(CPAchecker!Q3:Q119,"/")),0)
    +
    IFERROR(VALUE(_xlfn.TEXTAFTER(CPAchecker!S3:S119,"/")),0)
    = 4
  ),
  --(
    IFERROR(VALUE(_xlfn.TEXTBEFORE(CPAchecker!Q3:Q119,"/")),0)
    +
    IFERROR(VALUE(_xlfn.TEXTBEFORE(CPAchecker!S3:S119,"/")),0)
    = 3
  )
)</f>
        <v>0</v>
      </c>
      <c r="AB9" s="99" cm="1">
        <f t="array" ref="AB9">SUMPRODUCT(
  --(RIGHT(CPAchecker!B3:B119,5)="_NT.c"),
  --(
    IFERROR(VALUE(_xlfn.TEXTAFTER(CPAchecker!Q3:Q119,"/")),0)
    +
    IFERROR(VALUE(_xlfn.TEXTAFTER(CPAchecker!S3:S119,"/")),0)
    = 4
  ),
  --(
    IFERROR(VALUE(_xlfn.TEXTBEFORE(CPAchecker!Q3:Q119,"/")),0)
    +
    IFERROR(VALUE(_xlfn.TEXTBEFORE(CPAchecker!S3:S119,"/")),0)
    = 4
  )
)</f>
        <v>0</v>
      </c>
      <c r="AC9" s="98" cm="1">
        <f t="array" ref="AC9">SUMPRODUCT(
  --(RIGHT('2LS'!B3:B119,5)="_NT.c"),
  --(
    IFERROR(VALUE(_xlfn.TEXTAFTER('2LS'!Q3:Q119,"/")),0)
    +
    IFERROR(VALUE(_xlfn.TEXTAFTER('2LS'!S3:S119,"/")),0)
    = 4
  ),
  --(
    IFERROR(VALUE(_xlfn.TEXTBEFORE('2LS'!Q3:Q119,"/")),0)
    +
    IFERROR(VALUE(_xlfn.TEXTBEFORE('2LS'!S3:S119,"/")),0)
    = 0
  )
)</f>
        <v>1</v>
      </c>
      <c r="AD9" s="99" cm="1">
        <f t="array" ref="AD9">SUMPRODUCT(
  --(RIGHT('2LS'!B3:B119,5)="_NT.c"),
  --(
    IFERROR(VALUE(_xlfn.TEXTAFTER('2LS'!Q3:Q119,"/")),0)
    +
    IFERROR(VALUE(_xlfn.TEXTAFTER('2LS'!S3:S119,"/")),0)
    = 4
  ),
  --(
    IFERROR(VALUE(_xlfn.TEXTBEFORE('2LS'!Q3:Q119,"/")),0)
    +
    IFERROR(VALUE(_xlfn.TEXTBEFORE('2LS'!S3:S119,"/")),0)
    = 1
  )
)</f>
        <v>1</v>
      </c>
      <c r="AE9" s="99" cm="1">
        <f t="array" ref="AE9">SUMPRODUCT(
  --(RIGHT('2LS'!B3:B119,5)="_NT.c"),
  --(
    IFERROR(VALUE(_xlfn.TEXTAFTER('2LS'!Q3:Q119,"/")),0)
    +
    IFERROR(VALUE(_xlfn.TEXTAFTER('2LS'!S3:S119,"/")),0)
    = 4
  ),
  --(
    IFERROR(VALUE(_xlfn.TEXTBEFORE('2LS'!Q3:Q119,"/")),0)
    +
    IFERROR(VALUE(_xlfn.TEXTBEFORE('2LS'!S3:S119,"/")),0)
    = 2
  )
)</f>
        <v>0</v>
      </c>
      <c r="AF9" s="99" cm="1">
        <f t="array" ref="AF9">SUMPRODUCT(
  --(RIGHT('2LS'!B3:B119,5)="_NT.c"),
  --(
    IFERROR(VALUE(_xlfn.TEXTAFTER('2LS'!Q3:Q119,"/")),0)
    +
    IFERROR(VALUE(_xlfn.TEXTAFTER('2LS'!S3:S119,"/")),0)
    = 4
  ),
  --(
    IFERROR(VALUE(_xlfn.TEXTBEFORE('2LS'!Q3:Q119,"/")),0)
    +
    IFERROR(VALUE(_xlfn.TEXTBEFORE('2LS'!S3:S119,"/")),0)
    = 3
  )
)</f>
        <v>0</v>
      </c>
      <c r="AG9" s="99" cm="1">
        <f t="array" ref="AG9">SUMPRODUCT(
  --(RIGHT('2LS'!B3:B119,5)="_NT.c"),
  --(
    IFERROR(VALUE(_xlfn.TEXTAFTER('2LS'!Q3:Q119,"/")),0)
    +
    IFERROR(VALUE(_xlfn.TEXTAFTER('2LS'!S3:S119,"/")),0)
    = 4
  ),
  --(
    IFERROR(VALUE(_xlfn.TEXTBEFORE('2LS'!Q3:Q119,"/")),0)
    +
    IFERROR(VALUE(_xlfn.TEXTBEFORE('2LS'!S3:S119,"/")),0)
    = 4
  )
)</f>
        <v>0</v>
      </c>
    </row>
    <row r="10" spans="2:33" x14ac:dyDescent="0.2"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</row>
    <row r="11" spans="2:33" ht="20" x14ac:dyDescent="0.2">
      <c r="B11" s="25" t="s">
        <v>3988</v>
      </c>
      <c r="C11" s="26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</row>
    <row r="12" spans="2:33" ht="17" thickBot="1" x14ac:dyDescent="0.25">
      <c r="I12" s="138"/>
      <c r="J12" s="138"/>
      <c r="K12" s="138"/>
      <c r="L12" s="138"/>
      <c r="M12" s="138"/>
      <c r="N12" s="138"/>
      <c r="O12" s="138"/>
      <c r="P12" s="138"/>
      <c r="Q12" s="138"/>
      <c r="R12" s="138"/>
    </row>
    <row r="13" spans="2:33" ht="20" x14ac:dyDescent="0.25">
      <c r="B13" s="204" t="s">
        <v>145</v>
      </c>
      <c r="C13" s="193" t="s">
        <v>146</v>
      </c>
      <c r="D13" s="199" t="s">
        <v>144</v>
      </c>
      <c r="E13" s="200"/>
      <c r="F13" s="200"/>
      <c r="G13" s="200"/>
      <c r="H13" s="200"/>
      <c r="I13" s="201" t="s">
        <v>116</v>
      </c>
      <c r="J13" s="202"/>
      <c r="K13" s="202"/>
      <c r="L13" s="202"/>
      <c r="M13" s="202"/>
      <c r="N13" s="199" t="s">
        <v>109</v>
      </c>
      <c r="O13" s="200"/>
      <c r="P13" s="200"/>
      <c r="Q13" s="200"/>
      <c r="R13" s="200"/>
      <c r="S13" s="199" t="s">
        <v>108</v>
      </c>
      <c r="T13" s="200"/>
      <c r="U13" s="200"/>
      <c r="V13" s="200"/>
      <c r="W13" s="200"/>
      <c r="X13" s="199" t="s">
        <v>110</v>
      </c>
      <c r="Y13" s="200"/>
      <c r="Z13" s="200"/>
      <c r="AA13" s="200"/>
      <c r="AB13" s="200"/>
      <c r="AC13" s="199" t="s">
        <v>111</v>
      </c>
      <c r="AD13" s="200"/>
      <c r="AE13" s="200"/>
      <c r="AF13" s="200"/>
      <c r="AG13" s="200"/>
    </row>
    <row r="14" spans="2:33" ht="85" thickBot="1" x14ac:dyDescent="0.25">
      <c r="B14" s="170"/>
      <c r="C14" s="205"/>
      <c r="D14" s="52" t="s">
        <v>147</v>
      </c>
      <c r="E14" s="53" t="s">
        <v>148</v>
      </c>
      <c r="F14" s="53" t="s">
        <v>149</v>
      </c>
      <c r="G14" s="53" t="s">
        <v>150</v>
      </c>
      <c r="H14" s="53" t="s">
        <v>151</v>
      </c>
      <c r="I14" s="134" t="s">
        <v>147</v>
      </c>
      <c r="J14" s="135" t="s">
        <v>148</v>
      </c>
      <c r="K14" s="135" t="s">
        <v>149</v>
      </c>
      <c r="L14" s="135" t="s">
        <v>150</v>
      </c>
      <c r="M14" s="135" t="s">
        <v>151</v>
      </c>
      <c r="N14" s="134" t="s">
        <v>147</v>
      </c>
      <c r="O14" s="135" t="s">
        <v>148</v>
      </c>
      <c r="P14" s="135" t="s">
        <v>149</v>
      </c>
      <c r="Q14" s="135" t="s">
        <v>150</v>
      </c>
      <c r="R14" s="135" t="s">
        <v>151</v>
      </c>
      <c r="S14" s="134" t="s">
        <v>147</v>
      </c>
      <c r="T14" s="135" t="s">
        <v>148</v>
      </c>
      <c r="U14" s="135" t="s">
        <v>149</v>
      </c>
      <c r="V14" s="135" t="s">
        <v>150</v>
      </c>
      <c r="W14" s="135" t="s">
        <v>151</v>
      </c>
      <c r="X14" s="134" t="s">
        <v>147</v>
      </c>
      <c r="Y14" s="135" t="s">
        <v>148</v>
      </c>
      <c r="Z14" s="135" t="s">
        <v>149</v>
      </c>
      <c r="AA14" s="135" t="s">
        <v>150</v>
      </c>
      <c r="AB14" s="135" t="s">
        <v>151</v>
      </c>
      <c r="AC14" s="134" t="s">
        <v>147</v>
      </c>
      <c r="AD14" s="135" t="s">
        <v>148</v>
      </c>
      <c r="AE14" s="135" t="s">
        <v>149</v>
      </c>
      <c r="AF14" s="135" t="s">
        <v>150</v>
      </c>
      <c r="AG14" s="135" t="s">
        <v>151</v>
      </c>
    </row>
    <row r="15" spans="2:33" ht="20" x14ac:dyDescent="0.2">
      <c r="B15" s="2">
        <v>1</v>
      </c>
      <c r="C15" s="47" cm="1">
        <f t="array" ref="C15">SUMPRODUCT(
  --(RIGHT(Athena!B3:B119,4)="_T.c"),
  --(
    IFERROR(VALUE(_xlfn.TEXTAFTER(Athena!Q3:Q119,"/")),0)
    = 1
  )
)</f>
        <v>41</v>
      </c>
      <c r="D15" s="47" cm="1">
        <f t="array" ref="D15">SUMPRODUCT(
  --(RIGHT(Athena!B3:B119,4)="_T.c"),
  --(
    IFERROR(VALUE(_xlfn.TEXTAFTER(Athena!Q3:Q119,"/")),0)
    = 1
  ),
  --(
    IFERROR(VALUE(_xlfn.TEXTBEFORE(Athena!Q3:Q119,"/")),0)
    = 0
  )
)</f>
        <v>16</v>
      </c>
      <c r="E15" s="2" cm="1">
        <f t="array" ref="E15">SUMPRODUCT(
  --(RIGHT(Athena!B3:B119,4)="_T.c"),
  --(
    IFERROR(VALUE(_xlfn.TEXTAFTER(Athena!Q3:Q119,"/")),0)
    = 1
  ),
  --(
    IFERROR(VALUE(_xlfn.TEXTBEFORE(Athena!Q3:Q119,"/")),0)
    = 1
  )
)</f>
        <v>25</v>
      </c>
      <c r="F15" s="2" t="s">
        <v>3995</v>
      </c>
      <c r="G15" s="2" t="s">
        <v>3995</v>
      </c>
      <c r="H15" s="2" t="s">
        <v>3995</v>
      </c>
      <c r="I15" s="136" cm="1">
        <f t="array" ref="I15">SUMPRODUCT(
  --(RIGHT(PROTON!B3:B119,4)="_T.c"),
  --(
    IFERROR(VALUE(_xlfn.TEXTAFTER(PROTON!Q3:Q119,"/")),0)
    = 1
  ),
  --(
    IFERROR(VALUE(_xlfn.TEXTBEFORE(PROTON!Q3:Q119,"/")),0)
    = 0
  )
)</f>
        <v>3</v>
      </c>
      <c r="J15" s="65" cm="1">
        <f t="array" ref="J15">SUMPRODUCT(
  --(RIGHT(PROTON!B3:B119,4)="_T.c"),
  --(
    IFERROR(VALUE(_xlfn.TEXTAFTER(PROTON!Q3:Q119,"/")),0)
    = 1
  ),
  --(
    IFERROR(VALUE(_xlfn.TEXTBEFORE(PROTON!Q3:Q119,"/")),0)
    = 1
  )
)</f>
        <v>36</v>
      </c>
      <c r="K15" s="65" t="s">
        <v>3995</v>
      </c>
      <c r="L15" s="65" t="s">
        <v>3995</v>
      </c>
      <c r="M15" s="65" t="s">
        <v>3995</v>
      </c>
      <c r="N15" s="136" cm="1">
        <f t="array" ref="N15">SUMPRODUCT(
  --(RIGHT(UAutomizer!B3:B119,4)="_T.c"),
  --(
    IFERROR(VALUE(_xlfn.TEXTAFTER(UAutomizer!Q3:Q119,"/")),0)
    = 1
  ),
  --(
    IFERROR(VALUE(_xlfn.TEXTBEFORE(UAutomizer!Q3:Q119,"/")),0)
    = 0
  )
)</f>
        <v>26</v>
      </c>
      <c r="O15" s="65" cm="1">
        <f t="array" ref="O15">SUMPRODUCT(
  --(RIGHT(UAutomizer!B3:B119,4)="_T.c"),
  --(
    IFERROR(VALUE(_xlfn.TEXTAFTER(UAutomizer!Q3:Q119,"/")),0)
    = 1
  ),
  --(
    IFERROR(VALUE(_xlfn.TEXTBEFORE(UAutomizer!Q3:Q119,"/")),0)
    = 1
  )
)</f>
        <v>14</v>
      </c>
      <c r="P15" s="65" t="s">
        <v>3995</v>
      </c>
      <c r="Q15" s="65" t="s">
        <v>3995</v>
      </c>
      <c r="R15" s="65" t="s">
        <v>3995</v>
      </c>
      <c r="S15" s="136" cm="1">
        <f t="array" ref="S15">SUMPRODUCT(
  --(RIGHT(AProVE!B3:B119,4)="_T.c"),
  --(
    IFERROR(VALUE(_xlfn.TEXTAFTER(AProVE!Q3:Q119,"/")),0)
    = 1
  ),
  --(
    IFERROR(VALUE(_xlfn.TEXTBEFORE(AProVE!Q3:Q119,"/")),0)
    = 0
  )
)</f>
        <v>27</v>
      </c>
      <c r="T15" s="65" cm="1">
        <f t="array" ref="T15">SUMPRODUCT(
  --(RIGHT(AProVE!B3:B119,4)="_T.c"),
  --(
    IFERROR(VALUE(_xlfn.TEXTAFTER(AProVE!Q3:Q119,"/")),0)
    = 1
  ),
  --(
    IFERROR(VALUE(_xlfn.TEXTBEFORE(AProVE!Q3:Q119,"/")),0)
    = 1
  )
)</f>
        <v>14</v>
      </c>
      <c r="U15" s="65" t="s">
        <v>3995</v>
      </c>
      <c r="V15" s="65" t="s">
        <v>3995</v>
      </c>
      <c r="W15" s="65" t="s">
        <v>3995</v>
      </c>
      <c r="X15" s="136" cm="1">
        <f t="array" ref="X15">SUMPRODUCT(
  --(RIGHT(CPAchecker!B3:B119,4)="_T.c"),
  --(
    IFERROR(VALUE(_xlfn.TEXTAFTER(CPAchecker!Q3:Q119,"/")),0)
    = 1
  ),
  --(
    IFERROR(VALUE(_xlfn.TEXTBEFORE(CPAchecker!Q3:Q119,"/")),0)
    = 0
  )
)</f>
        <v>28</v>
      </c>
      <c r="Y15" s="65" cm="1">
        <f t="array" ref="Y15">SUMPRODUCT(
  --(RIGHT(CPAchecker!B3:B119,4)="_T.c"),
  --(
    IFERROR(VALUE(_xlfn.TEXTAFTER(CPAchecker!Q3:Q119,"/")),0)
    = 1
  ),
  --(
    IFERROR(VALUE(_xlfn.TEXTBEFORE(CPAchecker!Q3:Q119,"/")),0)
    = 1
  )
)</f>
        <v>6</v>
      </c>
      <c r="Z15" s="65" t="s">
        <v>3995</v>
      </c>
      <c r="AA15" s="65" t="s">
        <v>3995</v>
      </c>
      <c r="AB15" s="65" t="s">
        <v>3995</v>
      </c>
      <c r="AC15" s="136" cm="1">
        <f t="array" ref="AC15">SUMPRODUCT(
  --(RIGHT('2LS'!B3:B119,4)="_T.c"),
  --(
    IFERROR(VALUE(_xlfn.TEXTAFTER('2LS'!Q3:Q119,"/")),0)
    = 1
  ),
  --(
    IFERROR(VALUE(_xlfn.TEXTBEFORE('2LS'!Q3:Q119,"/")),0)
    = 0
  )
)</f>
        <v>20</v>
      </c>
      <c r="AD15" s="65" cm="1">
        <f t="array" ref="AD15">SUMPRODUCT(
  --(RIGHT('2LS'!B3:B119,4)="_T.c"),
  --(
    IFERROR(VALUE(_xlfn.TEXTAFTER('2LS'!Q3:Q119,"/")),0)
    = 1
  ),
  --(
    IFERROR(VALUE(_xlfn.TEXTBEFORE('2LS'!Q3:Q119,"/")),0)
    = 1
  )
)</f>
        <v>21</v>
      </c>
      <c r="AE15" s="65" t="s">
        <v>3995</v>
      </c>
      <c r="AF15" s="65" t="s">
        <v>3995</v>
      </c>
      <c r="AG15" s="65" t="s">
        <v>3995</v>
      </c>
    </row>
    <row r="16" spans="2:33" ht="20" x14ac:dyDescent="0.2">
      <c r="B16" s="2">
        <v>2</v>
      </c>
      <c r="C16" s="4" cm="1">
        <f t="array" ref="C16">SUMPRODUCT(
  --(RIGHT(Athena!B3:B119,4)="_T.c"),
  --(
    IFERROR(VALUE(_xlfn.TEXTAFTER(Athena!Q3:Q119,"/")),0)
    = 2
  )
)</f>
        <v>14</v>
      </c>
      <c r="D16" s="4" cm="1">
        <f t="array" ref="D16">SUMPRODUCT(
  --(RIGHT(Athena!B3:B119,4)="_T.c"),
  --(
    IFERROR(VALUE(_xlfn.TEXTAFTER(Athena!Q3:Q119,"/")),0)
    = 2
  ),
  --(
    IFERROR(VALUE(_xlfn.TEXTBEFORE(Athena!Q3:Q119,"/")),0)
    = 0
  )
)</f>
        <v>5</v>
      </c>
      <c r="E16" s="2" cm="1">
        <f t="array" ref="E16">SUMPRODUCT(
  --(RIGHT(Athena!B3:B119,4)="_T.c"),
  --(
    IFERROR(VALUE(_xlfn.TEXTAFTER(Athena!Q3:Q119,"/")),0)
    = 2
  ),
  --(
    IFERROR(VALUE(_xlfn.TEXTBEFORE(Athena!Q3:Q119,"/")),0)
    = 1
  )
)</f>
        <v>3</v>
      </c>
      <c r="F16" s="2" cm="1">
        <f t="array" ref="F16">SUMPRODUCT(
  --(RIGHT(Athena!B3:B119,4)="_T.c"),
  --(
    IFERROR(VALUE(_xlfn.TEXTAFTER(Athena!Q3:Q119,"/")),0)
    = 2
  ),
  --(
    IFERROR(VALUE(_xlfn.TEXTBEFORE(Athena!Q3:Q119,"/")),0)
    = 2
  )
)</f>
        <v>6</v>
      </c>
      <c r="G16" s="2" t="s">
        <v>3995</v>
      </c>
      <c r="H16" s="2" t="s">
        <v>3995</v>
      </c>
      <c r="I16" s="137" cm="1">
        <f t="array" ref="I16">SUMPRODUCT(
  --(RIGHT(PROTON!B3:B119,4)="_T.c"),
  --(
    IFERROR(VALUE(_xlfn.TEXTAFTER(PROTON!Q3:Q119,"/")),0)
    = 2
  ),
  --(
    IFERROR(VALUE(_xlfn.TEXTBEFORE(PROTON!Q3:Q119,"/")),0)
    = 0
  )
)</f>
        <v>0</v>
      </c>
      <c r="J16" s="65" cm="1">
        <f t="array" ref="J16">SUMPRODUCT(
  --(RIGHT(PROTON!B3:B119,4)="_T.c"),
  --(
    IFERROR(VALUE(_xlfn.TEXTAFTER(PROTON!Q3:Q119,"/")),0)
    = 2
  ),
  --(
    IFERROR(VALUE(_xlfn.TEXTBEFORE(PROTON!Q3:Q119,"/")),0)
    = 1
  )
)</f>
        <v>0</v>
      </c>
      <c r="K16" s="65" cm="1">
        <f t="array" ref="K16">SUMPRODUCT(
  --(RIGHT(PROTON!B3:B119,4)="_T.c"),
  --(
    IFERROR(VALUE(_xlfn.TEXTAFTER(PROTON!Q3:Q119,"/")),0)
    = 2
  ),
  --(
    IFERROR(VALUE(_xlfn.TEXTBEFORE(PROTON!Q3:Q119,"/")),0)
    = 2
  )
)</f>
        <v>12</v>
      </c>
      <c r="L16" s="65" t="s">
        <v>3995</v>
      </c>
      <c r="M16" s="65" t="s">
        <v>3995</v>
      </c>
      <c r="N16" s="137" cm="1">
        <f t="array" ref="N16">SUMPRODUCT(
  --(RIGHT(UAutomizer!B3:B119,4)="_T.c"),
  --(
    IFERROR(VALUE(_xlfn.TEXTAFTER(UAutomizer!Q3:Q119,"/")),0)
    = 2
  ),
  --(
    IFERROR(VALUE(_xlfn.TEXTBEFORE(UAutomizer!Q3:Q119,"/")),0)
    = 0
  )
)</f>
        <v>2</v>
      </c>
      <c r="O16" s="65" cm="1">
        <f t="array" ref="O16">SUMPRODUCT(
  --(RIGHT(UAutomizer!B3:B119,4)="_T.c"),
  --(
    IFERROR(VALUE(_xlfn.TEXTAFTER(UAutomizer!Q3:Q119,"/")),0)
    = 2
  ),
  --(
    IFERROR(VALUE(_xlfn.TEXTBEFORE(UAutomizer!Q3:Q119,"/")),0)
    = 1
  )
)</f>
        <v>3</v>
      </c>
      <c r="P16" s="65" cm="1">
        <f t="array" ref="P16">SUMPRODUCT(
  --(RIGHT(UAutomizer!B3:B119,4)="_T.c"),
  --(
    IFERROR(VALUE(_xlfn.TEXTAFTER(UAutomizer!Q3:Q119,"/")),0)
    = 2
  ),
  --(
    IFERROR(VALUE(_xlfn.TEXTBEFORE(UAutomizer!Q3:Q119,"/")),0)
    = 2
  )
)</f>
        <v>9</v>
      </c>
      <c r="Q16" s="65" t="s">
        <v>3995</v>
      </c>
      <c r="R16" s="65" t="s">
        <v>3995</v>
      </c>
      <c r="S16" s="137" cm="1">
        <f t="array" ref="S16">SUMPRODUCT(
  --(RIGHT(AProVE!B3:B119,4)="_T.c"),
  --(
    IFERROR(VALUE(_xlfn.TEXTAFTER(AProVE!Q3:Q119,"/")),0)
    = 2
  ),
  --(
    IFERROR(VALUE(_xlfn.TEXTBEFORE(AProVE!Q3:Q119,"/")),0)
    = 0
  )
)</f>
        <v>5</v>
      </c>
      <c r="T16" s="65" cm="1">
        <f t="array" ref="T16">SUMPRODUCT(
  --(RIGHT(AProVE!B3:B119,4)="_T.c"),
  --(
    IFERROR(VALUE(_xlfn.TEXTAFTER(AProVE!Q3:Q119,"/")),0)
    = 2
  ),
  --(
    IFERROR(VALUE(_xlfn.TEXTBEFORE(AProVE!Q3:Q119,"/")),0)
    = 1
  )
)</f>
        <v>2</v>
      </c>
      <c r="U16" s="65" cm="1">
        <f t="array" ref="U16">SUMPRODUCT(
  --(RIGHT(AProVE!B3:B119,4)="_T.c"),
  --(
    IFERROR(VALUE(_xlfn.TEXTAFTER(AProVE!Q3:Q119,"/")),0)
    = 2
  ),
  --(
    IFERROR(VALUE(_xlfn.TEXTBEFORE(AProVE!Q3:Q119,"/")),0)
    = 2
  )
)</f>
        <v>7</v>
      </c>
      <c r="V16" s="65" t="s">
        <v>3995</v>
      </c>
      <c r="W16" s="65" t="s">
        <v>3995</v>
      </c>
      <c r="X16" s="137" cm="1">
        <f t="array" ref="X16">SUMPRODUCT(
  --(RIGHT(CPAchecker!B3:B119,4)="_T.c"),
  --(
    IFERROR(VALUE(_xlfn.TEXTAFTER(CPAchecker!Q3:Q119,"/")),0)
    = 2
  ),
  --(
    IFERROR(VALUE(_xlfn.TEXTBEFORE(CPAchecker!Q3:Q119,"/")),0)
    = 0
  )
)</f>
        <v>11</v>
      </c>
      <c r="Y16" s="65" cm="1">
        <f t="array" ref="Y16">SUMPRODUCT(
  --(RIGHT(CPAchecker!B3:B119,4)="_T.c"),
  --(
    IFERROR(VALUE(_xlfn.TEXTAFTER(CPAchecker!Q3:Q119,"/")),0)
    = 2
  ),
  --(
    IFERROR(VALUE(_xlfn.TEXTBEFORE(CPAchecker!Q3:Q119,"/")),0)
    = 1
  )
)</f>
        <v>0</v>
      </c>
      <c r="Z16" s="65" cm="1">
        <f t="array" ref="Z16">SUMPRODUCT(
  --(RIGHT(CPAchecker!B3:B119,4)="_T.c"),
  --(
    IFERROR(VALUE(_xlfn.TEXTAFTER(CPAchecker!Q3:Q119,"/")),0)
    = 2
  ),
  --(
    IFERROR(VALUE(_xlfn.TEXTBEFORE(CPAchecker!Q3:Q119,"/")),0)
    = 2
  )
)</f>
        <v>3</v>
      </c>
      <c r="AA16" s="65" t="s">
        <v>3995</v>
      </c>
      <c r="AB16" s="65" t="s">
        <v>3995</v>
      </c>
      <c r="AC16" s="137" cm="1">
        <f t="array" ref="AC16">SUMPRODUCT(
  --(RIGHT('2LS'!B3:B119,4)="_T.c"),
  --(
    IFERROR(VALUE(_xlfn.TEXTAFTER('2LS'!Q3:Q119,"/")),0)
    = 2
  ),
  --(
    IFERROR(VALUE(_xlfn.TEXTBEFORE('2LS'!Q3:Q119,"/")),0)
    = 0
  )
)</f>
        <v>6</v>
      </c>
      <c r="AD16" s="65" cm="1">
        <f t="array" ref="AD16">SUMPRODUCT(
  --(RIGHT('2LS'!B3:B119,4)="_T.c"),
  --(
    IFERROR(VALUE(_xlfn.TEXTAFTER('2LS'!Q3:Q119,"/")),0)
    = 2
  ),
  --(
    IFERROR(VALUE(_xlfn.TEXTBEFORE('2LS'!Q3:Q119,"/")),0)
    = 1
  )
)</f>
        <v>2</v>
      </c>
      <c r="AE16" s="65" cm="1">
        <f t="array" ref="AE16">SUMPRODUCT(
  --(RIGHT('2LS'!B3:B119,4)="_T.c"),
  --(
    IFERROR(VALUE(_xlfn.TEXTAFTER('2LS'!Q3:Q119,"/")),0)
    = 2
  ),
  --(
    IFERROR(VALUE(_xlfn.TEXTBEFORE('2LS'!Q3:Q119,"/")),0)
    = 2
  )
)</f>
        <v>6</v>
      </c>
      <c r="AF16" s="65" t="s">
        <v>3995</v>
      </c>
      <c r="AG16" s="65" t="s">
        <v>3995</v>
      </c>
    </row>
    <row r="17" spans="2:33" ht="20" x14ac:dyDescent="0.2">
      <c r="B17" s="2">
        <v>3</v>
      </c>
      <c r="C17" s="4" cm="1">
        <f t="array" ref="C17">SUMPRODUCT(
  --(RIGHT(Athena!B3:B119,4)="_T.c"),
  --(
    IFERROR(VALUE(_xlfn.TEXTAFTER(Athena!Q3:Q119,"/")),0)
    = 3
  )
)</f>
        <v>4</v>
      </c>
      <c r="D17" s="4" cm="1">
        <f t="array" ref="D17">SUMPRODUCT(
  --(RIGHT(Athena!B3:B119,4)="_T.c"),
  --(
    IFERROR(VALUE(_xlfn.TEXTAFTER(Athena!Q3:Q119,"/")),0)
    = 3
  ),
  --(
    IFERROR(VALUE(_xlfn.TEXTBEFORE(Athena!Q3:Q119,"/")),0)
    = 0
  )
)</f>
        <v>1</v>
      </c>
      <c r="E17" s="2" cm="1">
        <f t="array" ref="E17">SUMPRODUCT(
  --(RIGHT(Athena!B3:B119,4)="_T.c"),
  --(
    IFERROR(VALUE(_xlfn.TEXTAFTER(Athena!Q3:Q119,"/")),0)
    = 3
  ),
  --(
    IFERROR(VALUE(_xlfn.TEXTBEFORE(Athena!Q3:Q119,"/")),0)
    = 1
  )
)</f>
        <v>1</v>
      </c>
      <c r="F17" s="2" cm="1">
        <f t="array" ref="F17">SUMPRODUCT(
  --(RIGHT(Athena!B3:B119,4)="_T.c"),
  --(
    IFERROR(VALUE(_xlfn.TEXTAFTER(Athena!Q3:Q119,"/")),0)
    = 3
  ),
  --(
    IFERROR(VALUE(_xlfn.TEXTBEFORE(Athena!Q3:Q119,"/")),0)
    = 2
  )
)</f>
        <v>0</v>
      </c>
      <c r="G17" s="2" cm="1">
        <f t="array" ref="G17">SUMPRODUCT(
  --(RIGHT(Athena!B3:B119,4)="_T.c"),
  --(
    IFERROR(VALUE(_xlfn.TEXTAFTER(Athena!Q3:Q119,"/")),0)
    = 3
  ),
  --(
    IFERROR(VALUE(_xlfn.TEXTBEFORE(Athena!Q3:Q119,"/")),0)
    = 3
  )
)</f>
        <v>2</v>
      </c>
      <c r="H17" s="2" t="s">
        <v>3995</v>
      </c>
      <c r="I17" s="137" cm="1">
        <f t="array" ref="I17">SUMPRODUCT(
  --(RIGHT(PROTON!B3:B119,4)="_T.c"),
  --(
    IFERROR(VALUE(_xlfn.TEXTAFTER(PROTON!Q3:Q119,"/")),0)
    = 3
  ),
  --(
    IFERROR(VALUE(_xlfn.TEXTBEFORE(PROTON!Q3:Q119,"/")),0)
    = 0
  )
)</f>
        <v>0</v>
      </c>
      <c r="J17" s="65" cm="1">
        <f t="array" ref="J17">SUMPRODUCT(
  --(RIGHT(PROTON!B3:B119,4)="_T.c"),
  --(
    IFERROR(VALUE(_xlfn.TEXTAFTER(PROTON!Q3:Q119,"/")),0)
    = 3
  ),
  --(
    IFERROR(VALUE(_xlfn.TEXTBEFORE(PROTON!Q3:Q119,"/")),0)
    = 1
  )
)</f>
        <v>0</v>
      </c>
      <c r="K17" s="65" cm="1">
        <f t="array" ref="K17">SUMPRODUCT(
  --(RIGHT(PROTON!B3:B119,4)="_T.c"),
  --(
    IFERROR(VALUE(_xlfn.TEXTAFTER(PROTON!Q3:Q119,"/")),0)
    = 3
  ),
  --(
    IFERROR(VALUE(_xlfn.TEXTBEFORE(PROTON!Q3:Q119,"/")),0)
    = 2
  )
)</f>
        <v>1</v>
      </c>
      <c r="L17" s="65" cm="1">
        <f t="array" ref="L17">SUMPRODUCT(
  --(RIGHT(PROTON!B3:B119,4)="_T.c"),
  --(
    IFERROR(VALUE(_xlfn.TEXTAFTER(PROTON!Q3:Q119,"/")),0)
    = 3
  ),
  --(
    IFERROR(VALUE(_xlfn.TEXTBEFORE(PROTON!Q3:Q119,"/")),0)
    = 3
  )
)</f>
        <v>3</v>
      </c>
      <c r="M17" s="65" t="s">
        <v>3995</v>
      </c>
      <c r="N17" s="137" cm="1">
        <f t="array" ref="N17">SUMPRODUCT(
  --(RIGHT(UAutomizer!B3:B119,4)="_T.c"),
  --(
    IFERROR(VALUE(_xlfn.TEXTAFTER(UAutomizer!Q3:Q119,"/")),0)
    = 3
  ),
  --(
    IFERROR(VALUE(_xlfn.TEXTBEFORE(UAutomizer!Q3:Q119,"/")),0)
    = 0
  )
)</f>
        <v>0</v>
      </c>
      <c r="O17" s="65" cm="1">
        <f t="array" ref="O17">SUMPRODUCT(
  --(RIGHT(UAutomizer!B3:B119,4)="_T.c"),
  --(
    IFERROR(VALUE(_xlfn.TEXTAFTER(UAutomizer!Q3:Q119,"/")),0)
    = 3
  ),
  --(
    IFERROR(VALUE(_xlfn.TEXTBEFORE(UAutomizer!Q3:Q119,"/")),0)
    = 1
  )
)</f>
        <v>2</v>
      </c>
      <c r="P17" s="65" cm="1">
        <f t="array" ref="P17">SUMPRODUCT(
  --(RIGHT(UAutomizer!B3:B119,4)="_T.c"),
  --(
    IFERROR(VALUE(_xlfn.TEXTAFTER(UAutomizer!Q3:Q119,"/")),0)
    = 3
  ),
  --(
    IFERROR(VALUE(_xlfn.TEXTBEFORE(UAutomizer!Q3:Q119,"/")),0)
    = 2
  )
)</f>
        <v>1</v>
      </c>
      <c r="Q17" s="65" cm="1">
        <f t="array" ref="Q17">SUMPRODUCT(
  --(RIGHT(UAutomizer!B3:B119,4)="_T.c"),
  --(
    IFERROR(VALUE(_xlfn.TEXTAFTER(UAutomizer!Q3:Q119,"/")),0)
    = 3
  ),
  --(
    IFERROR(VALUE(_xlfn.TEXTBEFORE(UAutomizer!Q3:Q119,"/")),0)
    = 3
  )
)</f>
        <v>1</v>
      </c>
      <c r="R17" s="65" t="s">
        <v>3995</v>
      </c>
      <c r="S17" s="137" cm="1">
        <f t="array" ref="S17">SUMPRODUCT(
  --(RIGHT(AProVE!B3:B119,4)="_T.c"),
  --(
    IFERROR(VALUE(_xlfn.TEXTAFTER(AProVE!Q3:Q119,"/")),0)
    = 3
  ),
  --(
    IFERROR(VALUE(_xlfn.TEXTBEFORE(AProVE!Q3:Q119,"/")),0)
    = 0
  )
)</f>
        <v>0</v>
      </c>
      <c r="T17" s="65" cm="1">
        <f t="array" ref="T17">SUMPRODUCT(
  --(RIGHT(AProVE!B3:B119,4)="_T.c"),
  --(
    IFERROR(VALUE(_xlfn.TEXTAFTER(AProVE!Q3:Q119,"/")),0)
    = 3
  ),
  --(
    IFERROR(VALUE(_xlfn.TEXTBEFORE(AProVE!Q3:Q119,"/")),0)
    = 1
  )
)</f>
        <v>2</v>
      </c>
      <c r="U17" s="65" cm="1">
        <f t="array" ref="U17">SUMPRODUCT(
  --(RIGHT(AProVE!B3:B119,4)="_T.c"),
  --(
    IFERROR(VALUE(_xlfn.TEXTAFTER(AProVE!Q3:Q119,"/")),0)
    = 3
  ),
  --(
    IFERROR(VALUE(_xlfn.TEXTBEFORE(AProVE!Q3:Q119,"/")),0)
    = 2
  )
)</f>
        <v>1</v>
      </c>
      <c r="V17" s="65" cm="1">
        <f t="array" ref="V17">SUMPRODUCT(
  --(RIGHT(AProVE!B3:B119,4)="_T.c"),
  --(
    IFERROR(VALUE(_xlfn.TEXTAFTER(AProVE!Q3:Q119,"/")),0)
    = 3
  ),
  --(
    IFERROR(VALUE(_xlfn.TEXTBEFORE(AProVE!Q3:Q119,"/")),0)
    = 3
  )
)</f>
        <v>1</v>
      </c>
      <c r="W17" s="65" t="s">
        <v>3995</v>
      </c>
      <c r="X17" s="137" cm="1">
        <f t="array" ref="X17">SUMPRODUCT(
  --(RIGHT(CPAchecker!B3:B119,4)="_T.c"),
  --(
    IFERROR(VALUE(_xlfn.TEXTAFTER(CPAchecker!Q3:Q119,"/")),0)
    = 3
  ),
  --(
    IFERROR(VALUE(_xlfn.TEXTBEFORE(CPAchecker!Q3:Q119,"/")),0)
    = 0
  )
)</f>
        <v>3</v>
      </c>
      <c r="Y17" s="65" cm="1">
        <f t="array" ref="Y17">SUMPRODUCT(
  --(RIGHT(CPAchecker!B3:B119,4)="_T.c"),
  --(
    IFERROR(VALUE(_xlfn.TEXTAFTER(CPAchecker!Q3:Q119,"/")),0)
    = 3
  ),
  --(
    IFERROR(VALUE(_xlfn.TEXTBEFORE(CPAchecker!Q3:Q119,"/")),0)
    = 1
  )
)</f>
        <v>0</v>
      </c>
      <c r="Z17" s="65" cm="1">
        <f t="array" ref="Z17">SUMPRODUCT(
  --(RIGHT(CPAchecker!B3:B119,4)="_T.c"),
  --(
    IFERROR(VALUE(_xlfn.TEXTAFTER(CPAchecker!Q3:Q119,"/")),0)
    = 3
  ),
  --(
    IFERROR(VALUE(_xlfn.TEXTBEFORE(CPAchecker!Q3:Q119,"/")),0)
    = 2
  )
)</f>
        <v>1</v>
      </c>
      <c r="AA17" s="65" cm="1">
        <f t="array" ref="AA17">SUMPRODUCT(
  --(RIGHT(CPAchecker!B3:B119,4)="_T.c"),
  --(
    IFERROR(VALUE(_xlfn.TEXTAFTER(CPAchecker!Q3:Q119,"/")),0)
    = 3
  ),
  --(
    IFERROR(VALUE(_xlfn.TEXTBEFORE(CPAchecker!Q3:Q119,"/")),0)
    = 3
  )
)</f>
        <v>0</v>
      </c>
      <c r="AB17" s="65" t="s">
        <v>3995</v>
      </c>
      <c r="AC17" s="137" cm="1">
        <f t="array" ref="AC17">SUMPRODUCT(
  --(RIGHT('2LS'!B3:B119,4)="_T.c"),
  --(
    IFERROR(VALUE(_xlfn.TEXTAFTER('2LS'!Q3:Q119,"/")),0)
    = 3
  ),
  --(
    IFERROR(VALUE(_xlfn.TEXTBEFORE('2LS'!Q3:Q119,"/")),0)
    = 0
  )
)</f>
        <v>1</v>
      </c>
      <c r="AD17" s="65" cm="1">
        <f t="array" ref="AD17">SUMPRODUCT(
  --(RIGHT('2LS'!B3:B119,4)="_T.c"),
  --(
    IFERROR(VALUE(_xlfn.TEXTAFTER('2LS'!Q3:Q119,"/")),0)
    = 3
  ),
  --(
    IFERROR(VALUE(_xlfn.TEXTBEFORE('2LS'!Q3:Q119,"/")),0)
    = 1
  )
)</f>
        <v>1</v>
      </c>
      <c r="AE17" s="65" cm="1">
        <f t="array" ref="AE17">SUMPRODUCT(
  --(RIGHT('2LS'!B3:B119,4)="_T.c"),
  --(
    IFERROR(VALUE(_xlfn.TEXTAFTER('2LS'!Q3:Q119,"/")),0)
    = 3
  ),
  --(
    IFERROR(VALUE(_xlfn.TEXTBEFORE('2LS'!Q3:Q119,"/")),0)
    = 2
  )
)</f>
        <v>1</v>
      </c>
      <c r="AF17" s="65" cm="1">
        <f t="array" ref="AF17">SUMPRODUCT(
  --(RIGHT('2LS'!B3:B119,4)="_T.c"),
  --(
    IFERROR(VALUE(_xlfn.TEXTAFTER('2LS'!Q3:Q119,"/")),0)
    = 3
  ),
  --(
    IFERROR(VALUE(_xlfn.TEXTBEFORE('2LS'!Q3:Q119,"/")),0)
    = 3
  )
)</f>
        <v>1</v>
      </c>
      <c r="AG17" s="65" t="s">
        <v>3995</v>
      </c>
    </row>
    <row r="18" spans="2:33" ht="21" thickBot="1" x14ac:dyDescent="0.25">
      <c r="B18" s="5">
        <v>4</v>
      </c>
      <c r="C18" s="46" cm="1">
        <f t="array" ref="C18">SUMPRODUCT(
  --(RIGHT(Athena!B3:B119,4)="_T.c"),
  --(
    IFERROR(VALUE(_xlfn.TEXTAFTER(Athena!Q3:Q119,"/")),0)
    = 4
  )
)</f>
        <v>2</v>
      </c>
      <c r="D18" s="46" cm="1">
        <f t="array" ref="D18">SUMPRODUCT(
  --(RIGHT(Athena!B3:B119,4)="_T.c"),
  --(
    IFERROR(VALUE(_xlfn.TEXTAFTER(Athena!Q3:Q119,"/")),0)
    = 4
  ),
  --(
    IFERROR(VALUE(_xlfn.TEXTBEFORE(Athena!Q3:Q119,"/")),0)
    = 0
  )
)</f>
        <v>0</v>
      </c>
      <c r="E18" s="5" cm="1">
        <f t="array" ref="E18">SUMPRODUCT(
  --(RIGHT(Athena!B3:B119,4)="_T.c"),
  --(
    IFERROR(VALUE(_xlfn.TEXTAFTER(Athena!Q3:Q119,"/")),0)
    = 4
  ),
  --(
    IFERROR(VALUE(_xlfn.TEXTBEFORE(Athena!Q3:Q119,"/")),0)
    = 1
  )
)</f>
        <v>1</v>
      </c>
      <c r="F18" s="5" cm="1">
        <f t="array" ref="F18">SUMPRODUCT(
  --(RIGHT(Athena!B3:B119,4)="_T.c"),
  --(
    IFERROR(VALUE(_xlfn.TEXTAFTER(Athena!Q3:Q119,"/")),0)
    = 4
  ),
  --(
    IFERROR(VALUE(_xlfn.TEXTBEFORE(Athena!Q3:Q119,"/")),0)
    = 2
  )
)</f>
        <v>0</v>
      </c>
      <c r="G18" s="5" cm="1">
        <f t="array" ref="G18">SUMPRODUCT(
  --(RIGHT(Athena!B3:B119,4)="_T.c"),
  --(
    IFERROR(VALUE(_xlfn.TEXTAFTER(Athena!Q3:Q119,"/")),0)
    = 4
  ),
  --(
    IFERROR(VALUE(_xlfn.TEXTBEFORE(Athena!Q3:Q119,"/")),0)
    = 3
  )
)</f>
        <v>0</v>
      </c>
      <c r="H18" s="5" cm="1">
        <f t="array" ref="H18">SUMPRODUCT(
  --(RIGHT(Athena!B3:B119,4)="_T.c"),
  --(
    IFERROR(VALUE(_xlfn.TEXTAFTER(Athena!Q3:Q119,"/")),0)
    = 4
  ),
  --(
    IFERROR(VALUE(_xlfn.TEXTBEFORE(Athena!Q3:Q119,"/")),0)
    = 4
  )
)</f>
        <v>1</v>
      </c>
      <c r="I18" s="98" cm="1">
        <f t="array" ref="I18">SUMPRODUCT(
  --(RIGHT(PROTON!B3:B119,4)="_T.c"),
  --(
    IFERROR(VALUE(_xlfn.TEXTAFTER(PROTON!Q3:Q119,"/")),0)
    = 4
  ),
  --(
    IFERROR(VALUE(_xlfn.TEXTBEFORE(PROTON!Q3:Q119,"/")),0)
    = 0
  )
)</f>
        <v>0</v>
      </c>
      <c r="J18" s="99" cm="1">
        <f t="array" ref="J18">SUMPRODUCT(
  --(RIGHT(PROTON!B3:B119,4)="_T.c"),
  --(
    IFERROR(VALUE(_xlfn.TEXTAFTER(PROTON!Q3:Q119,"/")),0)
    = 4
  ),
  --(
    IFERROR(VALUE(_xlfn.TEXTBEFORE(PROTON!Q3:Q119,"/")),0)
    = 1
  )
)</f>
        <v>1</v>
      </c>
      <c r="K18" s="99" cm="1">
        <f t="array" ref="K18">SUMPRODUCT(
  --(RIGHT(PROTON!B3:B119,4)="_T.c"),
  --(
    IFERROR(VALUE(_xlfn.TEXTAFTER(PROTON!Q3:Q119,"/")),0)
    = 4
  ),
  --(
    IFERROR(VALUE(_xlfn.TEXTBEFORE(PROTON!Q3:Q119,"/")),0)
    = 2
  )
)</f>
        <v>0</v>
      </c>
      <c r="L18" s="99" cm="1">
        <f t="array" ref="L18">SUMPRODUCT(
  --(RIGHT(PROTON!B3:B119,4)="_T.c"),
  --(
    IFERROR(VALUE(_xlfn.TEXTAFTER(PROTON!Q3:Q119,"/")),0)
    = 4
  ),
  --(
    IFERROR(VALUE(_xlfn.TEXTBEFORE(PROTON!Q3:Q119,"/")),0)
    = 3
  )
)</f>
        <v>0</v>
      </c>
      <c r="M18" s="99" cm="1">
        <f t="array" ref="M18">SUMPRODUCT(
  --(RIGHT(PROTON!B3:B119,4)="_T.c"),
  --(
    IFERROR(VALUE(_xlfn.TEXTAFTER(PROTON!Q3:Q119,"/")),0)
    = 4
  ),
  --(
    IFERROR(VALUE(_xlfn.TEXTBEFORE(PROTON!Q3:Q119,"/")),0)
    = 4
  )
)</f>
        <v>1</v>
      </c>
      <c r="N18" s="98" cm="1">
        <f t="array" ref="N18">SUMPRODUCT(
  --(RIGHT(UAutomizer!B3:B119,4)="_T.c"),
  --(
    IFERROR(VALUE(_xlfn.TEXTAFTER(UAutomizer!Q3:Q119,"/")),0)
    = 4
  ),
  --(
    IFERROR(VALUE(_xlfn.TEXTBEFORE(UAutomizer!Q3:Q119,"/")),0)
    = 0
  )
)</f>
        <v>0</v>
      </c>
      <c r="O18" s="99" cm="1">
        <f t="array" ref="O18">SUMPRODUCT(
  --(RIGHT(UAutomizer!B3:B119,4)="_T.c"),
  --(
    IFERROR(VALUE(_xlfn.TEXTAFTER(UAutomizer!Q3:Q119,"/")),0)
    = 4
  ),
  --(
    IFERROR(VALUE(_xlfn.TEXTBEFORE(UAutomizer!Q3:Q119,"/")),0)
    = 1
  )
)</f>
        <v>1</v>
      </c>
      <c r="P18" s="99" cm="1">
        <f t="array" ref="P18">SUMPRODUCT(
  --(RIGHT(UAutomizer!B3:B119,4)="_T.c"),
  --(
    IFERROR(VALUE(_xlfn.TEXTAFTER(UAutomizer!Q3:Q119,"/")),0)
    = 4
  ),
  --(
    IFERROR(VALUE(_xlfn.TEXTBEFORE(UAutomizer!Q3:Q119,"/")),0)
    = 2
  )
)</f>
        <v>0</v>
      </c>
      <c r="Q18" s="99" cm="1">
        <f t="array" ref="Q18">SUMPRODUCT(
  --(RIGHT(UAutomizer!B3:B119,4)="_T.c"),
  --(
    IFERROR(VALUE(_xlfn.TEXTAFTER(UAutomizer!Q3:Q119,"/")),0)
    = 4
  ),
  --(
    IFERROR(VALUE(_xlfn.TEXTBEFORE(UAutomizer!Q3:Q119,"/")),0)
    = 3
  )
)</f>
        <v>0</v>
      </c>
      <c r="R18" s="99" cm="1">
        <f t="array" ref="R18">SUMPRODUCT(
  --(RIGHT(UAutomizer!B3:B119,4)="_T.c"),
  --(
    IFERROR(VALUE(_xlfn.TEXTAFTER(UAutomizer!Q3:Q119,"/")),0)
    = 4
  ),
  --(
    IFERROR(VALUE(_xlfn.TEXTBEFORE(UAutomizer!Q3:Q119,"/")),0)
    = 4
  )
)</f>
        <v>1</v>
      </c>
      <c r="S18" s="98" cm="1">
        <f t="array" ref="S18">SUMPRODUCT(
  --(RIGHT(AProVE!B3:B119,4)="_T.c"),
  --(
    IFERROR(VALUE(_xlfn.TEXTAFTER(AProVE!Q3:Q119,"/")),0)
    = 4
  ),
  --(
    IFERROR(VALUE(_xlfn.TEXTBEFORE(AProVE!Q3:Q119,"/")),0)
    = 0
  )
)</f>
        <v>1</v>
      </c>
      <c r="T18" s="99" cm="1">
        <f t="array" ref="T18">SUMPRODUCT(
  --(RIGHT(AProVE!B3:B119,4)="_T.c"),
  --(
    IFERROR(VALUE(_xlfn.TEXTAFTER(AProVE!Q3:Q119,"/")),0)
    = 4
  ),
  --(
    IFERROR(VALUE(_xlfn.TEXTBEFORE(AProVE!Q3:Q119,"/")),0)
    = 1
  )
)</f>
        <v>1</v>
      </c>
      <c r="U18" s="99" cm="1">
        <f t="array" ref="U18">SUMPRODUCT(
  --(RIGHT(AProVE!B3:B119,4)="_T.c"),
  --(
    IFERROR(VALUE(_xlfn.TEXTAFTER(AProVE!Q3:Q119,"/")),0)
    = 4
  ),
  --(
    IFERROR(VALUE(_xlfn.TEXTBEFORE(AProVE!Q3:Q119,"/")),0)
    = 2
  )
)</f>
        <v>0</v>
      </c>
      <c r="V18" s="99" cm="1">
        <f t="array" ref="V18">SUMPRODUCT(
  --(RIGHT(AProVE!B3:B119,4)="_T.c"),
  --(
    IFERROR(VALUE(_xlfn.TEXTAFTER(AProVE!Q3:Q119,"/")),0)
    = 4
  ),
  --(
    IFERROR(VALUE(_xlfn.TEXTBEFORE(AProVE!Q3:Q119,"/")),0)
    = 3
  )
)</f>
        <v>0</v>
      </c>
      <c r="W18" s="99" cm="1">
        <f t="array" ref="W18">SUMPRODUCT(
  --(RIGHT(AProVE!B3:B119,4)="_T.c"),
  --(
    IFERROR(VALUE(_xlfn.TEXTAFTER(AProVE!Q3:Q119,"/")),0)
    = 4
  ),
  --(
    IFERROR(VALUE(_xlfn.TEXTBEFORE(AProVE!Q3:Q119,"/")),0)
    = 4
  )
)</f>
        <v>0</v>
      </c>
      <c r="X18" s="98" cm="1">
        <f t="array" ref="X18">SUMPRODUCT(
  --(RIGHT(CPAchecker!B3:B119,4)="_T.c"),
  --(
    IFERROR(VALUE(_xlfn.TEXTAFTER(CPAchecker!Q3:Q119,"/")),0)
    = 4
  ),
  --(
    IFERROR(VALUE(_xlfn.TEXTBEFORE(CPAchecker!Q3:Q119,"/")),0)
    = 0
  )
)</f>
        <v>2</v>
      </c>
      <c r="Y18" s="99" cm="1">
        <f t="array" ref="Y18">SUMPRODUCT(
  --(RIGHT(CPAchecker!B3:B119,4)="_T.c"),
  --(
    IFERROR(VALUE(_xlfn.TEXTAFTER(CPAchecker!Q3:Q119,"/")),0)
    = 4
  ),
  --(
    IFERROR(VALUE(_xlfn.TEXTBEFORE(CPAchecker!Q3:Q119,"/")),0)
    = 1
  )
)</f>
        <v>0</v>
      </c>
      <c r="Z18" s="99" cm="1">
        <f t="array" ref="Z18">SUMPRODUCT(
  --(RIGHT(CPAchecker!B3:B119,4)="_T.c"),
  --(
    IFERROR(VALUE(_xlfn.TEXTAFTER(CPAchecker!Q3:Q119,"/")),0)
    = 4
  ),
  --(
    IFERROR(VALUE(_xlfn.TEXTBEFORE(CPAchecker!Q3:Q119,"/")),0)
    = 2
  )
)</f>
        <v>0</v>
      </c>
      <c r="AA18" s="99" cm="1">
        <f t="array" ref="AA18">SUMPRODUCT(
  --(RIGHT(CPAchecker!B3:B119,4)="_T.c"),
  --(
    IFERROR(VALUE(_xlfn.TEXTAFTER(CPAchecker!Q3:Q119,"/")),0)
    = 4
  ),
  --(
    IFERROR(VALUE(_xlfn.TEXTBEFORE(CPAchecker!Q3:Q119,"/")),0)
    = 3
  )
)</f>
        <v>0</v>
      </c>
      <c r="AB18" s="99" cm="1">
        <f t="array" ref="AB18">SUMPRODUCT(
  --(RIGHT(CPAchecker!B3:B119,4)="_T.c"),
  --(
    IFERROR(VALUE(_xlfn.TEXTAFTER(CPAchecker!Q3:Q119,"/")),0)
    = 4
  ),
  --(
    IFERROR(VALUE(_xlfn.TEXTBEFORE(CPAchecker!Q3:Q119,"/")),0)
    = 4
  )
)</f>
        <v>0</v>
      </c>
      <c r="AC18" s="98" cm="1">
        <f t="array" ref="AC18">SUMPRODUCT(
  --(RIGHT('2LS'!B3:B119,4)="_T.c"),
  --(
    IFERROR(VALUE(_xlfn.TEXTAFTER('2LS'!Q3:Q119,"/")),0)
    = 4
  ),
  --(
    IFERROR(VALUE(_xlfn.TEXTBEFORE('2LS'!Q3:Q119,"/")),0)
    = 0
  )
)</f>
        <v>0</v>
      </c>
      <c r="AD18" s="99" cm="1">
        <f t="array" ref="AD18">SUMPRODUCT(
  --(RIGHT('2LS'!B3:B119,4)="_T.c"),
  --(
    IFERROR(VALUE(_xlfn.TEXTAFTER('2LS'!Q3:Q119,"/")),0)
    = 4
  ),
  --(
    IFERROR(VALUE(_xlfn.TEXTBEFORE('2LS'!Q3:Q119,"/")),0)
    = 1
  )
)</f>
        <v>1</v>
      </c>
      <c r="AE18" s="99" cm="1">
        <f t="array" ref="AE18">SUMPRODUCT(
  --(RIGHT('2LS'!B3:B119,4)="_T.c"),
  --(
    IFERROR(VALUE(_xlfn.TEXTAFTER('2LS'!Q3:Q119,"/")),0)
    = 4
  ),
  --(
    IFERROR(VALUE(_xlfn.TEXTBEFORE('2LS'!Q3:Q119,"/")),0)
    = 2
  )
)</f>
        <v>0</v>
      </c>
      <c r="AF18" s="99" cm="1">
        <f t="array" ref="AF18">SUMPRODUCT(
  --(RIGHT('2LS'!B3:B119,4)="_T.c"),
  --(
    IFERROR(VALUE(_xlfn.TEXTAFTER('2LS'!Q3:Q119,"/")),0)
    = 4
  ),
  --(
    IFERROR(VALUE(_xlfn.TEXTBEFORE('2LS'!Q3:Q119,"/")),0)
    = 3
  )
)</f>
        <v>0</v>
      </c>
      <c r="AG18" s="99" cm="1">
        <f t="array" ref="AG18">SUMPRODUCT(
  --(RIGHT('2LS'!B3:B119,4)="_T.c"),
  --(
    IFERROR(VALUE(_xlfn.TEXTAFTER('2LS'!Q3:Q119,"/")),0)
    = 4
  ),
  --(
    IFERROR(VALUE(_xlfn.TEXTBEFORE('2LS'!Q3:Q119,"/")),0)
    = 4
  )
)</f>
        <v>1</v>
      </c>
    </row>
    <row r="19" spans="2:33" x14ac:dyDescent="0.2"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</row>
    <row r="20" spans="2:33" x14ac:dyDescent="0.2"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</row>
    <row r="21" spans="2:33" x14ac:dyDescent="0.2"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</row>
    <row r="22" spans="2:33" x14ac:dyDescent="0.2"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</row>
    <row r="23" spans="2:33" x14ac:dyDescent="0.2"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AC23" s="138"/>
      <c r="AD23" s="138"/>
      <c r="AE23" s="138"/>
      <c r="AF23" s="138"/>
      <c r="AG23" s="138"/>
    </row>
    <row r="24" spans="2:33" x14ac:dyDescent="0.2">
      <c r="AC24" s="138"/>
      <c r="AD24" s="138"/>
      <c r="AE24" s="138"/>
      <c r="AF24" s="138"/>
      <c r="AG24" s="138"/>
    </row>
    <row r="25" spans="2:33" x14ac:dyDescent="0.2">
      <c r="AC25" s="138"/>
      <c r="AD25" s="138"/>
      <c r="AE25" s="138"/>
      <c r="AF25" s="138"/>
      <c r="AG25" s="138"/>
    </row>
    <row r="26" spans="2:33" x14ac:dyDescent="0.2">
      <c r="AC26" s="138"/>
      <c r="AD26" s="138"/>
      <c r="AE26" s="138"/>
      <c r="AF26" s="138"/>
      <c r="AG26" s="138"/>
    </row>
    <row r="27" spans="2:33" x14ac:dyDescent="0.2">
      <c r="AC27" s="138"/>
      <c r="AD27" s="138"/>
      <c r="AE27" s="138"/>
      <c r="AF27" s="138"/>
      <c r="AG27" s="138"/>
    </row>
    <row r="28" spans="2:33" x14ac:dyDescent="0.2">
      <c r="AC28" s="138"/>
      <c r="AD28" s="138"/>
      <c r="AE28" s="138"/>
      <c r="AF28" s="138"/>
      <c r="AG28" s="138"/>
    </row>
  </sheetData>
  <mergeCells count="16">
    <mergeCell ref="AC13:AG13"/>
    <mergeCell ref="AC4:AG4"/>
    <mergeCell ref="X4:AB4"/>
    <mergeCell ref="S4:W4"/>
    <mergeCell ref="B13:B14"/>
    <mergeCell ref="C13:C14"/>
    <mergeCell ref="D13:H13"/>
    <mergeCell ref="I13:M13"/>
    <mergeCell ref="N13:R13"/>
    <mergeCell ref="N4:R4"/>
    <mergeCell ref="I4:M4"/>
    <mergeCell ref="D4:H4"/>
    <mergeCell ref="S13:W13"/>
    <mergeCell ref="X13:AB13"/>
    <mergeCell ref="B4:B5"/>
    <mergeCell ref="C4: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EC0E-B356-4151-8320-F7DCF8FA0E94}">
  <dimension ref="B2:Y66"/>
  <sheetViews>
    <sheetView zoomScale="80" zoomScaleNormal="80" workbookViewId="0"/>
  </sheetViews>
  <sheetFormatPr baseColWidth="10" defaultColWidth="20.83203125" defaultRowHeight="20" x14ac:dyDescent="0.25"/>
  <cols>
    <col min="1" max="1" width="5.83203125" style="12" customWidth="1"/>
    <col min="2" max="3" width="15.83203125" style="12" customWidth="1"/>
    <col min="4" max="4" width="10.83203125" style="12" customWidth="1"/>
    <col min="5" max="5" width="20.83203125" style="12"/>
    <col min="6" max="17" width="6.83203125" style="12" customWidth="1"/>
    <col min="18" max="18" width="7" style="12" customWidth="1"/>
    <col min="19" max="23" width="6.83203125" style="12" customWidth="1"/>
    <col min="24" max="24" width="5.83203125" style="12" customWidth="1"/>
    <col min="25" max="25" width="35.83203125" style="12" customWidth="1"/>
    <col min="26" max="29" width="20.83203125" style="12" customWidth="1"/>
    <col min="30" max="16384" width="20.83203125" style="12"/>
  </cols>
  <sheetData>
    <row r="2" spans="2:25" x14ac:dyDescent="0.25">
      <c r="B2" s="23" t="s">
        <v>3987</v>
      </c>
      <c r="C2" s="37"/>
      <c r="M2" s="19"/>
    </row>
    <row r="3" spans="2:25" ht="21" thickBot="1" x14ac:dyDescent="0.3">
      <c r="M3" s="17"/>
    </row>
    <row r="4" spans="2:25" x14ac:dyDescent="0.25">
      <c r="B4" s="221" t="s">
        <v>126</v>
      </c>
      <c r="C4" s="221"/>
      <c r="D4" s="221"/>
      <c r="E4" s="193" t="s">
        <v>124</v>
      </c>
      <c r="F4" s="188" t="s">
        <v>144</v>
      </c>
      <c r="G4" s="189"/>
      <c r="H4" s="189"/>
      <c r="I4" s="188" t="s">
        <v>116</v>
      </c>
      <c r="J4" s="189"/>
      <c r="K4" s="190"/>
      <c r="L4" s="188" t="s">
        <v>109</v>
      </c>
      <c r="M4" s="189"/>
      <c r="N4" s="190"/>
      <c r="O4" s="188" t="s">
        <v>108</v>
      </c>
      <c r="P4" s="189"/>
      <c r="Q4" s="190"/>
      <c r="R4" s="188" t="s">
        <v>110</v>
      </c>
      <c r="S4" s="189"/>
      <c r="T4" s="190"/>
      <c r="U4" s="219" t="s">
        <v>111</v>
      </c>
      <c r="V4" s="220"/>
      <c r="W4" s="220"/>
    </row>
    <row r="5" spans="2:25" ht="21" thickBot="1" x14ac:dyDescent="0.3">
      <c r="B5" s="222"/>
      <c r="C5" s="222"/>
      <c r="D5" s="222"/>
      <c r="E5" s="205"/>
      <c r="F5" s="41" t="s">
        <v>3974</v>
      </c>
      <c r="G5" s="42" t="s">
        <v>118</v>
      </c>
      <c r="H5" s="42" t="s">
        <v>117</v>
      </c>
      <c r="I5" s="41" t="s">
        <v>3974</v>
      </c>
      <c r="J5" s="42" t="s">
        <v>118</v>
      </c>
      <c r="K5" s="42" t="s">
        <v>117</v>
      </c>
      <c r="L5" s="41" t="s">
        <v>3974</v>
      </c>
      <c r="M5" s="42" t="s">
        <v>118</v>
      </c>
      <c r="N5" s="42" t="s">
        <v>117</v>
      </c>
      <c r="O5" s="41" t="s">
        <v>3974</v>
      </c>
      <c r="P5" s="42" t="s">
        <v>118</v>
      </c>
      <c r="Q5" s="42" t="s">
        <v>117</v>
      </c>
      <c r="R5" s="41" t="s">
        <v>3974</v>
      </c>
      <c r="S5" s="42" t="s">
        <v>118</v>
      </c>
      <c r="T5" s="42" t="s">
        <v>117</v>
      </c>
      <c r="U5" s="41" t="s">
        <v>3974</v>
      </c>
      <c r="V5" s="42" t="s">
        <v>118</v>
      </c>
      <c r="W5" s="42" t="s">
        <v>117</v>
      </c>
      <c r="Y5" s="12" t="s">
        <v>3979</v>
      </c>
    </row>
    <row r="6" spans="2:25" x14ac:dyDescent="0.25">
      <c r="B6" s="225" t="s">
        <v>120</v>
      </c>
      <c r="C6" s="225"/>
      <c r="D6" s="214">
        <f>COUNTIFS(Athena!B3:B119,"*_NT.c", Athena!AU3:AU119,"*Pointer*")</f>
        <v>7</v>
      </c>
      <c r="E6" s="38" t="s">
        <v>114</v>
      </c>
      <c r="F6" s="35">
        <f>COUNTIFS(Athena!B3:B119,"*_NT.c", Athena!D3:D119,"correct", Athena!G3:G119,"&gt;0", Athena!AU3:AU119,"*Pointer*")</f>
        <v>4</v>
      </c>
      <c r="G6" s="35">
        <f>COUNTIFS(Athena!B3:B119,"*_NT.c", Athena!D3:D119,"correct", Athena!G3:G119,"=0", Athena!AU3:AU119,"*Pointer*")</f>
        <v>3</v>
      </c>
      <c r="H6" s="35">
        <f>COUNTIFS(Athena!B3:B119,"*_NT.c", Athena!D3:D119,"wrong", Athena!AU3:AU119,"*Pointer*")</f>
        <v>0</v>
      </c>
      <c r="I6" s="33">
        <f>COUNTIFS(PROTON!B3:B119,"*_NT.c", PROTON!D3:D119,"correct", PROTON!G3:G119,"&gt;0", PROTON!AU3:AU119,"*Pointer*")</f>
        <v>4</v>
      </c>
      <c r="J6" s="35">
        <f>COUNTIFS(PROTON!B3:B119,"*_NT.c", PROTON!D3:D119,"correct", PROTON!G3:G119,"=0", PROTON!AU3:AU119,"*Pointer*")</f>
        <v>3</v>
      </c>
      <c r="K6" s="35">
        <f>COUNTIFS(PROTON!B3:B119,"*_NT.c", PROTON!D3:D119,"wrong", PROTON!AU3:AU119,"*Pointer*")</f>
        <v>0</v>
      </c>
      <c r="L6" s="33">
        <f>COUNTIFS(UAutomizer!B3:B119,"*_NT.c", UAutomizer!D3:D119,"correct", UAutomizer!G3:G119,"&gt;0", UAutomizer!AU3:AU119,"*Pointer*")</f>
        <v>2</v>
      </c>
      <c r="M6" s="35">
        <f>COUNTIFS(UAutomizer!B3:B119,"*_NT.c", UAutomizer!D3:D119,"correct", UAutomizer!G3:G119,"=0", UAutomizer!AU3:AU119,"*Pointer*")</f>
        <v>5</v>
      </c>
      <c r="N6" s="35">
        <f>COUNTIFS(UAutomizer!B3:B119,"*_NT.c", UAutomizer!D3:D119,"wrong", UAutomizer!AU3:AU119,"*Pointer*")</f>
        <v>0</v>
      </c>
      <c r="O6" s="33">
        <f>COUNTIFS(AProVE!B3:B119,"*_NT.c", AProVE!D3:D119,"correct", AProVE!G3:G119,"&gt;0", AProVE!AU3:AU119,"*Pointer*")</f>
        <v>0</v>
      </c>
      <c r="P6" s="35">
        <f>COUNTIFS(AProVE!B3:B119,"*_NT.c", AProVE!D3:D119,"correct", AProVE!G3:G119,"=0", AProVE!AU3:AU119,"*Pointer*")</f>
        <v>7</v>
      </c>
      <c r="Q6" s="35">
        <f>COUNTIFS(AProVE!B3:B119,"*_NT.c", AProVE!D3:D119,"wrong", AProVE!AU3:AU119,"*Pointer*")</f>
        <v>0</v>
      </c>
      <c r="R6" s="33">
        <f>COUNTIFS(CPAchecker!B3:B119,"*_NT.c", CPAchecker!D3:D119,"correct", CPAchecker!G3:G119,"&gt;0", CPAchecker!AU3:AU119,"*Pointer*")</f>
        <v>0</v>
      </c>
      <c r="S6" s="35">
        <f>COUNTIFS(CPAchecker!B3:B119,"*_NT.c", CPAchecker!D3:D119,"correct", CPAchecker!G3:G119,"=0", CPAchecker!AU3:AU119,"*Pointer*")</f>
        <v>7</v>
      </c>
      <c r="T6" s="35">
        <f>COUNTIFS(CPAchecker!B3:B119,"*_NT.c", CPAchecker!D3:D119,"wrong", CPAchecker!AU3:AU119,"*Pointer*")</f>
        <v>0</v>
      </c>
      <c r="U6" s="33">
        <f>COUNTIFS('2LS'!B3:B119,"*_NT.c", '2LS'!D3:D119,"correct", '2LS'!G3:G119,"&gt;0", '2LS'!AU3:AU119,"*Pointer*")</f>
        <v>0</v>
      </c>
      <c r="V6" s="35">
        <f>COUNTIFS('2LS'!B3:B119,"*_NT.c", '2LS'!D3:D119,"correct", '2LS'!G3:G119,"=0", '2LS'!AU3:AU119,"*Pointer*")</f>
        <v>7</v>
      </c>
      <c r="W6" s="35">
        <f>COUNTIFS('2LS'!B3:B119,"*_NT.c", '2LS'!D3:D119,"wrong", '2LS'!AU3:AU119,"*Pointer*")</f>
        <v>0</v>
      </c>
      <c r="Y6" s="12" t="s">
        <v>3980</v>
      </c>
    </row>
    <row r="7" spans="2:25" x14ac:dyDescent="0.25">
      <c r="B7" s="226"/>
      <c r="C7" s="226"/>
      <c r="D7" s="215"/>
      <c r="E7" s="30" t="s">
        <v>115</v>
      </c>
      <c r="F7" s="34">
        <f>COUNTIFS(Athena!B3:B119,"*_NT.c", Athena!O3:O119,"correct", Athena!R3:R119,"&gt;0", Athena!AU3:AU119,"*Pointer*")</f>
        <v>2</v>
      </c>
      <c r="G7" s="34">
        <f>COUNTIFS(Athena!B3:B119,"*_NT.c", Athena!O3:O119,"correct", Athena!R3:R119,"=0", Athena!AU3:AU119,"*Pointer*")</f>
        <v>5</v>
      </c>
      <c r="H7" s="34">
        <f>COUNTIFS(Athena!B3:B119,"*_NT.c", Athena!O3:O119,"wrong", Athena!AU3:AU119,"*Pointer*")</f>
        <v>0</v>
      </c>
      <c r="I7" s="29">
        <f>COUNTIFS(PROTON!B3:B119,"*_NT.c", PROTON!O3:O119,"correct", PROTON!R3:R119,"&gt;0", PROTON!AU3:AU119,"*Pointer*")</f>
        <v>5</v>
      </c>
      <c r="J7" s="34">
        <f>COUNTIFS(PROTON!B3:B119,"*_NT.c", PROTON!O3:O119,"correct", PROTON!R3:R119,"=0", PROTON!AU3:AU119,"*Pointer*")</f>
        <v>2</v>
      </c>
      <c r="K7" s="34">
        <f>COUNTIFS(PROTON!B3:B119,"*_NT.c", PROTON!O3:O119,"wrong", PROTON!AU3:AU119,"*Pointer*")</f>
        <v>0</v>
      </c>
      <c r="L7" s="29">
        <f>COUNTIFS(UAutomizer!B3:B119,"*_NT.c", UAutomizer!O3:O119,"correct", UAutomizer!R3:R119,"&gt;0", UAutomizer!AU3:AU119,"*Pointer*")</f>
        <v>2</v>
      </c>
      <c r="M7" s="34">
        <f>COUNTIFS(UAutomizer!B3:B119,"*_NT.c", UAutomizer!O3:O119,"correct", UAutomizer!R3:R119,"=0", UAutomizer!AU3:AU119,"*Pointer*")</f>
        <v>5</v>
      </c>
      <c r="N7" s="34">
        <f>COUNTIFS(UAutomizer!B3:B119,"*_NT.c", UAutomizer!O3:O119,"wrong", UAutomizer!AU3:AU119,"*Pointer*")</f>
        <v>0</v>
      </c>
      <c r="O7" s="29">
        <f>COUNTIFS(AProVE!B3:B119,"*_NT.c", AProVE!O3:O119,"correct", AProVE!R3:R119,"&gt;0", AProVE!AU3:AU119,"*Pointer*")</f>
        <v>0</v>
      </c>
      <c r="P7" s="34">
        <f>COUNTIFS(AProVE!B3:B119,"*_NT.c", AProVE!O3:O119,"correct", AProVE!R3:R119,"=0", AProVE!AU3:AU119,"*Pointer*")</f>
        <v>7</v>
      </c>
      <c r="Q7" s="34">
        <f>COUNTIFS(AProVE!B3:B119,"*_NT.c", AProVE!O3:O119,"wrong", AProVE!AU3:AU119,"*Pointer*")</f>
        <v>0</v>
      </c>
      <c r="R7" s="29">
        <f>COUNTIFS(CPAchecker!B3:B119,"*_NT.c", CPAchecker!O3:O119,"correct", CPAchecker!R3:R119,"&gt;0", CPAchecker!AU3:AU119,"*Pointer*")</f>
        <v>0</v>
      </c>
      <c r="S7" s="34">
        <f>COUNTIFS(CPAchecker!B3:B119,"*_NT.c", CPAchecker!O3:O119,"correct", CPAchecker!R3:R119,"=0", CPAchecker!AU3:AU119,"*Pointer*")</f>
        <v>7</v>
      </c>
      <c r="T7" s="34">
        <f>COUNTIFS(CPAchecker!B3:B119,"*_NT.c", CPAchecker!O3:O119,"wrong", CPAchecker!AU3:AU119,"*Pointer*")</f>
        <v>0</v>
      </c>
      <c r="U7" s="29">
        <f>COUNTIFS('2LS'!B3:B119,"*_NT.c", '2LS'!O3:O119,"correct", '2LS'!R3:R119,"&gt;0", '2LS'!AU3:AU119,"*Pointer*")</f>
        <v>0</v>
      </c>
      <c r="V7" s="34">
        <f>COUNTIFS('2LS'!B3:B119,"*_NT.c", '2LS'!O3:O119,"correct", '2LS'!R3:R119,"=0", '2LS'!AU3:AU119,"*Pointer*")</f>
        <v>6</v>
      </c>
      <c r="W7" s="34">
        <f>COUNTIFS('2LS'!B3:B119,"*_NT.c", '2LS'!O3:O119,"wrong", '2LS'!AU3:AU119,"*Pointer*")</f>
        <v>1</v>
      </c>
      <c r="Y7" s="12" t="s">
        <v>3975</v>
      </c>
    </row>
    <row r="8" spans="2:25" x14ac:dyDescent="0.25">
      <c r="B8" s="226"/>
      <c r="C8" s="226"/>
      <c r="D8" s="215"/>
      <c r="E8" s="30" t="s">
        <v>152</v>
      </c>
      <c r="F8" s="34">
        <f>COUNTIFS(Athena!B3:B119,"*_NT.c", Athena!Z3:Z119,"correct", Athena!AC3:AC119,"&gt;0", Athena!AU3:AU119,"*Pointer*")</f>
        <v>2</v>
      </c>
      <c r="G8" s="34">
        <f>COUNTIFS(Athena!B3:B119,"*_NT.c", Athena!Z3:Z119,"correct", Athena!AC3:AC119,"=0", Athena!AU3:AU119,"*Pointer*")</f>
        <v>5</v>
      </c>
      <c r="H8" s="34">
        <f>COUNTIFS(Athena!B3:B119,"*_NT.c", Athena!Z3:Z119,"wrong", Athena!AU3:AU119,"*Pointer*")</f>
        <v>0</v>
      </c>
      <c r="I8" s="29">
        <f>COUNTIFS(PROTON!B3:B119,"*_NT.c", PROTON!Z3:Z119,"correct", PROTON!AC3:AC119,"&gt;0", PROTON!AU3:AU119,"*Pointer*")</f>
        <v>6</v>
      </c>
      <c r="J8" s="34">
        <f>COUNTIFS(PROTON!B3:B119,"*_NT.c", PROTON!Z3:Z119,"correct", PROTON!AC3:AC119,"=0", PROTON!AU3:AU119,"*Pointer*")</f>
        <v>1</v>
      </c>
      <c r="K8" s="34">
        <f>COUNTIFS(PROTON!B3:B119,"*_NT.c", PROTON!Z3:Z119,"wrong", PROTON!AU3:AU119,"*Pointer*")</f>
        <v>0</v>
      </c>
      <c r="L8" s="29">
        <f>COUNTIFS(UAutomizer!B3:B119,"*_NT.c", UAutomizer!Z3:Z119,"correct", UAutomizer!AC3:AC119,"&gt;0", UAutomizer!AU3:AU119,"*Pointer*")</f>
        <v>2</v>
      </c>
      <c r="M8" s="34">
        <f>COUNTIFS(UAutomizer!B3:B119,"*_NT.c", UAutomizer!Z3:Z119,"correct", UAutomizer!AC3:AC119,"=0", UAutomizer!AU3:AU119,"*Pointer*")</f>
        <v>3</v>
      </c>
      <c r="N8" s="34">
        <f>COUNTIFS(UAutomizer!B3:B119,"*_NT.c", UAutomizer!Z3:Z119,"wrong", UAutomizer!AU3:AU119,"*Pointer*")</f>
        <v>2</v>
      </c>
      <c r="O8" s="29">
        <f>COUNTIFS(AProVE!B3:B119,"*_NT.c", AProVE!Z3:Z119,"correct", AProVE!AC3:AC119,"&gt;0", AProVE!AU3:AU119,"*Pointer*")</f>
        <v>2</v>
      </c>
      <c r="P8" s="34">
        <f>COUNTIFS(AProVE!B3:B119,"*_NT.c", AProVE!Z3:Z119,"correct", AProVE!AC3:AC119,"=0", AProVE!AU3:AU119,"*Pointer*")</f>
        <v>5</v>
      </c>
      <c r="Q8" s="34">
        <f>COUNTIFS(AProVE!B3:B119,"*_NT.c", AProVE!Z3:Z119,"wrong", AProVE!AU3:AU119,"*Pointer*")</f>
        <v>0</v>
      </c>
      <c r="R8" s="29">
        <f>COUNTIFS(CPAchecker!B3:B119,"*_NT.c", CPAchecker!Z3:Z119,"correct", CPAchecker!AC3:AC119,"&gt;0", CPAchecker!AU3:AU119,"*Pointer*")</f>
        <v>0</v>
      </c>
      <c r="S8" s="34">
        <f>COUNTIFS(CPAchecker!B3:B119,"*_NT.c", CPAchecker!Z3:Z119,"correct", CPAchecker!AC3:AC119,"=0", CPAchecker!AU3:AU119,"*Pointer*")</f>
        <v>7</v>
      </c>
      <c r="T8" s="34">
        <f>COUNTIFS(CPAchecker!B3:B119,"*_NT.c", CPAchecker!Z3:Z119,"wrong", CPAchecker!AU3:AU119,"*Pointer*")</f>
        <v>0</v>
      </c>
      <c r="U8" s="29">
        <f>COUNTIFS('2LS'!B3:B119,"*_NT.c", '2LS'!Z3:Z119,"correct", '2LS'!AC3:AC119,"&gt;0", '2LS'!AU3:AU119,"*Pointer*")</f>
        <v>1</v>
      </c>
      <c r="V8" s="34">
        <f>COUNTIFS('2LS'!B3:B119,"*_NT.c", '2LS'!Z3:Z119,"correct", '2LS'!AC3:AC119,"=0", '2LS'!AU3:AU119,"*Pointer*")</f>
        <v>6</v>
      </c>
      <c r="W8" s="34">
        <f>COUNTIFS('2LS'!B3:B119,"*_NT.c", '2LS'!Z3:Z119,"wrong", '2LS'!AU3:AU119,"*Pointer*")</f>
        <v>0</v>
      </c>
    </row>
    <row r="9" spans="2:25" x14ac:dyDescent="0.25">
      <c r="B9" s="226"/>
      <c r="C9" s="226"/>
      <c r="D9" s="215"/>
      <c r="E9" s="31" t="s">
        <v>153</v>
      </c>
      <c r="F9" s="55">
        <f>COUNTIFS(Athena!B3:B119,"*_NT.c", Athena!AK3:AK119,"correct", Athena!AN3:AN119,"&gt;0", Athena!AU3:AU119,"*Pointer*")</f>
        <v>1</v>
      </c>
      <c r="G9" s="54">
        <f>COUNTIFS(Athena!B3:B119,"*_NT.c", Athena!AK3:AK119,"correct", Athena!AN3:AN119,"=0", Athena!AU3:AU119,"*Pointer*")</f>
        <v>6</v>
      </c>
      <c r="H9" s="54">
        <f>COUNTIFS(Athena!B3:B119,"*_NT.c", Athena!AK3:AK119,"wrong", Athena!AU3:AU119,"*Pointer*")</f>
        <v>0</v>
      </c>
      <c r="I9" s="55">
        <f>COUNTIFS(PROTON!B3:B119,"*_NT.c", PROTON!AK3:AK119,"correct", PROTON!AN3:AN119,"&gt;0", PROTON!AU3:AU119,"*Pointer*")</f>
        <v>6</v>
      </c>
      <c r="J9" s="54">
        <f>COUNTIFS(PROTON!B3:B119,"*_NT.c", PROTON!AK3:AK119,"correct", PROTON!AN3:AN119,"=0", PROTON!AU3:AU119,"*Pointer*")</f>
        <v>0</v>
      </c>
      <c r="K9" s="54">
        <f>COUNTIFS(PROTON!B3:B119,"*_NT.c", PROTON!AK3:AK119,"wrong", PROTON!AU3:AU119,"*Pointer*")</f>
        <v>1</v>
      </c>
      <c r="L9" s="55">
        <f>COUNTIFS(UAutomizer!B3:B119,"*_NT.c", UAutomizer!AK3:AK119,"correct", UAutomizer!AN3:AN119,"&gt;0", UAutomizer!AU3:AU119,"*Pointer*")</f>
        <v>2</v>
      </c>
      <c r="M9" s="54">
        <f>COUNTIFS(UAutomizer!B3:B119,"*_NT.c", UAutomizer!AK3:AK119,"correct", UAutomizer!AN3:AN119,"=0", UAutomizer!AU3:AU119,"*Pointer*")</f>
        <v>3</v>
      </c>
      <c r="N9" s="54">
        <f>COUNTIFS(UAutomizer!B3:B119,"*_NT.c", UAutomizer!AK3:AK119,"wrong", UAutomizer!AU3:AU119,"*Pointer*")</f>
        <v>2</v>
      </c>
      <c r="O9" s="55">
        <f>COUNTIFS(AProVE!B3:B119,"*_NT.c", AProVE!AK3:AK119,"correct", AProVE!AN3:AN119,"&gt;0", AProVE!AU3:AU119,"*Pointer*")</f>
        <v>2</v>
      </c>
      <c r="P9" s="54">
        <f>COUNTIFS(AProVE!B3:B119,"*_NT.c", AProVE!AK3:AK119,"correct", AProVE!AN3:AN119,"=0", AProVE!AU3:AU119,"*Pointer*")</f>
        <v>5</v>
      </c>
      <c r="Q9" s="54">
        <f>COUNTIFS(AProVE!B3:B119,"*_NT.c", AProVE!AK3:AK119,"wrong", AProVE!AU3:AU119,"*Pointer*")</f>
        <v>0</v>
      </c>
      <c r="R9" s="55">
        <f>COUNTIFS(CPAchecker!B3:B119,"*_NT.c", CPAchecker!AK3:AK119,"correct", CPAchecker!AN3:AN119,"&gt;0", CPAchecker!AU3:AU119,"*Pointer*")</f>
        <v>0</v>
      </c>
      <c r="S9" s="54">
        <f>COUNTIFS(CPAchecker!B3:B119,"*_NT.c", CPAchecker!AK3:AK119,"correct", CPAchecker!AN3:AN119,"=0", CPAchecker!AU3:AU119,"*Pointer*")</f>
        <v>7</v>
      </c>
      <c r="T9" s="54">
        <f>COUNTIFS(CPAchecker!B3:B119,"*_NT.c", CPAchecker!AK3:AK119,"wrong", CPAchecker!AU3:AU119,"*Pointer*")</f>
        <v>0</v>
      </c>
      <c r="U9" s="55">
        <f>COUNTIFS('2LS'!B3:B119,"*_NT.c", '2LS'!AK3:AK119,"correct", '2LS'!AN3:AN119,"&gt;0", '2LS'!AU3:AU119,"*Pointer*")</f>
        <v>1</v>
      </c>
      <c r="V9" s="54">
        <f>COUNTIFS('2LS'!B3:B119,"*_NT.c", '2LS'!AK3:AK119,"correct", '2LS'!AN3:AN119,"=0", '2LS'!AU3:AU119,"*Pointer*")</f>
        <v>5</v>
      </c>
      <c r="W9" s="54">
        <f>COUNTIFS('2LS'!B3:B119,"*_NT.c", '2LS'!AK3:AK119,"wrong", '2LS'!AU3:AU119,"*Pointer*")</f>
        <v>1</v>
      </c>
    </row>
    <row r="10" spans="2:25" ht="19.5" customHeight="1" x14ac:dyDescent="0.25">
      <c r="B10" s="208" t="s">
        <v>93</v>
      </c>
      <c r="C10" s="208"/>
      <c r="D10" s="211">
        <f>COUNTIFS(Athena!B3:B119,"*_NT.c", Athena!AU3:AU119,"*Array*")</f>
        <v>8</v>
      </c>
      <c r="E10" s="110" t="s">
        <v>114</v>
      </c>
      <c r="F10" s="106">
        <f>COUNTIFS(Athena!B3:B119,"*_NT.c", Athena!D3:D119,"correct", Athena!G3:G119,"&gt;0", Athena!AU3:AU119,"*Array*")</f>
        <v>4</v>
      </c>
      <c r="G10" s="106">
        <f>COUNTIFS(Athena!B3:B119,"*_NT.c", Athena!D3:D119,"correct", Athena!G3:G119,"=0", Athena!AU3:AU119,"*Array*")</f>
        <v>4</v>
      </c>
      <c r="H10" s="106">
        <f>COUNTIFS(Athena!B3:B119,"*_NT.c", Athena!D3:D119,"wrong", Athena!AU3:AU119,"*Array*")</f>
        <v>0</v>
      </c>
      <c r="I10" s="107">
        <f>COUNTIFS(PROTON!B3:B119,"*_NT.c", PROTON!D3:D119,"correct", PROTON!G3:G119,"&gt;0", PROTON!AU3:AU119,"*Array*")</f>
        <v>3</v>
      </c>
      <c r="J10" s="106">
        <f>COUNTIFS(PROTON!B3:B119,"*_NT.c", PROTON!D3:D119,"correct", PROTON!G3:G119,"=0", PROTON!AU3:AU119,"*Array*")</f>
        <v>5</v>
      </c>
      <c r="K10" s="106">
        <f>COUNTIFS(PROTON!B3:B119,"*_NT.c", PROTON!D3:D119,"wrong", PROTON!AU3:AU119,"*Array*")</f>
        <v>0</v>
      </c>
      <c r="L10" s="107">
        <f>COUNTIFS(UAutomizer!B3:B119,"*_NT.c", UAutomizer!D3:D119,"correct", UAutomizer!G3:G119,"&gt;0", UAutomizer!AU3:AU119,"*Array*")</f>
        <v>2</v>
      </c>
      <c r="M10" s="106">
        <f>COUNTIFS(UAutomizer!B3:B119,"*_NT.c", UAutomizer!D3:D119,"correct", UAutomizer!G3:G119,"=0", UAutomizer!AU3:AU119,"*Array*")</f>
        <v>6</v>
      </c>
      <c r="N10" s="106">
        <f>COUNTIFS(UAutomizer!B3:B119,"*_NT.c", UAutomizer!D3:D119,"wrong", UAutomizer!AU3:AU119,"*Array*")</f>
        <v>0</v>
      </c>
      <c r="O10" s="107">
        <f>COUNTIFS(AProVE!B3:B119,"*_NT.c", AProVE!D3:D119,"correct", AProVE!G3:G119,"&gt;0", AProVE!AU3:AU119,"*Array*")</f>
        <v>0</v>
      </c>
      <c r="P10" s="106">
        <f>COUNTIFS(AProVE!B3:B119,"*_NT.c", AProVE!D3:D119,"correct", AProVE!G3:G119,"=0", AProVE!AU3:AU119,"*Array*")</f>
        <v>8</v>
      </c>
      <c r="Q10" s="106">
        <f>COUNTIFS(AProVE!B3:B119,"*_NT.c", AProVE!D3:D119,"wrong", AProVE!AU3:AU119,"*Array*")</f>
        <v>0</v>
      </c>
      <c r="R10" s="107">
        <f>COUNTIFS(CPAchecker!B3:B119,"*_NT.c", CPAchecker!D3:D119,"correct", CPAchecker!G3:G119,"&gt;0", CPAchecker!AU3:AU119,"*Array*")</f>
        <v>0</v>
      </c>
      <c r="S10" s="106">
        <f>COUNTIFS(CPAchecker!B3:B119,"*_NT.c", CPAchecker!D3:D119,"correct", CPAchecker!G3:G119,"=0", CPAchecker!AU3:AU119,"*Array*")</f>
        <v>8</v>
      </c>
      <c r="T10" s="106">
        <f>COUNTIFS(CPAchecker!B3:B119,"*_NT.c", CPAchecker!D3:D119,"wrong", CPAchecker!AU3:AU119,"*Array*")</f>
        <v>0</v>
      </c>
      <c r="U10" s="107">
        <f>COUNTIFS('2LS'!B3:B119,"*_NT.c", '2LS'!D3:D119,"correct", '2LS'!G3:G119,"&gt;0", '2LS'!AU3:AU119,"*Array*")</f>
        <v>0</v>
      </c>
      <c r="V10" s="106">
        <f>COUNTIFS('2LS'!B3:B119,"*_NT.c", '2LS'!D3:D119,"correct", '2LS'!G3:G119,"=0", '2LS'!AU3:AU119,"*Array*")</f>
        <v>8</v>
      </c>
      <c r="W10" s="106">
        <f>COUNTIFS('2LS'!B3:B119,"*_NT.c", '2LS'!D3:D119,"wrong", '2LS'!AU3:AU119,"*Array*")</f>
        <v>0</v>
      </c>
    </row>
    <row r="11" spans="2:25" x14ac:dyDescent="0.25">
      <c r="B11" s="209"/>
      <c r="C11" s="209"/>
      <c r="D11" s="212"/>
      <c r="E11" s="110" t="s">
        <v>115</v>
      </c>
      <c r="F11" s="106">
        <f>COUNTIFS(Athena!B3:B119,"*_NT.c", Athena!O3:O119,"correct", Athena!R3:R119,"&gt;0", Athena!AU3:AU119,"*Array*")</f>
        <v>3</v>
      </c>
      <c r="G11" s="106">
        <f>COUNTIFS(Athena!B3:B119,"*_NT.c", Athena!O3:O119,"correct", Athena!R3:R119,"=0", Athena!AU3:AU119,"*Array*")</f>
        <v>5</v>
      </c>
      <c r="H11" s="106">
        <f>COUNTIFS(Athena!B3:B119,"*_NT.c", Athena!O3:O119,"wrong", Athena!AU3:AU119,"*Array*")</f>
        <v>0</v>
      </c>
      <c r="I11" s="107">
        <f>COUNTIFS(PROTON!B3:B119,"*_NT.c", PROTON!O3:O119,"correct", PROTON!R3:R119,"&gt;0", PROTON!AU3:AU119,"*Array*")</f>
        <v>4</v>
      </c>
      <c r="J11" s="106">
        <f>COUNTIFS(PROTON!B3:B119,"*_NT.c", PROTON!O3:O119,"correct", PROTON!R3:R119,"=0", PROTON!AU3:AU119,"*Array*")</f>
        <v>4</v>
      </c>
      <c r="K11" s="106">
        <f>COUNTIFS(PROTON!B3:B119,"*_NT.c", PROTON!O3:O119,"wrong", PROTON!AU3:AU119,"*Array*")</f>
        <v>0</v>
      </c>
      <c r="L11" s="107">
        <f>COUNTIFS(UAutomizer!B3:B119,"*_NT.c", UAutomizer!O3:O119,"correct", UAutomizer!R3:R119,"&gt;0", UAutomizer!AU3:AU119,"*Array*")</f>
        <v>2</v>
      </c>
      <c r="M11" s="106">
        <f>COUNTIFS(UAutomizer!B3:B119,"*_NT.c", UAutomizer!O3:O119,"correct", UAutomizer!R3:R119,"=0", UAutomizer!AU3:AU119,"*Array*")</f>
        <v>6</v>
      </c>
      <c r="N11" s="106">
        <f>COUNTIFS(UAutomizer!B3:B119,"*_NT.c", UAutomizer!O3:O119,"wrong", UAutomizer!AU3:AU119,"*Array*")</f>
        <v>0</v>
      </c>
      <c r="O11" s="107">
        <f>COUNTIFS(AProVE!B3:B119,"*_NT.c", AProVE!O3:O119,"correct", AProVE!R3:R119,"&gt;0", AProVE!AU3:AU119,"*Array*")</f>
        <v>1</v>
      </c>
      <c r="P11" s="106">
        <f>COUNTIFS(AProVE!B3:B119,"*_NT.c", AProVE!O3:O119,"correct", AProVE!R3:R119,"=0", AProVE!AU3:AU119,"*Array*")</f>
        <v>7</v>
      </c>
      <c r="Q11" s="106">
        <f>COUNTIFS(AProVE!B3:B119,"*_NT.c", AProVE!O3:O119,"wrong", AProVE!AU3:AU119,"*Array*")</f>
        <v>0</v>
      </c>
      <c r="R11" s="107">
        <f>COUNTIFS(CPAchecker!B3:B119,"*_NT.c", CPAchecker!O3:O119,"correct", CPAchecker!R3:R119,"&gt;0", CPAchecker!AU3:AU119,"*Array*")</f>
        <v>0</v>
      </c>
      <c r="S11" s="106">
        <f>COUNTIFS(CPAchecker!B3:B119,"*_NT.c", CPAchecker!O3:O119,"correct", CPAchecker!R3:R119,"=0", CPAchecker!AU3:AU119,"*Array*")</f>
        <v>8</v>
      </c>
      <c r="T11" s="106">
        <f>COUNTIFS(CPAchecker!B3:B119,"*_NT.c", CPAchecker!O3:O119,"wrong", CPAchecker!AU3:AU119,"*Array*")</f>
        <v>0</v>
      </c>
      <c r="U11" s="107">
        <f>COUNTIFS('2LS'!B3:B119,"*_NT.c", '2LS'!O3:O119,"correct", '2LS'!R3:R119,"&gt;0", '2LS'!AU3:AU119,"*Array*")</f>
        <v>0</v>
      </c>
      <c r="V11" s="106">
        <f>COUNTIFS('2LS'!B3:B119,"*_NT.c", '2LS'!O3:O119,"correct", '2LS'!R3:R119,"=0", '2LS'!AU3:AU119,"*Array*")</f>
        <v>7</v>
      </c>
      <c r="W11" s="106">
        <f>COUNTIFS('2LS'!B3:B119,"*_NT.c", '2LS'!O3:O119,"wrong", '2LS'!AU3:AU119,"*Array*")</f>
        <v>1</v>
      </c>
    </row>
    <row r="12" spans="2:25" x14ac:dyDescent="0.25">
      <c r="B12" s="209"/>
      <c r="C12" s="209"/>
      <c r="D12" s="212"/>
      <c r="E12" s="110" t="s">
        <v>152</v>
      </c>
      <c r="F12" s="106">
        <f>COUNTIFS(Athena!B3:B119,"*_NT.c", Athena!Z3:Z119,"correct", Athena!AC3:AC119,"&gt;0", Athena!AU3:AU119,"*Array*")</f>
        <v>3</v>
      </c>
      <c r="G12" s="106">
        <f>COUNTIFS(Athena!B3:B119,"*_NT.c", Athena!Z3:Z119,"correct", Athena!AC3:AC119,"=0", Athena!AU3:AU119,"*Array*")</f>
        <v>5</v>
      </c>
      <c r="H12" s="106">
        <f>COUNTIFS(Athena!B3:B119,"*_NT.c", Athena!Z3:Z119,"wrong", Athena!AU3:AU119,"*Array*")</f>
        <v>0</v>
      </c>
      <c r="I12" s="107">
        <f>COUNTIFS(PROTON!B3:B119,"*_NT.c", PROTON!Z3:Z119,"correct", PROTON!AC3:AC119,"&gt;0", PROTON!AU3:AU119,"*Array*")</f>
        <v>5</v>
      </c>
      <c r="J12" s="106">
        <f>COUNTIFS(PROTON!B3:B119,"*_NT.c", PROTON!Z3:Z119,"correct", PROTON!AC3:AC119,"=0", PROTON!AU3:AU119,"*Array*")</f>
        <v>2</v>
      </c>
      <c r="K12" s="106">
        <f>COUNTIFS(PROTON!B3:B119,"*_NT.c", PROTON!Z3:Z119,"wrong", PROTON!AU3:AU119,"*Array*")</f>
        <v>1</v>
      </c>
      <c r="L12" s="107">
        <f>COUNTIFS(UAutomizer!B3:B119,"*_NT.c", UAutomizer!Z3:Z119,"correct", UAutomizer!AC3:AC119,"&gt;0", UAutomizer!AU3:AU119,"*Array*")</f>
        <v>2</v>
      </c>
      <c r="M12" s="106">
        <f>COUNTIFS(UAutomizer!B3:B119,"*_NT.c", UAutomizer!Z3:Z119,"correct", UAutomizer!AC3:AC119,"=0", UAutomizer!AU3:AU119,"*Array*")</f>
        <v>3</v>
      </c>
      <c r="N12" s="106">
        <f>COUNTIFS(UAutomizer!B3:B119,"*_NT.c", UAutomizer!Z3:Z119,"wrong", UAutomizer!AU3:AU119,"*Array*")</f>
        <v>3</v>
      </c>
      <c r="O12" s="107">
        <f>COUNTIFS(AProVE!B3:B119,"*_NT.c", AProVE!Z3:Z119,"correct", AProVE!AC3:AC119,"&gt;0", AProVE!AU3:AU119,"*Array*")</f>
        <v>1</v>
      </c>
      <c r="P12" s="106">
        <f>COUNTIFS(AProVE!B3:B119,"*_NT.c", AProVE!Z3:Z119,"correct", AProVE!AC3:AC119,"=0", AProVE!AU3:AU119,"*Array*")</f>
        <v>6</v>
      </c>
      <c r="Q12" s="106">
        <f>COUNTIFS(AProVE!B3:B119,"*_NT.c", AProVE!Z3:Z119,"wrong", AProVE!AU3:AU119,"*Array*")</f>
        <v>1</v>
      </c>
      <c r="R12" s="107">
        <f>COUNTIFS(CPAchecker!B3:B119,"*_NT.c", CPAchecker!Z3:Z119,"correct", CPAchecker!AC3:AC119,"&gt;0", CPAchecker!AU3:AU119,"*Array*")</f>
        <v>0</v>
      </c>
      <c r="S12" s="106">
        <f>COUNTIFS(CPAchecker!B3:B119,"*_NT.c", CPAchecker!Z3:Z119,"correct", CPAchecker!AC3:AC119,"=0", CPAchecker!AU3:AU119,"*Array*")</f>
        <v>8</v>
      </c>
      <c r="T12" s="106">
        <f>COUNTIFS(CPAchecker!B3:B119,"*_NT.c", CPAchecker!Z3:Z119,"wrong", CPAchecker!AU3:AU119,"*Array*")</f>
        <v>0</v>
      </c>
      <c r="U12" s="107">
        <f>COUNTIFS('2LS'!B3:B119,"*_NT.c", '2LS'!Z3:Z119,"correct", '2LS'!AC3:AC119,"&gt;0", '2LS'!AU3:AU119,"*Array*")</f>
        <v>2</v>
      </c>
      <c r="V12" s="106">
        <f>COUNTIFS('2LS'!B3:B119,"*_NT.c", '2LS'!Z3:Z119,"correct", '2LS'!AC3:AC119,"=0", '2LS'!AU3:AU119,"*Array*")</f>
        <v>6</v>
      </c>
      <c r="W12" s="106">
        <f>COUNTIFS('2LS'!B3:B119,"*_NT.c", '2LS'!Z3:Z119,"wrong", '2LS'!AU3:AU119,"*Array*")</f>
        <v>0</v>
      </c>
    </row>
    <row r="13" spans="2:25" x14ac:dyDescent="0.25">
      <c r="B13" s="209"/>
      <c r="C13" s="209"/>
      <c r="D13" s="212"/>
      <c r="E13" s="111" t="s">
        <v>153</v>
      </c>
      <c r="F13" s="109">
        <f>COUNTIFS(Athena!B3:B119,"*_NT.c", Athena!AK3:AK119,"correct", Athena!AN3:AN119,"&gt;0", Athena!AU3:AU119,"*Array*")</f>
        <v>3</v>
      </c>
      <c r="G13" s="108">
        <f>COUNTIFS(Athena!B3:B119,"*_NT.c", Athena!AK3:AK119,"correct", Athena!AN3:AN119,"=0", Athena!AU3:AU119,"*Array*")</f>
        <v>5</v>
      </c>
      <c r="H13" s="108">
        <f>COUNTIFS(Athena!B3:B119,"*_NT.c", Athena!AK3:AK119,"wrong", Athena!AU3:AU119,"*Array*")</f>
        <v>0</v>
      </c>
      <c r="I13" s="109">
        <f>COUNTIFS(PROTON!B3:B119,"*_NT.c", PROTON!AK3:AK119,"correct", PROTON!AN3:AN119,"&gt;0", PROTON!AU3:AU119,"*Array*")</f>
        <v>4</v>
      </c>
      <c r="J13" s="108">
        <f>COUNTIFS(PROTON!B3:B119,"*_NT.c", PROTON!AK3:AK119,"correct", PROTON!AN3:AN119,"=0", PROTON!AU3:AU119,"*Array*")</f>
        <v>1</v>
      </c>
      <c r="K13" s="108">
        <f>COUNTIFS(PROTON!B3:B119,"*_NT.c", PROTON!AK3:AK119,"wrong", PROTON!AU3:AU119,"*Array*")</f>
        <v>3</v>
      </c>
      <c r="L13" s="109">
        <f>COUNTIFS(UAutomizer!B3:B119,"*_NT.c", UAutomizer!AK3:AK119,"correct", UAutomizer!AN3:AN119,"&gt;0", UAutomizer!AU3:AU119,"*Array*")</f>
        <v>1</v>
      </c>
      <c r="M13" s="108">
        <f>COUNTIFS(UAutomizer!B3:B119,"*_NT.c", UAutomizer!AK3:AK119,"correct", UAutomizer!AN3:AN119,"=0", UAutomizer!AU3:AU119,"*Array*")</f>
        <v>3</v>
      </c>
      <c r="N13" s="108">
        <f>COUNTIFS(UAutomizer!B3:B119,"*_NT.c", UAutomizer!AK3:AK119,"wrong", UAutomizer!AU3:AU119,"*Array*")</f>
        <v>4</v>
      </c>
      <c r="O13" s="109">
        <f>COUNTIFS(AProVE!B3:B119,"*_NT.c", AProVE!AK3:AK119,"correct", AProVE!AN3:AN119,"&gt;0", AProVE!AU3:AU119,"*Array*")</f>
        <v>1</v>
      </c>
      <c r="P13" s="108">
        <f>COUNTIFS(AProVE!B3:B119,"*_NT.c", AProVE!AK3:AK119,"correct", AProVE!AN3:AN119,"=0", AProVE!AU3:AU119,"*Array*")</f>
        <v>5</v>
      </c>
      <c r="Q13" s="108">
        <f>COUNTIFS(AProVE!B3:B119,"*_NT.c", AProVE!AK3:AK119,"wrong", AProVE!AU3:AU119,"*Array*")</f>
        <v>2</v>
      </c>
      <c r="R13" s="109">
        <f>COUNTIFS(CPAchecker!B3:B119,"*_NT.c", CPAchecker!AK3:AK119,"correct", CPAchecker!AN3:AN119,"&gt;0", CPAchecker!AU3:AU119,"*Array*")</f>
        <v>0</v>
      </c>
      <c r="S13" s="108">
        <f>COUNTIFS(CPAchecker!B3:B119,"*_NT.c", CPAchecker!AK3:AK119,"correct", CPAchecker!AN3:AN119,"=0", CPAchecker!AU3:AU119,"*Array*")</f>
        <v>8</v>
      </c>
      <c r="T13" s="108">
        <f>COUNTIFS(CPAchecker!B3:B119,"*_NT.c", CPAchecker!AK3:AK119,"wrong", CPAchecker!AU3:AU119,"*Array*")</f>
        <v>0</v>
      </c>
      <c r="U13" s="109">
        <f>COUNTIFS('2LS'!B3:B119,"*_NT.c", '2LS'!AK3:AK119,"correct", '2LS'!AN3:AN119,"&gt;0", '2LS'!AU3:AU119,"*Array*")</f>
        <v>1</v>
      </c>
      <c r="V13" s="108">
        <f>COUNTIFS('2LS'!B3:B119,"*_NT.c", '2LS'!AK3:AK119,"correct", '2LS'!AN3:AN119,"=0", '2LS'!AU3:AU119,"*Array*")</f>
        <v>6</v>
      </c>
      <c r="W13" s="108">
        <f>COUNTIFS('2LS'!B3:B119,"*_NT.c", '2LS'!AK3:AK119,"wrong", '2LS'!AU3:AU119,"*Array*")</f>
        <v>1</v>
      </c>
    </row>
    <row r="14" spans="2:25" ht="19.5" customHeight="1" x14ac:dyDescent="0.25">
      <c r="B14" s="208" t="s">
        <v>121</v>
      </c>
      <c r="C14" s="208"/>
      <c r="D14" s="211">
        <f>COUNTIFS(Athena!B3:B119,"*_NT.c", Athena!AU3:AU119,"*Structure*")</f>
        <v>3</v>
      </c>
      <c r="E14" s="30" t="s">
        <v>114</v>
      </c>
      <c r="F14" s="106">
        <f>COUNTIFS(Athena!B3:B119,"*_NT.c", Athena!D3:D119,"correct", Athena!G3:G119,"&gt;0", Athena!AU3:AU119,"*Structure*")</f>
        <v>2</v>
      </c>
      <c r="G14" s="106">
        <f>COUNTIFS(Athena!B3:B119,"*_NT.c", Athena!D3:D119,"correct", Athena!G3:G119,"=0", Athena!AU3:AU119,"*Structure*")</f>
        <v>1</v>
      </c>
      <c r="H14" s="106">
        <f>COUNTIFS(Athena!B3:B119,"*_NT.c", Athena!D3:D119,"wrong", Athena!AU3:AU119,"*Structure*")</f>
        <v>0</v>
      </c>
      <c r="I14" s="107">
        <f>COUNTIFS(PROTON!B3:B119,"*_NT.c", PROTON!D3:D119,"correct", PROTON!G3:G119,"&gt;0", PROTON!AU3:AU119,"*Structure*")</f>
        <v>3</v>
      </c>
      <c r="J14" s="106">
        <f>COUNTIFS(PROTON!B3:B119,"*_NT.c", PROTON!D3:D119,"correct", PROTON!G3:G119,"=0", PROTON!AU3:AU119,"*Structure*")</f>
        <v>0</v>
      </c>
      <c r="K14" s="106">
        <f>COUNTIFS(PROTON!B3:B119,"*_NT.c", PROTON!D3:D119,"wrong", PROTON!AU3:AU119,"*Structure*")</f>
        <v>0</v>
      </c>
      <c r="L14" s="107">
        <f>COUNTIFS(UAutomizer!B3:B119,"*_NT.c", UAutomizer!D3:D119,"correct", UAutomizer!G3:G119,"&gt;0", UAutomizer!AU3:AU119,"*Structure*")</f>
        <v>2</v>
      </c>
      <c r="M14" s="106">
        <f>COUNTIFS(UAutomizer!B3:B119,"*_NT.c", UAutomizer!D3:D119,"correct", UAutomizer!G3:G119,"=0", UAutomizer!AU3:AU119,"*Structure*")</f>
        <v>1</v>
      </c>
      <c r="N14" s="106">
        <f>COUNTIFS(UAutomizer!B3:B119,"*_NT.c", UAutomizer!D3:D119,"wrong", UAutomizer!AU3:AU119,"*Structure*")</f>
        <v>0</v>
      </c>
      <c r="O14" s="107">
        <f>COUNTIFS(AProVE!B3:B119,"*_NT.c", AProVE!D3:D119,"correct", AProVE!G3:G119,"&gt;0", AProVE!AU3:AU119,"*Structure*")</f>
        <v>0</v>
      </c>
      <c r="P14" s="106">
        <f>COUNTIFS(AProVE!B3:B119,"*_NT.c", AProVE!D3:D119,"correct", AProVE!G3:G119,"=0", AProVE!AU3:AU119,"*Structure*")</f>
        <v>3</v>
      </c>
      <c r="Q14" s="106">
        <f>COUNTIFS(AProVE!B3:B119,"*_NT.c", AProVE!D3:D119,"wrong", AProVE!AU3:AU119,"*Structure*")</f>
        <v>0</v>
      </c>
      <c r="R14" s="107">
        <f>COUNTIFS(CPAchecker!B3:B119,"*_NT.c", CPAchecker!D3:D119,"correct", CPAchecker!G3:G119,"&gt;0", CPAchecker!AU3:AU119,"*Structure*")</f>
        <v>0</v>
      </c>
      <c r="S14" s="106">
        <f>COUNTIFS(CPAchecker!B3:B119,"*_NT.c", CPAchecker!D3:D119,"correct", CPAchecker!G3:G119,"=0", CPAchecker!AU3:AU119,"*Structure*")</f>
        <v>3</v>
      </c>
      <c r="T14" s="106">
        <f>COUNTIFS(CPAchecker!B3:B119,"*_NT.c", CPAchecker!D3:D119,"wrong", CPAchecker!AU3:AU119,"*Structure*")</f>
        <v>0</v>
      </c>
      <c r="U14" s="107">
        <f>COUNTIFS('2LS'!B3:B119,"*_NT.c", '2LS'!D3:D119,"correct", '2LS'!G3:G119,"&gt;0", '2LS'!AU3:AU119,"*Structure*")</f>
        <v>0</v>
      </c>
      <c r="V14" s="106">
        <f>COUNTIFS('2LS'!B3:B119,"*_NT.c", '2LS'!D3:D119,"correct", '2LS'!G3:G119,"=0", '2LS'!AU3:AU119,"*Structure*")</f>
        <v>3</v>
      </c>
      <c r="W14" s="106">
        <f>COUNTIFS('2LS'!B3:B119,"*_NT.c", '2LS'!D3:D119,"wrong", '2LS'!AU3:AU119,"*Structure*")</f>
        <v>0</v>
      </c>
    </row>
    <row r="15" spans="2:25" x14ac:dyDescent="0.25">
      <c r="B15" s="209"/>
      <c r="C15" s="209"/>
      <c r="D15" s="212"/>
      <c r="E15" s="30" t="s">
        <v>115</v>
      </c>
      <c r="F15" s="106">
        <f>COUNTIFS(Athena!B3:B119,"*_NT.c", Athena!O3:O119,"correct", Athena!R3:R119,"&gt;0", Athena!AU3:AU119,"*Structure*")</f>
        <v>1</v>
      </c>
      <c r="G15" s="106">
        <f>COUNTIFS(Athena!B3:B119,"*_NT.c", Athena!O3:O119,"correct", Athena!R3:R119,"=0", Athena!AU3:AU119,"*Structure*")</f>
        <v>2</v>
      </c>
      <c r="H15" s="106">
        <f>COUNTIFS(Athena!B3:B119,"*_NT.c", Athena!O3:O119,"wrong", Athena!AU3:AU119,"*Structure*")</f>
        <v>0</v>
      </c>
      <c r="I15" s="107">
        <f>COUNTIFS(PROTON!B3:B119,"*_NT.c", PROTON!O3:O119,"correct", PROTON!R3:R119,"&gt;0", PROTON!AU3:AU119,"*Structure*")</f>
        <v>3</v>
      </c>
      <c r="J15" s="106">
        <f>COUNTIFS(PROTON!B3:B119,"*_NT.c", PROTON!O3:O119,"correct", PROTON!R3:R119,"=0", PROTON!AU3:AU119,"*Structure*")</f>
        <v>0</v>
      </c>
      <c r="K15" s="106">
        <f>COUNTIFS(PROTON!B3:B119,"*_NT.c", PROTON!O3:O119,"wrong", PROTON!AU3:AU119,"*Structure*")</f>
        <v>0</v>
      </c>
      <c r="L15" s="107">
        <f>COUNTIFS(UAutomizer!B3:B119,"*_NT.c", UAutomizer!O3:O119,"correct", UAutomizer!R3:R119,"&gt;0", UAutomizer!AU3:AU119,"*Structure*")</f>
        <v>2</v>
      </c>
      <c r="M15" s="106">
        <f>COUNTIFS(UAutomizer!B3:B119,"*_NT.c", UAutomizer!O3:O119,"correct", UAutomizer!R3:R119,"=0", UAutomizer!AU3:AU119,"*Structure*")</f>
        <v>1</v>
      </c>
      <c r="N15" s="106">
        <f>COUNTIFS(UAutomizer!B3:B119,"*_NT.c", UAutomizer!O3:O119,"wrong", UAutomizer!AU3:AU119,"*Structure*")</f>
        <v>0</v>
      </c>
      <c r="O15" s="107">
        <f>COUNTIFS(AProVE!B3:B119,"*_NT.c", AProVE!O3:O119,"correct", AProVE!R3:R119,"&gt;0", AProVE!AU3:AU119,"*Structure*")</f>
        <v>0</v>
      </c>
      <c r="P15" s="106">
        <f>COUNTIFS(AProVE!B3:B119,"*_NT.c", AProVE!O3:O119,"correct", AProVE!R3:R119,"=0", AProVE!AU3:AU119,"*Structure*")</f>
        <v>3</v>
      </c>
      <c r="Q15" s="106">
        <f>COUNTIFS(AProVE!B3:B119,"*_NT.c", AProVE!O3:O119,"wrong", AProVE!AU3:AU119,"*Structure*")</f>
        <v>0</v>
      </c>
      <c r="R15" s="107">
        <f>COUNTIFS(CPAchecker!B3:B119,"*_NT.c", CPAchecker!O3:O119,"correct", CPAchecker!R3:R119,"&gt;0", CPAchecker!AU3:AU119,"*Structure*")</f>
        <v>0</v>
      </c>
      <c r="S15" s="106">
        <f>COUNTIFS(CPAchecker!B3:B119,"*_NT.c", CPAchecker!O3:O119,"correct", CPAchecker!R3:R119,"=0", CPAchecker!AU3:AU119,"*Structure*")</f>
        <v>3</v>
      </c>
      <c r="T15" s="106">
        <f>COUNTIFS(CPAchecker!B3:B119,"*_NT.c", CPAchecker!O3:O119,"wrong", CPAchecker!AU3:AU119,"*Structure*")</f>
        <v>0</v>
      </c>
      <c r="U15" s="107">
        <f>COUNTIFS('2LS'!B3:B119,"*_NT.c", '2LS'!O3:O119,"correct", '2LS'!R3:R119,"&gt;0", '2LS'!AU3:AU119,"*Structure*")</f>
        <v>0</v>
      </c>
      <c r="V15" s="106">
        <f>COUNTIFS('2LS'!B3:B119,"*_NT.c", '2LS'!O3:O119,"correct", '2LS'!R3:R119,"=0", '2LS'!AU3:AU119,"*Structure*")</f>
        <v>3</v>
      </c>
      <c r="W15" s="106">
        <f>COUNTIFS('2LS'!B3:B119,"*_NT.c", '2LS'!O3:O119,"wrong", '2LS'!AU3:AU119,"*Structure*")</f>
        <v>0</v>
      </c>
    </row>
    <row r="16" spans="2:25" x14ac:dyDescent="0.25">
      <c r="B16" s="209"/>
      <c r="C16" s="209"/>
      <c r="D16" s="212"/>
      <c r="E16" s="30" t="s">
        <v>152</v>
      </c>
      <c r="F16" s="106">
        <f>COUNTIFS(Athena!B3:B119,"*_NT.c", Athena!Z3:Z119,"correct", Athena!AC3:AC119,"&gt;0", Athena!AU3:AU119,"*Structure*")</f>
        <v>2</v>
      </c>
      <c r="G16" s="106">
        <f>COUNTIFS(Athena!B3:B119,"*_NT.c", Athena!Z3:Z119,"correct", Athena!AC3:AC119,"=0", Athena!AU3:AU119,"*Structure*")</f>
        <v>1</v>
      </c>
      <c r="H16" s="106">
        <f>COUNTIFS(Athena!B3:B119,"*_NT.c", Athena!Z3:Z119,"wrong", Athena!AU3:AU119,"*Structure*")</f>
        <v>0</v>
      </c>
      <c r="I16" s="107">
        <f>COUNTIFS(PROTON!B3:B119,"*_NT.c", PROTON!Z3:Z119,"correct", PROTON!AC3:AC119,"&gt;0", PROTON!AU3:AU119,"*Structure*")</f>
        <v>3</v>
      </c>
      <c r="J16" s="106">
        <f>COUNTIFS(PROTON!B3:B119,"*_NT.c", PROTON!Z3:Z119,"correct", PROTON!AC3:AC119,"=0", PROTON!AU3:AU119,"*Structure*")</f>
        <v>0</v>
      </c>
      <c r="K16" s="106">
        <f>COUNTIFS(PROTON!B3:B119,"*_NT.c", PROTON!Z3:Z119,"wrong", PROTON!AU3:AU119,"*Structure*")</f>
        <v>0</v>
      </c>
      <c r="L16" s="107">
        <f>COUNTIFS(UAutomizer!B3:B119,"*_NT.c", UAutomizer!Z3:Z119,"correct", UAutomizer!AC3:AC119,"&gt;0", UAutomizer!AU3:AU119,"*Structure*")</f>
        <v>2</v>
      </c>
      <c r="M16" s="106">
        <f>COUNTIFS(UAutomizer!B3:B119,"*_NT.c", UAutomizer!Z3:Z119,"correct", UAutomizer!AC3:AC119,"=0", UAutomizer!AU3:AU119,"*Structure*")</f>
        <v>1</v>
      </c>
      <c r="N16" s="106">
        <f>COUNTIFS(UAutomizer!B3:B119,"*_NT.c", UAutomizer!Z3:Z119,"wrong", UAutomizer!AU3:AU119,"*Structure*")</f>
        <v>0</v>
      </c>
      <c r="O16" s="107">
        <f>COUNTIFS(AProVE!B3:B119,"*_NT.c", AProVE!Z3:Z119,"correct", AProVE!AC3:AC119,"&gt;0", AProVE!AU3:AU119,"*Structure*")</f>
        <v>1</v>
      </c>
      <c r="P16" s="106">
        <f>COUNTIFS(AProVE!B3:B119,"*_NT.c", AProVE!Z3:Z119,"correct", AProVE!AC3:AC119,"=0", AProVE!AU3:AU119,"*Structure*")</f>
        <v>2</v>
      </c>
      <c r="Q16" s="106">
        <f>COUNTIFS(AProVE!B3:B119,"*_NT.c", AProVE!Z3:Z119,"wrong", AProVE!AU3:AU119,"*Structure*")</f>
        <v>0</v>
      </c>
      <c r="R16" s="107">
        <f>COUNTIFS(CPAchecker!B3:B119,"*_NT.c", CPAchecker!Z3:Z119,"correct", CPAchecker!AC3:AC119,"&gt;0", CPAchecker!AU3:AU119,"*Structure*")</f>
        <v>0</v>
      </c>
      <c r="S16" s="106">
        <f>COUNTIFS(CPAchecker!B3:B119,"*_NT.c", CPAchecker!Z3:Z119,"correct", CPAchecker!AC3:AC119,"=0", CPAchecker!AU3:AU119,"*Structure*")</f>
        <v>3</v>
      </c>
      <c r="T16" s="106">
        <f>COUNTIFS(CPAchecker!B3:B119,"*_NT.c", CPAchecker!Z3:Z119,"wrong", CPAchecker!AU3:AU119,"*Structure*")</f>
        <v>0</v>
      </c>
      <c r="U16" s="107">
        <f>COUNTIFS('2LS'!B3:B119,"*_NT.c", '2LS'!Z3:Z119,"correct", '2LS'!AC3:AC119,"&gt;0", '2LS'!AU3:AU119,"*Structure*")</f>
        <v>1</v>
      </c>
      <c r="V16" s="106">
        <f>COUNTIFS('2LS'!B3:B119,"*_NT.c", '2LS'!Z3:Z119,"correct", '2LS'!AC3:AC119,"=0", '2LS'!AU3:AU119,"*Structure*")</f>
        <v>2</v>
      </c>
      <c r="W16" s="106">
        <f>COUNTIFS('2LS'!B3:B119,"*_NT.c", '2LS'!Z3:Z119,"wrong", '2LS'!AU3:AU119,"*Structure*")</f>
        <v>0</v>
      </c>
    </row>
    <row r="17" spans="2:23" x14ac:dyDescent="0.25">
      <c r="B17" s="209"/>
      <c r="C17" s="209"/>
      <c r="D17" s="212"/>
      <c r="E17" s="31" t="s">
        <v>153</v>
      </c>
      <c r="F17" s="109">
        <f>COUNTIFS(Athena!B3:B119,"*_NT.c", Athena!AK3:AK119,"correct", Athena!AN3:AN119,"&gt;0", Athena!AU3:AU119,"*Structure*")</f>
        <v>1</v>
      </c>
      <c r="G17" s="108">
        <f>COUNTIFS(Athena!B3:B119,"*_NT.c", Athena!AK3:AK119,"correct", Athena!AN3:AN119,"=0", Athena!AU3:AU119,"*Structure*")</f>
        <v>2</v>
      </c>
      <c r="H17" s="108">
        <f>COUNTIFS(Athena!B3:B119,"*_NT.c", Athena!AK3:AK119,"wrong", Athena!AU3:AU119,"*Structure*")</f>
        <v>0</v>
      </c>
      <c r="I17" s="109">
        <f>COUNTIFS(PROTON!B3:B119,"*_NT.c", PROTON!AK3:AK119,"correct", PROTON!AN3:AN119,"&gt;0", PROTON!AU3:AU119,"*Structure*")</f>
        <v>3</v>
      </c>
      <c r="J17" s="108">
        <f>COUNTIFS(PROTON!B3:B119,"*_NT.c", PROTON!AK3:AK119,"correct", PROTON!AN3:AN119,"=0", PROTON!AU3:AU119,"*Structure*")</f>
        <v>0</v>
      </c>
      <c r="K17" s="108">
        <f>COUNTIFS(PROTON!B3:B119,"*_NT.c", PROTON!AK3:AK119,"wrong", PROTON!AU3:AU119,"*Structure*")</f>
        <v>0</v>
      </c>
      <c r="L17" s="109">
        <f>COUNTIFS(UAutomizer!B3:B119,"*_NT.c", UAutomizer!AK3:AK119,"correct", UAutomizer!AN3:AN119,"&gt;0", UAutomizer!AU3:AU119,"*Structure*")</f>
        <v>2</v>
      </c>
      <c r="M17" s="108">
        <f>COUNTIFS(UAutomizer!B3:B119,"*_NT.c", UAutomizer!AK3:AK119,"correct", UAutomizer!AN3:AN119,"=0", UAutomizer!AU3:AU119,"*Structure*")</f>
        <v>1</v>
      </c>
      <c r="N17" s="108">
        <f>COUNTIFS(UAutomizer!B3:B119,"*_NT.c", UAutomizer!AK3:AK119,"wrong", UAutomizer!AU3:AU119,"*Structure*")</f>
        <v>0</v>
      </c>
      <c r="O17" s="109">
        <f>COUNTIFS(AProVE!B3:B119,"*_NT.c", AProVE!AK3:AK119,"correct", AProVE!AN3:AN119,"&gt;0", AProVE!AU3:AU119,"*Structure*")</f>
        <v>1</v>
      </c>
      <c r="P17" s="108">
        <f>COUNTIFS(AProVE!B3:B119,"*_NT.c", AProVE!AK3:AK119,"correct", AProVE!AN3:AN119,"=0", AProVE!AU3:AU119,"*Structure*")</f>
        <v>2</v>
      </c>
      <c r="Q17" s="108">
        <f>COUNTIFS(AProVE!B3:B119,"*_NT.c", AProVE!AK3:AK119,"wrong", AProVE!AU3:AU119,"*Structure*")</f>
        <v>0</v>
      </c>
      <c r="R17" s="109">
        <f>COUNTIFS(CPAchecker!B3:B119,"*_NT.c", CPAchecker!AK3:AK119,"correct", CPAchecker!AN3:AN119,"&gt;0", CPAchecker!AU3:AU119,"*Structure*")</f>
        <v>0</v>
      </c>
      <c r="S17" s="108">
        <f>COUNTIFS(CPAchecker!B3:B119,"*_NT.c", CPAchecker!AK3:AK119,"correct", CPAchecker!AN3:AN119,"=0", CPAchecker!AU3:AU119,"*Structure*")</f>
        <v>3</v>
      </c>
      <c r="T17" s="108">
        <f>COUNTIFS(CPAchecker!B3:B119,"*_NT.c", CPAchecker!AK3:AK119,"wrong", CPAchecker!AU3:AU119,"*Structure*")</f>
        <v>0</v>
      </c>
      <c r="U17" s="109">
        <f>COUNTIFS('2LS'!B3:B119,"*_NT.c", '2LS'!AK3:AK119,"correct", '2LS'!AN3:AN119,"&gt;0", '2LS'!AU3:AU119,"*Structure*")</f>
        <v>1</v>
      </c>
      <c r="V17" s="108">
        <f>COUNTIFS('2LS'!B3:B119,"*_NT.c", '2LS'!AK3:AK119,"correct", '2LS'!AN3:AN119,"=0", '2LS'!AU3:AU119,"*Structure*")</f>
        <v>2</v>
      </c>
      <c r="W17" s="108">
        <f>COUNTIFS('2LS'!B3:B119,"*_NT.c", '2LS'!AK3:AK119,"wrong", '2LS'!AU3:AU119,"*Structure*")</f>
        <v>0</v>
      </c>
    </row>
    <row r="18" spans="2:23" x14ac:dyDescent="0.25">
      <c r="B18" s="208" t="s">
        <v>97</v>
      </c>
      <c r="C18" s="208"/>
      <c r="D18" s="211">
        <f>COUNTIFS(Athena!B3:B119,"*_NT.c", Athena!AU3:AU119,"*Bit Calculation*")</f>
        <v>5</v>
      </c>
      <c r="E18" s="30" t="s">
        <v>114</v>
      </c>
      <c r="F18" s="106">
        <f>COUNTIFS(Athena!B3:B119,"*_NT.c", Athena!D3:D119,"correct", Athena!G3:G119,"&gt;0", Athena!AU3:AU119,"*Bit Calculation*")</f>
        <v>5</v>
      </c>
      <c r="G18" s="106">
        <f>COUNTIFS(Athena!B3:B119,"*_NT.c", Athena!D3:D119,"correct", Athena!G3:G119,"=0", Athena!AU3:AU119,"*Bit Calculation*")</f>
        <v>0</v>
      </c>
      <c r="H18" s="106">
        <f>COUNTIFS(Athena!B3:B119,"*_NT.c", Athena!D3:D119,"wrong", Athena!AU3:AU119,"*Pointer*")</f>
        <v>0</v>
      </c>
      <c r="I18" s="107">
        <f>COUNTIFS(PROTON!B3:B119,"*_NT.c", PROTON!D3:D119,"correct", PROTON!G3:G119,"&gt;0", PROTON!AU3:AU119,"*Bit Calculation*")</f>
        <v>4</v>
      </c>
      <c r="J18" s="106">
        <f>COUNTIFS(PROTON!B3:B119,"*_NT.c", PROTON!D3:D119,"correct", PROTON!G3:G119,"=0", PROTON!AU3:AU119,"*Bit Calculation*")</f>
        <v>1</v>
      </c>
      <c r="K18" s="106">
        <f>COUNTIFS(PROTON!B3:B119,"*_NT.c", PROTON!D3:D119,"wrong", PROTON!AU3:AU119,"*Bit Calculation*")</f>
        <v>0</v>
      </c>
      <c r="L18" s="107">
        <f>COUNTIFS(UAutomizer!B3:B119,"*_NT.c", UAutomizer!D3:D119,"correct", UAutomizer!G3:G119,"&gt;0", UAutomizer!AU3:AU119,"*Bit Calculation*")</f>
        <v>2</v>
      </c>
      <c r="M18" s="106">
        <f>COUNTIFS(UAutomizer!B3:B119,"*_NT.c", UAutomizer!D3:D119,"correct", UAutomizer!G3:G119,"=0", UAutomizer!AU3:AU119,"*Bit Calculation*")</f>
        <v>2</v>
      </c>
      <c r="N18" s="106">
        <f>COUNTIFS(UAutomizer!B3:B119,"*_NT.c", UAutomizer!D3:D119,"wrong", UAutomizer!AU3:AU119,"*Bit Calculation*")</f>
        <v>1</v>
      </c>
      <c r="O18" s="107">
        <f>COUNTIFS(AProVE!B3:B119,"*_NT.c", AProVE!D3:D119,"correct", AProVE!G3:G119,"&gt;0", AProVE!AU3:AU119,"*Bit Calculation*")</f>
        <v>0</v>
      </c>
      <c r="P18" s="106">
        <f>COUNTIFS(AProVE!B3:B119,"*_NT.c", AProVE!D3:D119,"correct", AProVE!G3:G119,"=0", AProVE!AU3:AU119,"*Bit Calculation*")</f>
        <v>5</v>
      </c>
      <c r="Q18" s="106">
        <f>COUNTIFS(AProVE!B3:B119,"*_NT.c", AProVE!D3:D119,"wrong", AProVE!AU3:AU119,"*Bit Calculation*")</f>
        <v>0</v>
      </c>
      <c r="R18" s="107">
        <f>COUNTIFS(CPAchecker!B3:B119,"*_NT.c", CPAchecker!D3:D119,"correct", CPAchecker!G3:G119,"&gt;0", CPAchecker!AU3:AU119,"*Bit Calculation*")</f>
        <v>5</v>
      </c>
      <c r="S18" s="106">
        <f>COUNTIFS(CPAchecker!B3:B119,"*_NT.c", CPAchecker!D3:D119,"correct", CPAchecker!G3:G119,"=0", CPAchecker!AU3:AU119,"*Bit Calculation*")</f>
        <v>0</v>
      </c>
      <c r="T18" s="106">
        <f>COUNTIFS(CPAchecker!B3:B119,"*_NT.c", CPAchecker!D3:D119,"wrong", CPAchecker!AU3:AU119,"*Bit Calculation*")</f>
        <v>0</v>
      </c>
      <c r="U18" s="107">
        <f>COUNTIFS('2LS'!B3:B119,"*_NT.c", '2LS'!D3:D119,"correct", '2LS'!G3:G119,"&gt;0", '2LS'!AU3:AU119,"*Bit Calculation*")</f>
        <v>0</v>
      </c>
      <c r="V18" s="106">
        <f>COUNTIFS('2LS'!B3:B119,"*_NT.c", '2LS'!D3:D119,"correct", '2LS'!G3:G119,"=0", '2LS'!AU3:AU119,"*Bit Calculation*")</f>
        <v>5</v>
      </c>
      <c r="W18" s="106">
        <f>COUNTIFS('2LS'!B3:B119,"*_NT.c", '2LS'!D3:D119,"wrong", '2LS'!AU3:AU119,"*Bit Calculation*")</f>
        <v>0</v>
      </c>
    </row>
    <row r="19" spans="2:23" x14ac:dyDescent="0.25">
      <c r="B19" s="209"/>
      <c r="C19" s="209"/>
      <c r="D19" s="212"/>
      <c r="E19" s="30" t="s">
        <v>115</v>
      </c>
      <c r="F19" s="106">
        <f>COUNTIFS(Athena!B3:B119,"*_NT.c", Athena!O3:O119,"correct", Athena!R3:R119,"&gt;0", Athena!AU3:AU119,"*Bit Calculation*")</f>
        <v>5</v>
      </c>
      <c r="G19" s="106">
        <f>COUNTIFS(Athena!B3:B119,"*_NT.c", Athena!O3:O119,"correct", Athena!R3:R119,"=0", Athena!AU3:AU119,"*Bit Calculation*")</f>
        <v>0</v>
      </c>
      <c r="H19" s="106">
        <f>COUNTIFS(Athena!B3:B119,"*_NT.c", Athena!O3:O119,"wrong", Athena!AU3:AU119,"*Pointer*")</f>
        <v>0</v>
      </c>
      <c r="I19" s="107">
        <f>COUNTIFS(PROTON!B3:B119,"*_NT.c", PROTON!O3:O119,"correct", PROTON!R3:R119,"&gt;0", PROTON!AU3:AU119,"*Bit Calculation*")</f>
        <v>5</v>
      </c>
      <c r="J19" s="106">
        <f>COUNTIFS(PROTON!B3:B119,"*_NT.c", PROTON!O3:O119,"correct", PROTON!R3:R119,"=0", PROTON!AU3:AU119,"*Bit Calculation*")</f>
        <v>0</v>
      </c>
      <c r="K19" s="106">
        <f>COUNTIFS(PROTON!B3:B119,"*_NT.c", PROTON!O3:O119,"wrong", PROTON!AU3:AU119,"*Bit Calculation*")</f>
        <v>0</v>
      </c>
      <c r="L19" s="107">
        <f>COUNTIFS(UAutomizer!B3:B119,"*_NT.c", UAutomizer!O3:O119,"correct", UAutomizer!R3:R119,"&gt;0", UAutomizer!AU3:AU119,"*Bit Calculation*")</f>
        <v>2</v>
      </c>
      <c r="M19" s="106">
        <f>COUNTIFS(UAutomizer!B3:B119,"*_NT.c", UAutomizer!O3:O119,"correct", UAutomizer!R3:R119,"=0", UAutomizer!AU3:AU119,"*Bit Calculation*")</f>
        <v>2</v>
      </c>
      <c r="N19" s="106">
        <f>COUNTIFS(UAutomizer!B3:B119,"*_NT.c", UAutomizer!O3:O119,"wrong", UAutomizer!AU3:AU119,"*Bit Calculation*")</f>
        <v>1</v>
      </c>
      <c r="O19" s="107">
        <f>COUNTIFS(AProVE!B3:B119,"*_NT.c", AProVE!O3:O119,"correct", AProVE!R3:R119,"&gt;0", AProVE!AU3:AU119,"*Bit Calculation*")</f>
        <v>0</v>
      </c>
      <c r="P19" s="106">
        <f>COUNTIFS(AProVE!B3:B119,"*_NT.c", AProVE!O3:O119,"correct", AProVE!R3:R119,"=0", AProVE!AU3:AU119,"*Bit Calculation*")</f>
        <v>5</v>
      </c>
      <c r="Q19" s="106">
        <f>COUNTIFS(AProVE!B3:B119,"*_NT.c", AProVE!O3:O119,"wrong", AProVE!AU3:AU119,"*Bit Calculation*")</f>
        <v>0</v>
      </c>
      <c r="R19" s="107">
        <f>COUNTIFS(CPAchecker!B3:B119,"*_NT.c", CPAchecker!O3:O119,"correct", CPAchecker!R3:R119,"&gt;0", CPAchecker!AU3:AU119,"*Bit Calculation*")</f>
        <v>5</v>
      </c>
      <c r="S19" s="106">
        <f>COUNTIFS(CPAchecker!B3:B119,"*_NT.c", CPAchecker!O3:O119,"correct", CPAchecker!R3:R119,"=0", CPAchecker!AU3:AU119,"*Bit Calculation*")</f>
        <v>0</v>
      </c>
      <c r="T19" s="106">
        <f>COUNTIFS(CPAchecker!B3:B119,"*_NT.c", CPAchecker!O3:O119,"wrong", CPAchecker!AU3:AU119,"*Bit Calculation*")</f>
        <v>0</v>
      </c>
      <c r="U19" s="107">
        <f>COUNTIFS('2LS'!B3:B119,"*_NT.c", '2LS'!O3:O119,"correct", '2LS'!R3:R119,"&gt;0", '2LS'!AU3:AU119,"*Bit Calculation*")</f>
        <v>0</v>
      </c>
      <c r="V19" s="106">
        <f>COUNTIFS('2LS'!B3:B119,"*_NT.c", '2LS'!O3:O119,"correct", '2LS'!R3:R119,"=0", '2LS'!AU3:AU119,"*Bit Calculation*")</f>
        <v>5</v>
      </c>
      <c r="W19" s="106">
        <f>COUNTIFS('2LS'!B3:B119,"*_NT.c", '2LS'!O3:O119,"wrong", '2LS'!AU3:AU119,"*Bit Calculation*")</f>
        <v>0</v>
      </c>
    </row>
    <row r="20" spans="2:23" x14ac:dyDescent="0.25">
      <c r="B20" s="209"/>
      <c r="C20" s="209"/>
      <c r="D20" s="212"/>
      <c r="E20" s="30" t="s">
        <v>152</v>
      </c>
      <c r="F20" s="106">
        <f>COUNTIFS(Athena!B3:B119,"*_NT.c", Athena!Z3:Z119,"correct", Athena!AC3:AC119,"&gt;0", Athena!AU3:AU119,"*Bit Calculation*")</f>
        <v>5</v>
      </c>
      <c r="G20" s="106">
        <f>COUNTIFS(Athena!B3:B119,"*_NT.c", Athena!Z3:Z119,"correct", Athena!AC3:AC119,"=0", Athena!AU3:AU119,"*Bit Calculation*")</f>
        <v>0</v>
      </c>
      <c r="H20" s="106">
        <f>COUNTIFS(Athena!B3:B119,"*_NT.c", Athena!Z3:Z119,"wrong", Athena!AU3:AU119,"*Pointer*")</f>
        <v>0</v>
      </c>
      <c r="I20" s="107">
        <f>COUNTIFS(PROTON!B3:B119,"*_NT.c", PROTON!Z3:Z119,"correct", PROTON!AC3:AC119,"&gt;0", PROTON!AU3:AU119,"*Bit Calculation*")</f>
        <v>4</v>
      </c>
      <c r="J20" s="106">
        <f>COUNTIFS(PROTON!B3:B119,"*_NT.c", PROTON!Z3:Z119,"correct", PROTON!AC3:AC119,"=0", PROTON!AU3:AU119,"*Bit Calculation*")</f>
        <v>1</v>
      </c>
      <c r="K20" s="106">
        <f>COUNTIFS(PROTON!B3:B119,"*_NT.c", PROTON!Z3:Z119,"wrong", PROTON!AU3:AU119,"*Bit Calculation*")</f>
        <v>0</v>
      </c>
      <c r="L20" s="107">
        <f>COUNTIFS(UAutomizer!B3:B119,"*_NT.c", UAutomizer!Z3:Z119,"correct", UAutomizer!AC3:AC119,"&gt;0", UAutomizer!AU3:AU119,"*Bit Calculation*")</f>
        <v>2</v>
      </c>
      <c r="M20" s="106">
        <f>COUNTIFS(UAutomizer!B3:B119,"*_NT.c", UAutomizer!Z3:Z119,"correct", UAutomizer!AC3:AC119,"=0", UAutomizer!AU3:AU119,"*Bit Calculation*")</f>
        <v>2</v>
      </c>
      <c r="N20" s="106">
        <f>COUNTIFS(UAutomizer!B3:B119,"*_NT.c", UAutomizer!Z3:Z119,"wrong", UAutomizer!AU3:AU119,"*Bit Calculation*")</f>
        <v>1</v>
      </c>
      <c r="O20" s="107">
        <f>COUNTIFS(AProVE!B3:B119,"*_NT.c", AProVE!Z3:Z119,"correct", AProVE!AC3:AC119,"&gt;0", AProVE!AU3:AU119,"*Bit Calculation*")</f>
        <v>0</v>
      </c>
      <c r="P20" s="106">
        <f>COUNTIFS(AProVE!B3:B119,"*_NT.c", AProVE!Z3:Z119,"correct", AProVE!AC3:AC119,"=0", AProVE!AU3:AU119,"*Bit Calculation*")</f>
        <v>5</v>
      </c>
      <c r="Q20" s="106">
        <f>COUNTIFS(AProVE!B3:B119,"*_NT.c", AProVE!Z3:Z119,"wrong", AProVE!AU3:AU119,"*Bit Calculation*")</f>
        <v>0</v>
      </c>
      <c r="R20" s="107">
        <f>COUNTIFS(CPAchecker!B3:B119,"*_NT.c", CPAchecker!Z3:Z119,"correct", CPAchecker!AC3:AC119,"&gt;0", CPAchecker!AU3:AU119,"*Bit Calculation*")</f>
        <v>5</v>
      </c>
      <c r="S20" s="106">
        <f>COUNTIFS(CPAchecker!B3:B119,"*_NT.c", CPAchecker!Z3:Z119,"correct", CPAchecker!AC3:AC119,"=0", CPAchecker!AU3:AU119,"*Bit Calculation*")</f>
        <v>0</v>
      </c>
      <c r="T20" s="106">
        <f>COUNTIFS(CPAchecker!B3:B119,"*_NT.c", CPAchecker!Z3:Z119,"wrong", CPAchecker!AU3:AU119,"*Bit Calculation*")</f>
        <v>0</v>
      </c>
      <c r="U20" s="107">
        <f>COUNTIFS('2LS'!B3:B119,"*_NT.c", '2LS'!Z3:Z119,"correct", '2LS'!AC3:AC119,"&gt;0", '2LS'!AU3:AU119,"*Bit Calculation*")</f>
        <v>5</v>
      </c>
      <c r="V20" s="106">
        <f>COUNTIFS('2LS'!B3:B119,"*_NT.c", '2LS'!Z3:Z119,"correct", '2LS'!AC3:AC119,"=0", '2LS'!AU3:AU119,"*Bit Calculation*")</f>
        <v>0</v>
      </c>
      <c r="W20" s="106">
        <f>COUNTIFS('2LS'!B3:B119,"*_NT.c", '2LS'!Z3:Z119,"wrong", '2LS'!AU3:AU119,"*Bit Calculation*")</f>
        <v>0</v>
      </c>
    </row>
    <row r="21" spans="2:23" x14ac:dyDescent="0.25">
      <c r="B21" s="209"/>
      <c r="C21" s="209"/>
      <c r="D21" s="212"/>
      <c r="E21" s="31" t="s">
        <v>153</v>
      </c>
      <c r="F21" s="108">
        <f>COUNTIFS(Athena!B3:B119,"*_NT.c", Athena!AK3:AK119,"correct", Athena!AN3:AN119,"&gt;0", Athena!AU3:AU119,"*Bit Calculation*")</f>
        <v>5</v>
      </c>
      <c r="G21" s="108">
        <f>COUNTIFS(Athena!B3:B119,"*_NT.c", Athena!AK3:AK119,"correct", Athena!AN3:AN119,"=0", Athena!AU3:AU119,"*Bit Calculation*")</f>
        <v>0</v>
      </c>
      <c r="H21" s="108">
        <f>COUNTIFS(Athena!B3:B119,"*_NT.c", Athena!AK3:AK119,"wrong", Athena!AU3:AU119,"*Pointer*")</f>
        <v>0</v>
      </c>
      <c r="I21" s="109">
        <f>COUNTIFS(PROTON!B3:B119,"*_NT.c", PROTON!AK3:AK119,"correct", PROTON!AN3:AN119,"&gt;0", PROTON!AU3:AU119,"*Bit Calculation*")</f>
        <v>5</v>
      </c>
      <c r="J21" s="108">
        <f>COUNTIFS(PROTON!B3:B119,"*_NT.c", PROTON!AK3:AK119,"correct", PROTON!AN3:AN119,"=0", PROTON!AU3:AU119,"*Bit Calculation*")</f>
        <v>0</v>
      </c>
      <c r="K21" s="108">
        <f>COUNTIFS(PROTON!B3:B119,"*_NT.c", PROTON!AK3:AK119,"wrong", PROTON!AU3:AU119,"*Bit Calculation*")</f>
        <v>0</v>
      </c>
      <c r="L21" s="109">
        <f>COUNTIFS(UAutomizer!B3:B119,"*_NT.c", UAutomizer!AK3:AK119,"correct", UAutomizer!AN3:AN119,"&gt;0", UAutomizer!AU3:AU119,"*Bit Calculation*")</f>
        <v>2</v>
      </c>
      <c r="M21" s="108">
        <f>COUNTIFS(UAutomizer!B3:B119,"*_NT.c", UAutomizer!AK3:AK119,"correct", UAutomizer!AN3:AN119,"=0", UAutomizer!AU3:AU119,"*Bit Calculation*")</f>
        <v>2</v>
      </c>
      <c r="N21" s="108">
        <f>COUNTIFS(UAutomizer!B3:B119,"*_NT.c", UAutomizer!AK3:AK119,"wrong", UAutomizer!AU3:AU119,"*Bit Calculation*")</f>
        <v>1</v>
      </c>
      <c r="O21" s="109">
        <f>COUNTIFS(AProVE!B3:B119,"*_NT.c", AProVE!AK3:AK119,"correct", AProVE!AN3:AN119,"&gt;0", AProVE!AU3:AU119,"*Bit Calculation*")</f>
        <v>0</v>
      </c>
      <c r="P21" s="108">
        <f>COUNTIFS(AProVE!B3:B119,"*_NT.c", AProVE!AK3:AK119,"correct", AProVE!AN3:AN119,"=0", AProVE!AU3:AU119,"*Bit Calculation*")</f>
        <v>5</v>
      </c>
      <c r="Q21" s="108">
        <f>COUNTIFS(AProVE!B3:B119,"*_NT.c", AProVE!AK3:AK119,"wrong", AProVE!AU3:AU119,"*Bit Calculation*")</f>
        <v>0</v>
      </c>
      <c r="R21" s="109">
        <f>COUNTIFS(CPAchecker!B3:B119,"*_NT.c", CPAchecker!AK3:AK119,"correct", CPAchecker!AN3:AN119,"&gt;0", CPAchecker!AU3:AU119,"*Bit Calculation*")</f>
        <v>5</v>
      </c>
      <c r="S21" s="108">
        <f>COUNTIFS(CPAchecker!B3:B119,"*_NT.c", CPAchecker!AK3:AK119,"correct", CPAchecker!AN3:AN119,"=0", CPAchecker!AU3:AU119,"*Bit Calculation*")</f>
        <v>0</v>
      </c>
      <c r="T21" s="108">
        <f>COUNTIFS(CPAchecker!B3:B119,"*_NT.c", CPAchecker!AK3:AK119,"wrong", CPAchecker!AU3:AU119,"*Bit Calculation*")</f>
        <v>0</v>
      </c>
      <c r="U21" s="109">
        <f>COUNTIFS('2LS'!B3:B119,"*_NT.c", '2LS'!AK3:AK119,"correct", '2LS'!AN3:AN119,"&gt;0", '2LS'!AU3:AU119,"*Bit Calculation*")</f>
        <v>5</v>
      </c>
      <c r="V21" s="108">
        <f>COUNTIFS('2LS'!B3:B119,"*_NT.c", '2LS'!AK3:AK119,"correct", '2LS'!AN3:AN119,"=0", '2LS'!AU3:AU119,"*Bit Calculation*")</f>
        <v>0</v>
      </c>
      <c r="W21" s="108">
        <f>COUNTIFS('2LS'!B3:B119,"*_NT.c", '2LS'!AK3:AK119,"wrong", '2LS'!AU3:AU119,"*Bit Calculation*")</f>
        <v>0</v>
      </c>
    </row>
    <row r="22" spans="2:23" x14ac:dyDescent="0.25">
      <c r="B22" s="208" t="s">
        <v>123</v>
      </c>
      <c r="C22" s="208"/>
      <c r="D22" s="211">
        <f>COUNTIFS(Athena!B3:B119,"*_NT.c", Athena!AU3:AU119,"*Overflow/Underflow*")</f>
        <v>14</v>
      </c>
      <c r="E22" s="30" t="s">
        <v>114</v>
      </c>
      <c r="F22" s="106">
        <f>COUNTIFS(Athena!B3:B119,"*_NT.c", Athena!D3:D119,"correct", Athena!G3:G119,"&gt;0", Athena!AU3:AU119,"*Overflow/Underflow*")</f>
        <v>14</v>
      </c>
      <c r="G22" s="106">
        <f>COUNTIFS(Athena!B3:B119,"*_NT.c", Athena!D3:D119,"correct", Athena!G3:G119,"=0", Athena!AU3:AU119,"*Overflow/Underflow*")</f>
        <v>0</v>
      </c>
      <c r="H22" s="106">
        <f>COUNTIFS(Athena!B3:B119,"*_NT.c", Athena!D3:D119,"wrong", Athena!AU3:AU119,"*Overflow/Underflow*")</f>
        <v>0</v>
      </c>
      <c r="I22" s="107">
        <f>COUNTIFS(PROTON!B3:B119,"*_NT.c", PROTON!D3:D119,"correct", PROTON!G3:G119,"&gt;0", PROTON!AU3:AU119,"*Overflow/Underflow*")</f>
        <v>9</v>
      </c>
      <c r="J22" s="106">
        <f>COUNTIFS(PROTON!B3:B119,"*_NT.c", PROTON!D3:D119,"correct", PROTON!G3:G119,"=0", PROTON!AU3:AU119,"*Overflow/Underflow*")</f>
        <v>1</v>
      </c>
      <c r="K22" s="106">
        <f>COUNTIFS(PROTON!B3:B119,"*_NT.c", PROTON!D3:D119,"wrong", PROTON!AU3:AU119,"*Overflow/Underflow*")</f>
        <v>4</v>
      </c>
      <c r="L22" s="107">
        <f>COUNTIFS(UAutomizer!B3:B119,"*_NT.c", UAutomizer!D3:D119,"correct", UAutomizer!G3:G119,"&gt;0", UAutomizer!AU3:AU119,"*Overflow/Underflow*")</f>
        <v>3</v>
      </c>
      <c r="M22" s="106">
        <f>COUNTIFS(UAutomizer!B3:B119,"*_NT.c", UAutomizer!D3:D119,"correct", UAutomizer!G3:G119,"=0", UAutomizer!AU3:AU119,"*Overflow/Underflow*")</f>
        <v>9</v>
      </c>
      <c r="N22" s="106">
        <f>COUNTIFS(UAutomizer!B3:B119,"*_NT.c", UAutomizer!D3:D119,"wrong", UAutomizer!AU3:AU119,"*Overflow/Underflow*")</f>
        <v>2</v>
      </c>
      <c r="O22" s="107">
        <f>COUNTIFS(AProVE!B3:B119,"*_NT.c", AProVE!D3:D119,"correct", AProVE!G3:G119,"&gt;0", AProVE!AU3:AU119,"*Overflow/Underflow*")</f>
        <v>1</v>
      </c>
      <c r="P22" s="106">
        <f>COUNTIFS(AProVE!B3:B119,"*_NT.c", AProVE!D3:D119,"correct", AProVE!G3:G119,"=0", AProVE!AU3:AU119,"*Overflow/Underflow*")</f>
        <v>9</v>
      </c>
      <c r="Q22" s="106">
        <f>COUNTIFS(AProVE!B3:B119,"*_NT.c", AProVE!D3:D119,"wrong", AProVE!AU3:AU119,"*Overflow/Underflow*")</f>
        <v>4</v>
      </c>
      <c r="R22" s="107">
        <f>COUNTIFS(CPAchecker!B3:B119,"*_NT.c", CPAchecker!D3:D119,"correct", CPAchecker!G3:G119,"&gt;0", CPAchecker!AU3:AU119,"*Overflow/Underflow*")</f>
        <v>7</v>
      </c>
      <c r="S22" s="106">
        <f>COUNTIFS(CPAchecker!B3:B119,"*_NT.c", CPAchecker!D3:D119,"correct", CPAchecker!G3:G119,"=0", CPAchecker!AU3:AU119,"*Overflow/Underflow*")</f>
        <v>6</v>
      </c>
      <c r="T22" s="106">
        <f>COUNTIFS(CPAchecker!B3:B119,"*_NT.c", CPAchecker!D3:D119,"wrong", CPAchecker!AU3:AU119,"*Overflow/Underflow*")</f>
        <v>1</v>
      </c>
      <c r="U22" s="107">
        <f>COUNTIFS('2LS'!B3:B119,"*_NT.c", '2LS'!D3:D119,"correct", '2LS'!G3:G119,"&gt;0", '2LS'!AU3:AU119,"*Overflow/Underflow*")</f>
        <v>1</v>
      </c>
      <c r="V22" s="106">
        <f>COUNTIFS('2LS'!B3:B119,"*_NT.c", '2LS'!D3:D119,"correct", '2LS'!G3:G119,"=0", '2LS'!AU3:AU119,"*Overflow/Underflow*")</f>
        <v>13</v>
      </c>
      <c r="W22" s="106">
        <f>COUNTIFS('2LS'!B3:B119,"*_NT.c", '2LS'!D3:D119,"wrong", '2LS'!AU3:AU119,"*Overflow/Underflow*")</f>
        <v>0</v>
      </c>
    </row>
    <row r="23" spans="2:23" x14ac:dyDescent="0.25">
      <c r="B23" s="209"/>
      <c r="C23" s="209"/>
      <c r="D23" s="212"/>
      <c r="E23" s="30" t="s">
        <v>115</v>
      </c>
      <c r="F23" s="106">
        <f>COUNTIFS(Athena!B3:B119,"*_NT.c", Athena!O3:O119,"correct", Athena!R3:R119,"&gt;0", Athena!AU3:AU119,"*Overflow/Underflow*")</f>
        <v>13</v>
      </c>
      <c r="G23" s="106">
        <f>COUNTIFS(Athena!B3:B119,"*_NT.c", Athena!O3:O119,"correct", Athena!R3:R119,"=0", Athena!AU3:AU119,"*Overflow/Underflow*")</f>
        <v>1</v>
      </c>
      <c r="H23" s="106">
        <f>COUNTIFS(Athena!B3:B119,"*_NT.c", Athena!O3:O119,"wrong", Athena!AU3:AU119,"*Overflow/Underflow*")</f>
        <v>0</v>
      </c>
      <c r="I23" s="107">
        <f>COUNTIFS(PROTON!B3:B119,"*_NT.c", PROTON!O3:O119,"correct", PROTON!R3:R119,"&gt;0", PROTON!AU3:AU119,"*Overflow/Underflow*")</f>
        <v>9</v>
      </c>
      <c r="J23" s="106">
        <f>COUNTIFS(PROTON!B3:B119,"*_NT.c", PROTON!O3:O119,"correct", PROTON!R3:R119,"=0", PROTON!AU3:AU119,"*Overflow/Underflow*")</f>
        <v>3</v>
      </c>
      <c r="K23" s="106">
        <f>COUNTIFS(PROTON!B3:B119,"*_NT.c", PROTON!O3:O119,"wrong", PROTON!AU3:AU119,"*Overflow/Underflow*")</f>
        <v>2</v>
      </c>
      <c r="L23" s="107">
        <f>COUNTIFS(UAutomizer!B3:B119,"*_NT.c", UAutomizer!O3:O119,"correct", UAutomizer!R3:R119,"&gt;0", UAutomizer!AU3:AU119,"*Overflow/Underflow*")</f>
        <v>4</v>
      </c>
      <c r="M23" s="106">
        <f>COUNTIFS(UAutomizer!B3:B119,"*_NT.c", UAutomizer!O3:O119,"correct", UAutomizer!R3:R119,"=0", UAutomizer!AU3:AU119,"*Overflow/Underflow*")</f>
        <v>8</v>
      </c>
      <c r="N23" s="106">
        <f>COUNTIFS(UAutomizer!B3:B119,"*_NT.c", UAutomizer!O3:O119,"wrong", UAutomizer!AU3:AU119,"*Overflow/Underflow*")</f>
        <v>2</v>
      </c>
      <c r="O23" s="107">
        <f>COUNTIFS(AProVE!B3:B119,"*_NT.c", AProVE!O3:O119,"correct", AProVE!R3:R119,"&gt;0", AProVE!AU3:AU119,"*Overflow/Underflow*")</f>
        <v>2</v>
      </c>
      <c r="P23" s="106">
        <f>COUNTIFS(AProVE!B3:B119,"*_NT.c", AProVE!O3:O119,"correct", AProVE!R3:R119,"=0", AProVE!AU3:AU119,"*Overflow/Underflow*")</f>
        <v>8</v>
      </c>
      <c r="Q23" s="106">
        <f>COUNTIFS(AProVE!B3:B119,"*_NT.c", AProVE!O3:O119,"wrong", AProVE!AU3:AU119,"*Overflow/Underflow*")</f>
        <v>4</v>
      </c>
      <c r="R23" s="107">
        <f>COUNTIFS(CPAchecker!B3:B119,"*_NT.c", CPAchecker!O3:O119,"correct", CPAchecker!R3:R119,"&gt;0", CPAchecker!AU3:AU119,"*Overflow/Underflow*")</f>
        <v>10</v>
      </c>
      <c r="S23" s="106">
        <f>COUNTIFS(CPAchecker!B3:B119,"*_NT.c", CPAchecker!O3:O119,"correct", CPAchecker!R3:R119,"=0", CPAchecker!AU3:AU119,"*Overflow/Underflow*")</f>
        <v>4</v>
      </c>
      <c r="T23" s="106">
        <f>COUNTIFS(CPAchecker!B3:B119,"*_NT.c", CPAchecker!O3:O119,"wrong", CPAchecker!AU3:AU119,"*Overflow/Underflow*")</f>
        <v>0</v>
      </c>
      <c r="U23" s="107">
        <f>COUNTIFS('2LS'!B3:B119,"*_NT.c", '2LS'!O3:O119,"correct", '2LS'!R3:R119,"&gt;0", '2LS'!AU3:AU119,"*Overflow/Underflow*")</f>
        <v>1</v>
      </c>
      <c r="V23" s="106">
        <f>COUNTIFS('2LS'!B3:B119,"*_NT.c", '2LS'!O3:O119,"correct", '2LS'!R3:R119,"=0", '2LS'!AU3:AU119,"*Overflow/Underflow*")</f>
        <v>13</v>
      </c>
      <c r="W23" s="106">
        <f>COUNTIFS('2LS'!B3:B119,"*_NT.c", '2LS'!O3:O119,"wrong", '2LS'!AU3:AU119,"*Overflow/Underflow*")</f>
        <v>0</v>
      </c>
    </row>
    <row r="24" spans="2:23" x14ac:dyDescent="0.25">
      <c r="B24" s="209"/>
      <c r="C24" s="209"/>
      <c r="D24" s="212"/>
      <c r="E24" s="30" t="s">
        <v>152</v>
      </c>
      <c r="F24" s="106">
        <f>COUNTIFS(Athena!B3:B119,"*_NT.c", Athena!Z3:Z119,"correct", Athena!AC3:AC119,"&gt;0", Athena!AU3:AU119,"*Overflow/Underflow*")</f>
        <v>14</v>
      </c>
      <c r="G24" s="106">
        <f>COUNTIFS(Athena!B3:B119,"*_NT.c", Athena!Z3:Z119,"correct", Athena!AC3:AC119,"=0", Athena!AU3:AU119,"*Overflow/Underflow*")</f>
        <v>0</v>
      </c>
      <c r="H24" s="106">
        <f>COUNTIFS(Athena!B3:B119,"*_NT.c", Athena!Z3:Z119,"wrong", Athena!AU3:AU119,"*Overflow/Underflow*")</f>
        <v>0</v>
      </c>
      <c r="I24" s="107">
        <f>COUNTIFS(PROTON!B3:B119,"*_NT.c", PROTON!Z3:Z119,"correct", PROTON!AC3:AC119,"&gt;0", PROTON!AU3:AU119,"*Overflow/Underflow*")</f>
        <v>9</v>
      </c>
      <c r="J24" s="106">
        <f>COUNTIFS(PROTON!B3:B119,"*_NT.c", PROTON!Z3:Z119,"correct", PROTON!AC3:AC119,"=0", PROTON!AU3:AU119,"*Overflow/Underflow*")</f>
        <v>1</v>
      </c>
      <c r="K24" s="106">
        <f>COUNTIFS(PROTON!B3:B119,"*_NT.c", PROTON!Z3:Z119,"wrong", PROTON!AU3:AU119,"*Overflow/Underflow*")</f>
        <v>4</v>
      </c>
      <c r="L24" s="107">
        <f>COUNTIFS(UAutomizer!B3:B119,"*_NT.c", UAutomizer!Z3:Z119,"correct", UAutomizer!AC3:AC119,"&gt;0", UAutomizer!AU3:AU119,"*Overflow/Underflow*")</f>
        <v>2</v>
      </c>
      <c r="M24" s="106">
        <f>COUNTIFS(UAutomizer!B3:B119,"*_NT.c", UAutomizer!Z3:Z119,"correct", UAutomizer!AC3:AC119,"=0", UAutomizer!AU3:AU119,"*Overflow/Underflow*")</f>
        <v>10</v>
      </c>
      <c r="N24" s="106">
        <f>COUNTIFS(UAutomizer!B3:B119,"*_NT.c", UAutomizer!Z3:Z119,"wrong", UAutomizer!AU3:AU119,"*Overflow/Underflow*")</f>
        <v>2</v>
      </c>
      <c r="O24" s="107">
        <f>COUNTIFS(AProVE!B3:B119,"*_NT.c", AProVE!Z3:Z119,"correct", AProVE!AC3:AC119,"&gt;0", AProVE!AU3:AU119,"*Overflow/Underflow*")</f>
        <v>2</v>
      </c>
      <c r="P24" s="106">
        <f>COUNTIFS(AProVE!B3:B119,"*_NT.c", AProVE!Z3:Z119,"correct", AProVE!AC3:AC119,"=0", AProVE!AU3:AU119,"*Overflow/Underflow*")</f>
        <v>9</v>
      </c>
      <c r="Q24" s="106">
        <f>COUNTIFS(AProVE!B3:B119,"*_NT.c", AProVE!Z3:Z119,"wrong", AProVE!AU3:AU119,"*Overflow/Underflow*")</f>
        <v>3</v>
      </c>
      <c r="R24" s="107">
        <f>COUNTIFS(CPAchecker!B3:B119,"*_NT.c", CPAchecker!Z3:Z119,"correct", CPAchecker!AC3:AC119,"&gt;0", CPAchecker!AU3:AU119,"*Overflow/Underflow*")</f>
        <v>7</v>
      </c>
      <c r="S24" s="106">
        <f>COUNTIFS(CPAchecker!B3:B119,"*_NT.c", CPAchecker!Z3:Z119,"correct", CPAchecker!AC3:AC119,"=0", CPAchecker!AU3:AU119,"*Overflow/Underflow*")</f>
        <v>5</v>
      </c>
      <c r="T24" s="106">
        <f>COUNTIFS(CPAchecker!B3:B119,"*_NT.c", CPAchecker!Z3:Z119,"wrong", CPAchecker!AU3:AU119,"*Overflow/Underflow*")</f>
        <v>2</v>
      </c>
      <c r="U24" s="107">
        <f>COUNTIFS('2LS'!B3:B119,"*_NT.c", '2LS'!Z3:Z119,"correct", '2LS'!AC3:AC119,"&gt;0", '2LS'!AU3:AU119,"*Overflow/Underflow*")</f>
        <v>10</v>
      </c>
      <c r="V24" s="106">
        <f>COUNTIFS('2LS'!B3:B119,"*_NT.c", '2LS'!Z3:Z119,"correct", '2LS'!AC3:AC119,"=0", '2LS'!AU3:AU119,"*Overflow/Underflow*")</f>
        <v>4</v>
      </c>
      <c r="W24" s="106">
        <f>COUNTIFS('2LS'!B3:B119,"*_NT.c", '2LS'!Z3:Z119,"wrong", '2LS'!AU3:AU119,"*Overflow/Underflow*")</f>
        <v>0</v>
      </c>
    </row>
    <row r="25" spans="2:23" x14ac:dyDescent="0.25">
      <c r="B25" s="209"/>
      <c r="C25" s="209"/>
      <c r="D25" s="212"/>
      <c r="E25" s="31" t="s">
        <v>153</v>
      </c>
      <c r="F25" s="109">
        <f>COUNTIFS(Athena!B3:B119,"*_NT.c", Athena!AK3:AK119,"correct", Athena!AN3:AN119,"&gt;0", Athena!AU3:AU119,"*Overflow/Underflow*")</f>
        <v>13</v>
      </c>
      <c r="G25" s="108">
        <f>COUNTIFS(Athena!B3:B119,"*_NT.c", Athena!AK3:AK119,"correct", Athena!AN3:AN119,"=0", Athena!AU3:AU119,"*Overflow/Underflow*")</f>
        <v>1</v>
      </c>
      <c r="H25" s="108">
        <f>COUNTIFS(Athena!B3:B119,"*_NT.c", Athena!AK3:AK119,"wrong", Athena!AU3:AU119,"*Overflow/Underflow*")</f>
        <v>0</v>
      </c>
      <c r="I25" s="109">
        <f>COUNTIFS(PROTON!B3:B119,"*_NT.c", PROTON!AK3:AK119,"correct", PROTON!AN3:AN119,"&gt;0", PROTON!AU3:AU119,"*Overflow/Underflow*")</f>
        <v>9</v>
      </c>
      <c r="J25" s="108">
        <f>COUNTIFS(PROTON!B3:B119,"*_NT.c", PROTON!AK3:AK119,"correct", PROTON!AN3:AN119,"=0", PROTON!AU3:AU119,"*Overflow/Underflow*")</f>
        <v>5</v>
      </c>
      <c r="K25" s="108">
        <f>COUNTIFS(PROTON!B3:B119,"*_NT.c", PROTON!AK3:AK119,"wrong", PROTON!AU3:AU119,"*Overflow/Underflow*")</f>
        <v>0</v>
      </c>
      <c r="L25" s="109">
        <f>COUNTIFS(UAutomizer!B3:B119,"*_NT.c", UAutomizer!AK3:AK119,"correct", UAutomizer!AN3:AN119,"&gt;0", UAutomizer!AU3:AU119,"*Overflow/Underflow*")</f>
        <v>3</v>
      </c>
      <c r="M25" s="108">
        <f>COUNTIFS(UAutomizer!B3:B119,"*_NT.c", UAutomizer!AK3:AK119,"correct", UAutomizer!AN3:AN119,"=0", UAutomizer!AU3:AU119,"*Overflow/Underflow*")</f>
        <v>9</v>
      </c>
      <c r="N25" s="108">
        <f>COUNTIFS(UAutomizer!B3:B119,"*_NT.c", UAutomizer!AK3:AK119,"wrong", UAutomizer!AU3:AU119,"*Overflow/Underflow*")</f>
        <v>2</v>
      </c>
      <c r="O25" s="109">
        <f>COUNTIFS(AProVE!B3:B119,"*_NT.c", AProVE!AK3:AK119,"correct", AProVE!AN3:AN119,"&gt;0", AProVE!AU3:AU119,"*Overflow/Underflow*")</f>
        <v>3</v>
      </c>
      <c r="P25" s="108">
        <f>COUNTIFS(AProVE!B3:B119,"*_NT.c", AProVE!AK3:AK119,"correct", AProVE!AN3:AN119,"=0", AProVE!AU3:AU119,"*Overflow/Underflow*")</f>
        <v>10</v>
      </c>
      <c r="Q25" s="108">
        <f>COUNTIFS(AProVE!B3:B119,"*_NT.c", AProVE!AK3:AK119,"wrong", AProVE!AU3:AU119,"*Overflow/Underflow*")</f>
        <v>1</v>
      </c>
      <c r="R25" s="109">
        <f>COUNTIFS(CPAchecker!B3:B119,"*_NT.c", CPAchecker!AK3:AK119,"correct", CPAchecker!AN3:AN119,"&gt;0", CPAchecker!AU3:AU119,"*Overflow/Underflow*")</f>
        <v>9</v>
      </c>
      <c r="S25" s="108">
        <f>COUNTIFS(CPAchecker!B3:B119,"*_NT.c", CPAchecker!AK3:AK119,"correct", CPAchecker!AN3:AN119,"=0", CPAchecker!AU3:AU119,"*Overflow/Underflow*")</f>
        <v>4</v>
      </c>
      <c r="T25" s="108">
        <f>COUNTIFS(CPAchecker!B3:B119,"*_NT.c", CPAchecker!AK3:AK119,"wrong", CPAchecker!AU3:AU119,"*Overflow/Underflow*")</f>
        <v>1</v>
      </c>
      <c r="U25" s="109">
        <f>COUNTIFS('2LS'!B3:B119,"*_NT.c", '2LS'!AK3:AK119,"correct", '2LS'!AN3:AN119,"&gt;0", '2LS'!AU3:AU119,"*Overflow/Underflow*")</f>
        <v>10</v>
      </c>
      <c r="V25" s="108">
        <f>COUNTIFS('2LS'!B3:B119,"*_NT.c", '2LS'!AK3:AK119,"correct", '2LS'!AN3:AN119,"=0", '2LS'!AU3:AU119,"*Overflow/Underflow*")</f>
        <v>4</v>
      </c>
      <c r="W25" s="108">
        <f>COUNTIFS('2LS'!B3:B119,"*_NT.c", '2LS'!AK3:AK119,"wrong", '2LS'!AU3:AU119,"*Overflow/Underflow*")</f>
        <v>0</v>
      </c>
    </row>
    <row r="26" spans="2:23" x14ac:dyDescent="0.25">
      <c r="B26" s="208" t="s">
        <v>96</v>
      </c>
      <c r="C26" s="208"/>
      <c r="D26" s="211">
        <f>COUNTIFS(Athena!B3:B119,"*_NT.c", Athena!AU3:AU119,"*Recursion*")</f>
        <v>12</v>
      </c>
      <c r="E26" s="30" t="s">
        <v>114</v>
      </c>
      <c r="F26" s="106">
        <f>COUNTIFS(Athena!B3:B119,"*_NT.c", Athena!D3:D119,"correct", Athena!G3:G119,"&gt;0", Athena!AU3:AU119,"*Recursion*")</f>
        <v>0</v>
      </c>
      <c r="G26" s="106">
        <f>COUNTIFS(Athena!B3:B119,"*_NT.c", Athena!D3:D119,"correct", Athena!G3:G119,"=0", Athena!AU3:AU119,"*Recursion*")</f>
        <v>12</v>
      </c>
      <c r="H26" s="106">
        <f>COUNTIFS(Athena!B3:B119,"*_NT.c", Athena!D3:D119,"wrong", Athena!AU3:AU119,"*Recursion*")</f>
        <v>0</v>
      </c>
      <c r="I26" s="107">
        <f>COUNTIFS(PROTON!B3:B119,"*_NT.c", PROTON!D3:D119,"correct", PROTON!G3:G119,"&gt;0", PROTON!AU3:AU119,"*Recursion*")</f>
        <v>0</v>
      </c>
      <c r="J26" s="106">
        <f>COUNTIFS(PROTON!B3:B119,"*_NT.c", PROTON!D3:D119,"correct", PROTON!G3:G119,"=0", PROTON!AU3:AU119,"*Recursion*")</f>
        <v>11</v>
      </c>
      <c r="K26" s="106">
        <f>COUNTIFS(PROTON!B3:B119,"*_NT.c", PROTON!D3:D119,"wrong", PROTON!AU3:AU119,"*Recursion*")</f>
        <v>1</v>
      </c>
      <c r="L26" s="107">
        <f>COUNTIFS(UAutomizer!B3:B119,"*_NT.c", UAutomizer!D3:D119,"correct", UAutomizer!G3:G119,"&gt;0", UAutomizer!AU3:AU119,"*Recursion*")</f>
        <v>4</v>
      </c>
      <c r="M26" s="106">
        <f>COUNTIFS(UAutomizer!B3:B119,"*_NT.c", UAutomizer!D3:D119,"correct", UAutomizer!G3:G119,"=0", UAutomizer!AU3:AU119,"*Recursion*")</f>
        <v>8</v>
      </c>
      <c r="N26" s="106">
        <f>COUNTIFS(UAutomizer!B3:B119,"*_NT.c", UAutomizer!D3:D119,"wrong", UAutomizer!AU3:AU119,"*Recursion*")</f>
        <v>0</v>
      </c>
      <c r="O26" s="107">
        <f>COUNTIFS(AProVE!B3:B119,"*_NT.c", AProVE!D3:D119,"correct", AProVE!G3:G119,"&gt;0", AProVE!AU3:AU119,"*Recursion*")</f>
        <v>2</v>
      </c>
      <c r="P26" s="106">
        <f>COUNTIFS(AProVE!B3:B119,"*_NT.c", AProVE!D3:D119,"correct", AProVE!G3:G119,"=0", AProVE!AU3:AU119,"*Recursion*")</f>
        <v>10</v>
      </c>
      <c r="Q26" s="106">
        <f>COUNTIFS(AProVE!B3:B119,"*_NT.c", AProVE!D3:D119,"wrong", AProVE!AU3:AU119,"*Recursion*")</f>
        <v>0</v>
      </c>
      <c r="R26" s="107">
        <f>COUNTIFS(CPAchecker!B3:B119,"*_NT.c", CPAchecker!D3:D119,"correct", CPAchecker!G3:G119,"&gt;0", CPAchecker!AU3:AU119,"*Recursion*")</f>
        <v>0</v>
      </c>
      <c r="S26" s="106">
        <f>COUNTIFS(CPAchecker!B3:B119,"*_NT.c", CPAchecker!D3:D119,"correct", CPAchecker!G3:G119,"=0", CPAchecker!AU3:AU119,"*Recursion*")</f>
        <v>12</v>
      </c>
      <c r="T26" s="106">
        <f>COUNTIFS(CPAchecker!B3:B119,"*_NT.c", CPAchecker!D3:D119,"wrong", CPAchecker!AU3:AU119,"*Recursion*")</f>
        <v>0</v>
      </c>
      <c r="U26" s="107">
        <f>COUNTIFS('2LS'!B3:B119,"*_NT.c", '2LS'!D3:D119,"correct", '2LS'!G3:G119,"&gt;0", '2LS'!AU3:AU119,"*Recursion*")</f>
        <v>0</v>
      </c>
      <c r="V26" s="106">
        <f>COUNTIFS('2LS'!B3:B119,"*_NT.c", '2LS'!D3:D119,"correct", '2LS'!G3:G119,"=0", '2LS'!AU3:AU119,"*Recursion*")</f>
        <v>9</v>
      </c>
      <c r="W26" s="106">
        <f>COUNTIFS('2LS'!B3:B119,"*_NT.c", '2LS'!D3:D119,"wrong", '2LS'!AU3:AU119,"*Recursion*")</f>
        <v>3</v>
      </c>
    </row>
    <row r="27" spans="2:23" x14ac:dyDescent="0.25">
      <c r="B27" s="209"/>
      <c r="C27" s="209"/>
      <c r="D27" s="212"/>
      <c r="E27" s="30" t="s">
        <v>115</v>
      </c>
      <c r="F27" s="106">
        <f>COUNTIFS(Athena!B3:B119,"*_NT.c", Athena!O3:O119,"correct", Athena!R3:R119,"&gt;0", Athena!AU3:AU119,"*Recursion*")</f>
        <v>0</v>
      </c>
      <c r="G27" s="106">
        <f>COUNTIFS(Athena!B3:B119,"*_NT.c", Athena!O3:O119,"correct", Athena!R3:R119,"=0", Athena!AU3:AU119,"*Recursion*")</f>
        <v>12</v>
      </c>
      <c r="H27" s="106">
        <f>COUNTIFS(Athena!B3:B119,"*_NT.c", Athena!O3:O119,"wrong", Athena!AU3:AU119,"*Recursion*")</f>
        <v>0</v>
      </c>
      <c r="I27" s="107">
        <f>COUNTIFS(PROTON!B3:B119,"*_NT.c", PROTON!O3:O119,"correct", PROTON!R3:R119,"&gt;0", PROTON!AU3:AU119,"*Recursion*")</f>
        <v>0</v>
      </c>
      <c r="J27" s="106">
        <f>COUNTIFS(PROTON!B3:B119,"*_NT.c", PROTON!O3:O119,"correct", PROTON!R3:R119,"=0", PROTON!AU3:AU119,"*Recursion*")</f>
        <v>11</v>
      </c>
      <c r="K27" s="106">
        <f>COUNTIFS(PROTON!B3:B119,"*_NT.c", PROTON!O3:O119,"wrong", PROTON!AU3:AU119,"*Recursion*")</f>
        <v>1</v>
      </c>
      <c r="L27" s="107">
        <f>COUNTIFS(UAutomizer!B3:B119,"*_NT.c", UAutomizer!O3:O119,"correct", UAutomizer!R3:R119,"&gt;0", UAutomizer!AU3:AU119,"*Recursion*")</f>
        <v>0</v>
      </c>
      <c r="M27" s="106">
        <f>COUNTIFS(UAutomizer!B3:B119,"*_NT.c", UAutomizer!O3:O119,"correct", UAutomizer!R3:R119,"=0", UAutomizer!AU3:AU119,"*Recursion*")</f>
        <v>12</v>
      </c>
      <c r="N27" s="106">
        <f>COUNTIFS(UAutomizer!B3:B119,"*_NT.c", UAutomizer!O3:O119,"wrong", UAutomizer!AU3:AU119,"*Recursion*")</f>
        <v>0</v>
      </c>
      <c r="O27" s="107">
        <f>COUNTIFS(AProVE!B3:B119,"*_NT.c", AProVE!O3:O119,"correct", AProVE!R3:R119,"&gt;0", AProVE!AU3:AU119,"*Recursion*")</f>
        <v>2</v>
      </c>
      <c r="P27" s="106">
        <f>COUNTIFS(AProVE!B3:B119,"*_NT.c", AProVE!O3:O119,"correct", AProVE!R3:R119,"=0", AProVE!AU3:AU119,"*Recursion*")</f>
        <v>10</v>
      </c>
      <c r="Q27" s="106">
        <f>COUNTIFS(AProVE!B3:B119,"*_NT.c", AProVE!O3:O119,"wrong", AProVE!AU3:AU119,"*Recursion*")</f>
        <v>0</v>
      </c>
      <c r="R27" s="107">
        <f>COUNTIFS(CPAchecker!B3:B119,"*_NT.c", CPAchecker!O3:O119,"correct", CPAchecker!R3:R119,"&gt;0", CPAchecker!AU3:AU119,"*Recursion*")</f>
        <v>0</v>
      </c>
      <c r="S27" s="106">
        <f>COUNTIFS(CPAchecker!B3:B119,"*_NT.c", CPAchecker!O3:O119,"correct", CPAchecker!R3:R119,"=0", CPAchecker!AU3:AU119,"*Recursion*")</f>
        <v>12</v>
      </c>
      <c r="T27" s="106">
        <f>COUNTIFS(CPAchecker!B3:B119,"*_NT.c", CPAchecker!O3:O119,"wrong", CPAchecker!AU3:AU119,"*Recursion*")</f>
        <v>0</v>
      </c>
      <c r="U27" s="107">
        <f>COUNTIFS('2LS'!B3:B119,"*_NT.c", '2LS'!O3:O119,"correct", '2LS'!R3:R119,"&gt;0", '2LS'!AU3:AU119,"*Recursion*")</f>
        <v>0</v>
      </c>
      <c r="V27" s="106">
        <f>COUNTIFS('2LS'!B3:B119,"*_NT.c", '2LS'!O3:O119,"correct", '2LS'!R3:R119,"=0", '2LS'!AU3:AU119,"*Recursion*")</f>
        <v>9</v>
      </c>
      <c r="W27" s="106">
        <f>COUNTIFS('2LS'!B3:B119,"*_NT.c", '2LS'!O3:O119,"wrong", '2LS'!AU3:AU119,"*Recursion*")</f>
        <v>3</v>
      </c>
    </row>
    <row r="28" spans="2:23" x14ac:dyDescent="0.25">
      <c r="B28" s="209"/>
      <c r="C28" s="209"/>
      <c r="D28" s="212"/>
      <c r="E28" s="30" t="s">
        <v>152</v>
      </c>
      <c r="F28" s="106">
        <f>COUNTIFS(Athena!B3:B119,"*_NT.c", Athena!Z3:Z119,"correct", Athena!AC3:AC119,"&gt;0", Athena!AU3:AU119,"*Recursion*")</f>
        <v>0</v>
      </c>
      <c r="G28" s="106">
        <f>COUNTIFS(Athena!B3:B119,"*_NT.c", Athena!Z3:Z119,"correct", Athena!AC3:AC119,"=0", Athena!AU3:AU119,"*Recursion*")</f>
        <v>12</v>
      </c>
      <c r="H28" s="106">
        <f>COUNTIFS(Athena!B3:B119,"*_NT.c", Athena!Z3:Z119,"wrong", Athena!AU3:AU119,"*Recursion*")</f>
        <v>0</v>
      </c>
      <c r="I28" s="107">
        <f>COUNTIFS(PROTON!B3:B119,"*_NT.c", PROTON!Z3:Z119,"correct", PROTON!AC3:AC119,"&gt;0", PROTON!AU3:AU119,"*Recursion*")</f>
        <v>0</v>
      </c>
      <c r="J28" s="106">
        <f>COUNTIFS(PROTON!B3:B119,"*_NT.c", PROTON!Z3:Z119,"correct", PROTON!AC3:AC119,"=0", PROTON!AU3:AU119,"*Recursion*")</f>
        <v>11</v>
      </c>
      <c r="K28" s="106">
        <f>COUNTIFS(PROTON!B3:B119,"*_NT.c", PROTON!Z3:Z119,"wrong", PROTON!AU3:AU119,"*Recursion*")</f>
        <v>1</v>
      </c>
      <c r="L28" s="107">
        <f>COUNTIFS(UAutomizer!B3:B119,"*_NT.c", UAutomizer!Z3:Z119,"correct", UAutomizer!AC3:AC119,"&gt;0", UAutomizer!AU3:AU119,"*Recursion*")</f>
        <v>4</v>
      </c>
      <c r="M28" s="106">
        <f>COUNTIFS(UAutomizer!B3:B119,"*_NT.c", UAutomizer!Z3:Z119,"correct", UAutomizer!AC3:AC119,"=0", UAutomizer!AU3:AU119,"*Recursion*")</f>
        <v>8</v>
      </c>
      <c r="N28" s="106">
        <f>COUNTIFS(UAutomizer!B3:B119,"*_NT.c", UAutomizer!Z3:Z119,"wrong", UAutomizer!AU3:AU119,"*Recursion*")</f>
        <v>0</v>
      </c>
      <c r="O28" s="107">
        <f>COUNTIFS(AProVE!B3:B119,"*_NT.c", AProVE!Z3:Z119,"correct", AProVE!AC3:AC119,"&gt;0", AProVE!AU3:AU119,"*Recursion*")</f>
        <v>4</v>
      </c>
      <c r="P28" s="106">
        <f>COUNTIFS(AProVE!B3:B119,"*_NT.c", AProVE!Z3:Z119,"correct", AProVE!AC3:AC119,"=0", AProVE!AU3:AU119,"*Recursion*")</f>
        <v>8</v>
      </c>
      <c r="Q28" s="106">
        <f>COUNTIFS(AProVE!B3:B119,"*_NT.c", AProVE!Z3:Z119,"wrong", AProVE!AU3:AU119,"*Recursion*")</f>
        <v>0</v>
      </c>
      <c r="R28" s="107">
        <f>COUNTIFS(CPAchecker!B3:B119,"*_NT.c", CPAchecker!Z3:Z119,"correct", CPAchecker!AC3:AC119,"&gt;0", CPAchecker!AU3:AU119,"*Recursion*")</f>
        <v>0</v>
      </c>
      <c r="S28" s="106">
        <f>COUNTIFS(CPAchecker!B3:B119,"*_NT.c", CPAchecker!Z3:Z119,"correct", CPAchecker!AC3:AC119,"=0", CPAchecker!AU3:AU119,"*Recursion*")</f>
        <v>12</v>
      </c>
      <c r="T28" s="106">
        <f>COUNTIFS(CPAchecker!B3:B119,"*_NT.c", CPAchecker!Z3:Z119,"wrong", CPAchecker!AU3:AU119,"*Recursion*")</f>
        <v>0</v>
      </c>
      <c r="U28" s="107">
        <f>COUNTIFS('2LS'!B3:B119,"*_NT.c", '2LS'!Z3:Z119,"correct", '2LS'!AC3:AC119,"&gt;0", '2LS'!AU3:AU119,"*Recursion*")</f>
        <v>0</v>
      </c>
      <c r="V28" s="106">
        <f>COUNTIFS('2LS'!B3:B119,"*_NT.c", '2LS'!Z3:Z119,"correct", '2LS'!AC3:AC119,"=0", '2LS'!AU3:AU119,"*Recursion*")</f>
        <v>9</v>
      </c>
      <c r="W28" s="106">
        <f>COUNTIFS('2LS'!B3:B119,"*_NT.c", '2LS'!Z3:Z119,"wrong", '2LS'!AU3:AU119,"*Recursion*")</f>
        <v>3</v>
      </c>
    </row>
    <row r="29" spans="2:23" ht="21" thickBot="1" x14ac:dyDescent="0.3">
      <c r="B29" s="209"/>
      <c r="C29" s="209"/>
      <c r="D29" s="212"/>
      <c r="E29" s="30" t="s">
        <v>153</v>
      </c>
      <c r="F29" s="106">
        <f>COUNTIFS(Athena!B3:B119,"*_NT.c", Athena!AK3:AK119,"correct", Athena!AN3:AN119,"&gt;0", Athena!AU3:AU119,"*Recursion*")</f>
        <v>0</v>
      </c>
      <c r="G29" s="106">
        <f>COUNTIFS(Athena!B3:B119,"*_NT.c", Athena!AK3:AK119,"correct", Athena!AN3:AN119,"=0", Athena!AU3:AU119,"*Recursion*")</f>
        <v>12</v>
      </c>
      <c r="H29" s="108">
        <f>COUNTIFS(Athena!B3:B119,"*_NT.c", Athena!AK3:AK119,"wrong", Athena!AU3:AU119,"*Recursion*")</f>
        <v>0</v>
      </c>
      <c r="I29" s="109">
        <f>COUNTIFS(PROTON!B3:B119,"*_NT.c", PROTON!AK3:AK119,"correct", PROTON!AN3:AN119,"&gt;0", PROTON!AU3:AU119,"*Recursion*")</f>
        <v>0</v>
      </c>
      <c r="J29" s="108">
        <f>COUNTIFS(PROTON!B3:B119,"*_NT.c", PROTON!AK3:AK119,"correct", PROTON!AN3:AN119,"=0", PROTON!AU3:AU119,"*Recursion*")</f>
        <v>11</v>
      </c>
      <c r="K29" s="108">
        <f>COUNTIFS(PROTON!B3:B119,"*_NT.c", PROTON!AK3:AK119,"wrong", PROTON!AU3:AU119,"*Recursion*")</f>
        <v>1</v>
      </c>
      <c r="L29" s="109">
        <f>COUNTIFS(UAutomizer!B3:B119,"*_NT.c", UAutomizer!AK3:AK119,"correct", UAutomizer!AN3:AN119,"&gt;0", UAutomizer!AU3:AU119,"*Recursion*")</f>
        <v>0</v>
      </c>
      <c r="M29" s="108">
        <f>COUNTIFS(UAutomizer!B3:B119,"*_NT.c", UAutomizer!AK3:AK119,"correct", UAutomizer!AN3:AN119,"=0", UAutomizer!AU3:AU119,"*Recursion*")</f>
        <v>12</v>
      </c>
      <c r="N29" s="108">
        <f>COUNTIFS(UAutomizer!B3:B119,"*_NT.c", UAutomizer!AK3:AK119,"wrong", UAutomizer!AU3:AU119,"*Recursion*")</f>
        <v>0</v>
      </c>
      <c r="O29" s="109">
        <f>COUNTIFS(AProVE!B3:B119,"*_NT.c", AProVE!AK3:AK119,"correct", AProVE!AN3:AN119,"&gt;0", AProVE!AU3:AU119,"*Recursion*")</f>
        <v>4</v>
      </c>
      <c r="P29" s="108">
        <f>COUNTIFS(AProVE!B3:B119,"*_NT.c", AProVE!AK3:AK119,"correct", AProVE!AN3:AN119,"=0", AProVE!AU3:AU119,"*Recursion*")</f>
        <v>8</v>
      </c>
      <c r="Q29" s="108">
        <f>COUNTIFS(AProVE!B3:B119,"*_NT.c", AProVE!AK3:AK119,"wrong", AProVE!AU3:AU119,"*Recursion*")</f>
        <v>0</v>
      </c>
      <c r="R29" s="109">
        <f>COUNTIFS(CPAchecker!B3:B119,"*_NT.c", CPAchecker!AK3:AK119,"correct", CPAchecker!AN3:AN119,"&gt;0", CPAchecker!AU3:AU119,"*Recursion*")</f>
        <v>0</v>
      </c>
      <c r="S29" s="108">
        <f>COUNTIFS(CPAchecker!B3:B119,"*_NT.c", CPAchecker!AK3:AK119,"correct", CPAchecker!AN3:AN119,"=0", CPAchecker!AU3:AU119,"*Recursion*")</f>
        <v>12</v>
      </c>
      <c r="T29" s="108">
        <f>COUNTIFS(CPAchecker!B3:B119,"*_NT.c", CPAchecker!AK3:AK119,"wrong", CPAchecker!AU3:AU119,"*Recursion*")</f>
        <v>0</v>
      </c>
      <c r="U29" s="109">
        <f>COUNTIFS('2LS'!B3:B119,"*_NT.c", '2LS'!AK3:AK119,"correct", '2LS'!AN3:AN119,"&gt;0", '2LS'!AU3:AU119,"*Recursion*")</f>
        <v>0</v>
      </c>
      <c r="V29" s="108">
        <f>COUNTIFS('2LS'!B3:B119,"*_NT.c", '2LS'!AK3:AK119,"correct", '2LS'!AN3:AN119,"=0", '2LS'!AU3:AU119,"*Recursion*")</f>
        <v>9</v>
      </c>
      <c r="W29" s="108">
        <f>COUNTIFS('2LS'!B3:B119,"*_NT.c", '2LS'!AK3:AK119,"wrong", '2LS'!AU3:AU119,"*Recursion*")</f>
        <v>3</v>
      </c>
    </row>
    <row r="30" spans="2:23" ht="19.5" customHeight="1" x14ac:dyDescent="0.25">
      <c r="B30" s="216" t="s">
        <v>122</v>
      </c>
      <c r="C30" s="216"/>
      <c r="D30" s="223">
        <f>D6+D10+D14+D18+D22+D26</f>
        <v>49</v>
      </c>
      <c r="E30" s="44" t="s">
        <v>114</v>
      </c>
      <c r="F30" s="33">
        <f t="shared" ref="F30:W30" si="0">F6+F10+F14+F18+F22+F26</f>
        <v>29</v>
      </c>
      <c r="G30" s="35">
        <f t="shared" si="0"/>
        <v>20</v>
      </c>
      <c r="H30" s="35">
        <f t="shared" si="0"/>
        <v>0</v>
      </c>
      <c r="I30" s="33">
        <f t="shared" si="0"/>
        <v>23</v>
      </c>
      <c r="J30" s="35">
        <f t="shared" si="0"/>
        <v>21</v>
      </c>
      <c r="K30" s="35">
        <f t="shared" si="0"/>
        <v>5</v>
      </c>
      <c r="L30" s="33">
        <f t="shared" si="0"/>
        <v>15</v>
      </c>
      <c r="M30" s="35">
        <f t="shared" si="0"/>
        <v>31</v>
      </c>
      <c r="N30" s="104">
        <f t="shared" si="0"/>
        <v>3</v>
      </c>
      <c r="O30" s="105">
        <f t="shared" si="0"/>
        <v>3</v>
      </c>
      <c r="P30" s="104">
        <f t="shared" si="0"/>
        <v>42</v>
      </c>
      <c r="Q30" s="104">
        <f t="shared" si="0"/>
        <v>4</v>
      </c>
      <c r="R30" s="33">
        <f t="shared" si="0"/>
        <v>12</v>
      </c>
      <c r="S30" s="35">
        <f t="shared" si="0"/>
        <v>36</v>
      </c>
      <c r="T30" s="35">
        <f t="shared" si="0"/>
        <v>1</v>
      </c>
      <c r="U30" s="33">
        <f t="shared" si="0"/>
        <v>1</v>
      </c>
      <c r="V30" s="35">
        <f t="shared" si="0"/>
        <v>45</v>
      </c>
      <c r="W30" s="35">
        <f t="shared" si="0"/>
        <v>3</v>
      </c>
    </row>
    <row r="31" spans="2:23" ht="19" customHeight="1" x14ac:dyDescent="0.25">
      <c r="B31" s="217"/>
      <c r="C31" s="217"/>
      <c r="D31" s="212"/>
      <c r="E31" s="13" t="s">
        <v>115</v>
      </c>
      <c r="F31" s="29">
        <f t="shared" ref="F31:W31" si="1">F7+F11+F15+F19+F23+F27</f>
        <v>24</v>
      </c>
      <c r="G31" s="34">
        <f t="shared" si="1"/>
        <v>25</v>
      </c>
      <c r="H31" s="34">
        <f t="shared" si="1"/>
        <v>0</v>
      </c>
      <c r="I31" s="29">
        <f t="shared" si="1"/>
        <v>26</v>
      </c>
      <c r="J31" s="34">
        <f t="shared" si="1"/>
        <v>20</v>
      </c>
      <c r="K31" s="34">
        <f t="shared" si="1"/>
        <v>3</v>
      </c>
      <c r="L31" s="29">
        <f t="shared" si="1"/>
        <v>12</v>
      </c>
      <c r="M31" s="34">
        <f t="shared" si="1"/>
        <v>34</v>
      </c>
      <c r="N31" s="34">
        <f t="shared" si="1"/>
        <v>3</v>
      </c>
      <c r="O31" s="29">
        <f t="shared" si="1"/>
        <v>5</v>
      </c>
      <c r="P31" s="34">
        <f t="shared" si="1"/>
        <v>40</v>
      </c>
      <c r="Q31" s="34">
        <f t="shared" si="1"/>
        <v>4</v>
      </c>
      <c r="R31" s="29">
        <f t="shared" si="1"/>
        <v>15</v>
      </c>
      <c r="S31" s="34">
        <f t="shared" si="1"/>
        <v>34</v>
      </c>
      <c r="T31" s="34">
        <f t="shared" si="1"/>
        <v>0</v>
      </c>
      <c r="U31" s="29">
        <f t="shared" si="1"/>
        <v>1</v>
      </c>
      <c r="V31" s="34">
        <f t="shared" si="1"/>
        <v>43</v>
      </c>
      <c r="W31" s="34">
        <f t="shared" si="1"/>
        <v>5</v>
      </c>
    </row>
    <row r="32" spans="2:23" ht="19" customHeight="1" x14ac:dyDescent="0.25">
      <c r="B32" s="217"/>
      <c r="C32" s="217"/>
      <c r="D32" s="212"/>
      <c r="E32" s="13" t="s">
        <v>152</v>
      </c>
      <c r="F32" s="29">
        <f t="shared" ref="F32:W32" si="2">F8+F12+F16+F20+F24+F28</f>
        <v>26</v>
      </c>
      <c r="G32" s="34">
        <f t="shared" si="2"/>
        <v>23</v>
      </c>
      <c r="H32" s="34">
        <f t="shared" si="2"/>
        <v>0</v>
      </c>
      <c r="I32" s="29">
        <f t="shared" si="2"/>
        <v>27</v>
      </c>
      <c r="J32" s="34">
        <f t="shared" si="2"/>
        <v>16</v>
      </c>
      <c r="K32" s="34">
        <f t="shared" si="2"/>
        <v>6</v>
      </c>
      <c r="L32" s="29">
        <f t="shared" si="2"/>
        <v>14</v>
      </c>
      <c r="M32" s="34">
        <f t="shared" si="2"/>
        <v>27</v>
      </c>
      <c r="N32" s="34">
        <f t="shared" si="2"/>
        <v>8</v>
      </c>
      <c r="O32" s="29">
        <f t="shared" si="2"/>
        <v>10</v>
      </c>
      <c r="P32" s="34">
        <f t="shared" si="2"/>
        <v>35</v>
      </c>
      <c r="Q32" s="34">
        <f t="shared" si="2"/>
        <v>4</v>
      </c>
      <c r="R32" s="29">
        <f t="shared" si="2"/>
        <v>12</v>
      </c>
      <c r="S32" s="34">
        <f t="shared" si="2"/>
        <v>35</v>
      </c>
      <c r="T32" s="34">
        <f t="shared" si="2"/>
        <v>2</v>
      </c>
      <c r="U32" s="29">
        <f t="shared" si="2"/>
        <v>19</v>
      </c>
      <c r="V32" s="34">
        <f t="shared" si="2"/>
        <v>27</v>
      </c>
      <c r="W32" s="34">
        <f t="shared" si="2"/>
        <v>3</v>
      </c>
    </row>
    <row r="33" spans="2:25" ht="21" thickBot="1" x14ac:dyDescent="0.3">
      <c r="B33" s="218"/>
      <c r="C33" s="218"/>
      <c r="D33" s="224"/>
      <c r="E33" s="51" t="s">
        <v>153</v>
      </c>
      <c r="F33" s="56">
        <f t="shared" ref="F33:W33" si="3">F9+F13+F17+F21+F25+F29</f>
        <v>23</v>
      </c>
      <c r="G33" s="57">
        <f t="shared" si="3"/>
        <v>26</v>
      </c>
      <c r="H33" s="57">
        <f t="shared" si="3"/>
        <v>0</v>
      </c>
      <c r="I33" s="56">
        <f t="shared" si="3"/>
        <v>27</v>
      </c>
      <c r="J33" s="57">
        <f t="shared" si="3"/>
        <v>17</v>
      </c>
      <c r="K33" s="57">
        <f t="shared" si="3"/>
        <v>5</v>
      </c>
      <c r="L33" s="56">
        <f t="shared" si="3"/>
        <v>10</v>
      </c>
      <c r="M33" s="57">
        <f t="shared" si="3"/>
        <v>30</v>
      </c>
      <c r="N33" s="57">
        <f t="shared" si="3"/>
        <v>9</v>
      </c>
      <c r="O33" s="56">
        <f t="shared" si="3"/>
        <v>11</v>
      </c>
      <c r="P33" s="57">
        <f t="shared" si="3"/>
        <v>35</v>
      </c>
      <c r="Q33" s="57">
        <f t="shared" si="3"/>
        <v>3</v>
      </c>
      <c r="R33" s="56">
        <f t="shared" si="3"/>
        <v>14</v>
      </c>
      <c r="S33" s="57">
        <f t="shared" si="3"/>
        <v>34</v>
      </c>
      <c r="T33" s="57">
        <f t="shared" si="3"/>
        <v>1</v>
      </c>
      <c r="U33" s="56">
        <f t="shared" si="3"/>
        <v>18</v>
      </c>
      <c r="V33" s="57">
        <f t="shared" si="3"/>
        <v>26</v>
      </c>
      <c r="W33" s="57">
        <f t="shared" si="3"/>
        <v>5</v>
      </c>
    </row>
    <row r="35" spans="2:25" ht="16.5" customHeight="1" x14ac:dyDescent="0.25">
      <c r="B35" s="23" t="s">
        <v>3988</v>
      </c>
      <c r="C35" s="37"/>
    </row>
    <row r="36" spans="2:25" ht="21" thickBot="1" x14ac:dyDescent="0.3"/>
    <row r="37" spans="2:25" x14ac:dyDescent="0.25">
      <c r="B37" s="221" t="s">
        <v>126</v>
      </c>
      <c r="C37" s="221"/>
      <c r="D37" s="221"/>
      <c r="E37" s="193" t="s">
        <v>124</v>
      </c>
      <c r="F37" s="188" t="s">
        <v>144</v>
      </c>
      <c r="G37" s="189"/>
      <c r="H37" s="189"/>
      <c r="I37" s="188" t="s">
        <v>116</v>
      </c>
      <c r="J37" s="189"/>
      <c r="K37" s="190"/>
      <c r="L37" s="188" t="s">
        <v>109</v>
      </c>
      <c r="M37" s="189"/>
      <c r="N37" s="190"/>
      <c r="O37" s="188" t="s">
        <v>108</v>
      </c>
      <c r="P37" s="189"/>
      <c r="Q37" s="190"/>
      <c r="R37" s="188" t="s">
        <v>110</v>
      </c>
      <c r="S37" s="189"/>
      <c r="T37" s="190"/>
      <c r="U37" s="219" t="s">
        <v>111</v>
      </c>
      <c r="V37" s="220"/>
      <c r="W37" s="220"/>
    </row>
    <row r="38" spans="2:25" ht="21" thickBot="1" x14ac:dyDescent="0.3">
      <c r="B38" s="222"/>
      <c r="C38" s="222"/>
      <c r="D38" s="222"/>
      <c r="E38" s="205"/>
      <c r="F38" s="41" t="s">
        <v>3974</v>
      </c>
      <c r="G38" s="42" t="s">
        <v>118</v>
      </c>
      <c r="H38" s="42" t="s">
        <v>117</v>
      </c>
      <c r="I38" s="41" t="s">
        <v>3974</v>
      </c>
      <c r="J38" s="42" t="s">
        <v>118</v>
      </c>
      <c r="K38" s="42" t="s">
        <v>117</v>
      </c>
      <c r="L38" s="41" t="s">
        <v>3974</v>
      </c>
      <c r="M38" s="42" t="s">
        <v>118</v>
      </c>
      <c r="N38" s="42" t="s">
        <v>117</v>
      </c>
      <c r="O38" s="41" t="s">
        <v>3974</v>
      </c>
      <c r="P38" s="42" t="s">
        <v>118</v>
      </c>
      <c r="Q38" s="42" t="s">
        <v>117</v>
      </c>
      <c r="R38" s="41" t="s">
        <v>3974</v>
      </c>
      <c r="S38" s="42" t="s">
        <v>118</v>
      </c>
      <c r="T38" s="42" t="s">
        <v>117</v>
      </c>
      <c r="U38" s="41" t="s">
        <v>3974</v>
      </c>
      <c r="V38" s="42" t="s">
        <v>118</v>
      </c>
      <c r="W38" s="42" t="s">
        <v>117</v>
      </c>
      <c r="Y38" s="12" t="s">
        <v>3981</v>
      </c>
    </row>
    <row r="39" spans="2:25" x14ac:dyDescent="0.25">
      <c r="B39" s="213" t="s">
        <v>120</v>
      </c>
      <c r="C39" s="213"/>
      <c r="D39" s="214">
        <f>COUNTIFS(Athena!B3:B119,"*_T.c", Athena!AU3:AU119,"*Pointer*")</f>
        <v>7</v>
      </c>
      <c r="E39" s="38" t="s">
        <v>114</v>
      </c>
      <c r="F39" s="35">
        <f>COUNTIFS(Athena!B3:B119,"*_T.c", Athena!D3:D119,"correct", Athena!E3:E119,"=1", Athena!AU3:AU119,"*Pointer*")</f>
        <v>0</v>
      </c>
      <c r="G39" s="35">
        <f>COUNTIFS(Athena!B3:B119,"*_T.c", Athena!D3:D119,"correct", Athena!E3:E119,"&lt;1", Athena!AU3:AU119,"*Pointer*")</f>
        <v>7</v>
      </c>
      <c r="H39" s="104">
        <f>COUNTIFS(Athena!B3:B119,"*_T.c", Athena!D3:D119,"wrong", Athena!AU3:AU119,"*Pointer*")</f>
        <v>0</v>
      </c>
      <c r="I39" s="105">
        <f>COUNTIFS(PROTON!B3:B119,"*_T.c", PROTON!D3:D119,"correct", PROTON!E3:E119,"=1", PROTON!AU3:AU119,"*Pointer*")</f>
        <v>2</v>
      </c>
      <c r="J39" s="104">
        <f>COUNTIFS(PROTON!B3:B119,"*_T.c", PROTON!D3:D119,"correct", PROTON!E3:E119,"&lt;1", PROTON!AU3:AU119,"*Pointer*")</f>
        <v>2</v>
      </c>
      <c r="K39" s="104">
        <f>COUNTIFS(PROTON!B3:B119,"*_T.c", PROTON!D3:D119,"wrong", PROTON!AU3:AU119,"*Pointer*")</f>
        <v>3</v>
      </c>
      <c r="L39" s="105">
        <f>COUNTIFS(UAutomizer!B3:B119,"*_T.c", UAutomizer!D3:D119,"correct", UAutomizer!E3:E119,"=1", UAutomizer!AU3:AU119,"*Pointer*")</f>
        <v>1</v>
      </c>
      <c r="M39" s="104">
        <f>COUNTIFS(UAutomizer!B3:B119,"*_T.c", UAutomizer!D3:D119,"correct", UAutomizer!E3:E119,"&lt;1", UAutomizer!AU3:AU119,"*Pointer*")</f>
        <v>6</v>
      </c>
      <c r="N39" s="104">
        <f>COUNTIFS(UAutomizer!B3:B119,"*_T.c", UAutomizer!D3:D119,"wrong", UAutomizer!AU3:AU119,"*Pointer*")</f>
        <v>0</v>
      </c>
      <c r="O39" s="105">
        <f>COUNTIFS(AProVE!B3:B119,"*_T.c", AProVE!D3:D119,"correct", AProVE!E3:E119,"=1", AProVE!AU3:AU119,"*Pointer*")</f>
        <v>1</v>
      </c>
      <c r="P39" s="104">
        <f>COUNTIFS(AProVE!B3:B119,"*_T.c", AProVE!D3:D119,"correct", AProVE!E3:E119,"&lt;1", AProVE!AU3:AU119,"*Pointer*")</f>
        <v>6</v>
      </c>
      <c r="Q39" s="104">
        <f>COUNTIFS(AProVE!B3:B119,"*_T.c", AProVE!D3:D119,"wrong", AProVE!AU3:AU119,"*Pointer*")</f>
        <v>0</v>
      </c>
      <c r="R39" s="105">
        <f>COUNTIFS(CPAchecker!B3:B119,"*_T.c", CPAchecker!D3:D119,"correct", CPAchecker!E3:E119,"=1", CPAchecker!AU3:AU119,"*Pointer*")</f>
        <v>0</v>
      </c>
      <c r="S39" s="104">
        <f>COUNTIFS(CPAchecker!B3:B119,"*_T.c", CPAchecker!D3:D119,"correct", CPAchecker!E3:E119,"&lt;1", CPAchecker!AU3:AU119,"*Pointer*")</f>
        <v>7</v>
      </c>
      <c r="T39" s="104">
        <f>COUNTIFS(CPAchecker!B3:B119,"*_T.c", CPAchecker!D3:D119,"wrong", CPAchecker!AU3:AU119,"*Pointer*")</f>
        <v>0</v>
      </c>
      <c r="U39" s="105">
        <f>COUNTIFS('2LS'!B3:B119,"*_T.c", '2LS'!D3:D119,"correct", '2LS'!E3:E119,"=1", '2LS'!AU3:AU119,"*Pointer*")</f>
        <v>0</v>
      </c>
      <c r="V39" s="104">
        <f>COUNTIFS('2LS'!B3:B119,"*_T.c", '2LS'!D3:D119,"correct", '2LS'!E3:E119,"&lt;1", '2LS'!AU3:AU119,"*Pointer*")</f>
        <v>7</v>
      </c>
      <c r="W39" s="104">
        <f>COUNTIFS('2LS'!B3:B119,"*_T.c", '2LS'!D3:D119,"wrong", '2LS'!AU3:AU119,"*Pointer*")</f>
        <v>0</v>
      </c>
      <c r="X39" s="85"/>
      <c r="Y39" s="12" t="s">
        <v>3982</v>
      </c>
    </row>
    <row r="40" spans="2:25" x14ac:dyDescent="0.25">
      <c r="B40" s="209"/>
      <c r="C40" s="209"/>
      <c r="D40" s="215"/>
      <c r="E40" s="30" t="s">
        <v>115</v>
      </c>
      <c r="F40" s="34">
        <f>COUNTIFS(Athena!B3:B119,"*_T.c", Athena!O3:O119,"correct", Athena!P3:P119,"=1", Athena!AU3:AU119,"*Pointer*")</f>
        <v>0</v>
      </c>
      <c r="G40" s="34">
        <f>COUNTIFS(Athena!B3:B119,"*_T.c", Athena!O3:O119,"correct", Athena!P3:P119,"&lt;1", Athena!AU3:AU119,"*Pointer*")</f>
        <v>7</v>
      </c>
      <c r="H40" s="106">
        <f>COUNTIFS(Athena!B3:B119,"*_T.c", Athena!O3:O119,"wrong", Athena!AU3:AU119,"*Pointer*")</f>
        <v>0</v>
      </c>
      <c r="I40" s="107">
        <f>COUNTIFS(PROTON!B3:B119,"*_T.c", PROTON!O3:O119,"correct", PROTON!P3:P119,"=1", PROTON!AU3:AU119,"*Pointer*")</f>
        <v>2</v>
      </c>
      <c r="J40" s="106">
        <f>COUNTIFS(PROTON!B3:B119,"*_T.c", PROTON!O3:O119,"correct", PROTON!P3:P119,"&lt;1", PROTON!AU3:AU119,"*Pointer*")</f>
        <v>2</v>
      </c>
      <c r="K40" s="106">
        <f>COUNTIFS(PROTON!B3:B119,"*_T.c", PROTON!O3:O119,"wrong", PROTON!AU3:AU119,"*Pointer*")</f>
        <v>3</v>
      </c>
      <c r="L40" s="107">
        <f>COUNTIFS(UAutomizer!B3:B119,"*_T.c", UAutomizer!O3:O119,"correct", UAutomizer!P3:P119,"=1", UAutomizer!AU3:AU119,"*Pointer*")</f>
        <v>1</v>
      </c>
      <c r="M40" s="106">
        <f>COUNTIFS(UAutomizer!B3:B119,"*_T.c", UAutomizer!O3:O119,"correct", UAutomizer!P3:P119,"&lt;1", UAutomizer!AU3:AU119,"*Pointer*")</f>
        <v>6</v>
      </c>
      <c r="N40" s="106">
        <f>COUNTIFS(UAutomizer!B3:B119,"*_T.c", UAutomizer!O3:O119,"wrong", UAutomizer!AU3:AU119,"*Pointer*")</f>
        <v>0</v>
      </c>
      <c r="O40" s="107">
        <f>COUNTIFS(AProVE!B3:B119,"*_T.c", AProVE!O3:O119,"correct", AProVE!P3:P119,"=1", AProVE!AU3:AU119,"*Pointer*")</f>
        <v>1</v>
      </c>
      <c r="P40" s="106">
        <f>COUNTIFS(AProVE!B3:B119,"*_T.c", AProVE!O3:O119,"correct", AProVE!P3:P119,"&lt;1", AProVE!AU3:AU119,"*Pointer*")</f>
        <v>6</v>
      </c>
      <c r="Q40" s="106">
        <f>COUNTIFS(AProVE!B3:B119,"*_T.c", AProVE!O3:O119,"wrong", AProVE!AU3:AU119,"*Pointer*")</f>
        <v>0</v>
      </c>
      <c r="R40" s="107">
        <f>COUNTIFS(CPAchecker!B3:B119,"*_T.c", CPAchecker!O3:O119,"correct", CPAchecker!P3:P119,"=1", CPAchecker!AU3:AU119,"*Pointer*")</f>
        <v>0</v>
      </c>
      <c r="S40" s="106">
        <f>COUNTIFS(CPAchecker!B3:B119,"*_T.c", CPAchecker!O3:O119,"correct", CPAchecker!P3:P119,"&lt;1", CPAchecker!AU3:AU119,"*Pointer*")</f>
        <v>7</v>
      </c>
      <c r="T40" s="106">
        <f>COUNTIFS(CPAchecker!B3:B119,"*_T.c", CPAchecker!O3:O119,"wrong", CPAchecker!AU3:AU119,"*Pointer*")</f>
        <v>0</v>
      </c>
      <c r="U40" s="107">
        <f>COUNTIFS('2LS'!B3:B119,"*_T.c", '2LS'!O3:O119,"correct", '2LS'!P3:P119,"=1", '2LS'!AU3:AU119,"*Pointer*")</f>
        <v>0</v>
      </c>
      <c r="V40" s="106">
        <f>COUNTIFS('2LS'!B3:B119,"*_T.c", '2LS'!O3:O119,"correct", '2LS'!P3:P119,"&lt;1", '2LS'!AU3:AU119,"*Pointer*")</f>
        <v>7</v>
      </c>
      <c r="W40" s="106">
        <f>COUNTIFS('2LS'!B3:B119,"*_T.c", '2LS'!O3:O119,"wrong", '2LS'!AU3:AU119,"*Pointer*")</f>
        <v>0</v>
      </c>
      <c r="X40" s="85"/>
      <c r="Y40" s="12" t="s">
        <v>3975</v>
      </c>
    </row>
    <row r="41" spans="2:25" x14ac:dyDescent="0.25">
      <c r="B41" s="209"/>
      <c r="C41" s="209"/>
      <c r="D41" s="215"/>
      <c r="E41" s="30" t="s">
        <v>152</v>
      </c>
      <c r="F41" s="34">
        <f>COUNTIFS(Athena!B3:B119,"*_T.c", Athena!Z3:Z119,"correct", Athena!AA3:AA119,"=1", Athena!AU3:AU119,"*Pointer*")</f>
        <v>1</v>
      </c>
      <c r="G41" s="34">
        <f>COUNTIFS(Athena!B3:B119,"*_T.c", Athena!D3:D119,"correct", Athena!AA3:AA119,"&lt;1", Athena!AU3:AU119,"*Pointer*")</f>
        <v>6</v>
      </c>
      <c r="H41" s="106">
        <f>COUNTIFS(Athena!B3:B119,"*_T.c", Athena!Z3:Z119,"wrong", Athena!AU3:AU119,"*Pointer*")</f>
        <v>0</v>
      </c>
      <c r="I41" s="107">
        <f>COUNTIFS(PROTON!B3:B119,"*_T.c", PROTON!Z3:Z119,"correct", PROTON!AA3:AA119,"=1", PROTON!AU3:AU119,"*Pointer*")</f>
        <v>4</v>
      </c>
      <c r="J41" s="106">
        <f>COUNTIFS(PROTON!B3:B119,"*_T.c", PROTON!D3:D119,"correct", PROTON!AA3:AA119,"&lt;1", PROTON!AU3:AU119,"*Pointer*")</f>
        <v>2</v>
      </c>
      <c r="K41" s="106">
        <f>COUNTIFS(PROTON!B3:B119,"*_T.c", PROTON!Z3:Z119,"wrong", PROTON!AU3:AU119,"*Pointer*")</f>
        <v>1</v>
      </c>
      <c r="L41" s="107">
        <f>COUNTIFS(UAutomizer!B3:B119,"*_T.c", UAutomizer!Z3:Z119,"correct", UAutomizer!AA3:AA119,"=1", UAutomizer!AU3:AU119,"*Pointer*")</f>
        <v>2</v>
      </c>
      <c r="M41" s="106">
        <f>COUNTIFS(UAutomizer!B3:B119,"*_T.c", UAutomizer!D3:D119,"correct", UAutomizer!AA3:AA119,"&lt;1", UAutomizer!AU3:AU119,"*Pointer*")</f>
        <v>5</v>
      </c>
      <c r="N41" s="106">
        <f>COUNTIFS(UAutomizer!B3:B119,"*_T.c", UAutomizer!Z3:Z119,"wrong", UAutomizer!AU3:AU119,"*Pointer*")</f>
        <v>0</v>
      </c>
      <c r="O41" s="107">
        <f>COUNTIFS(AProVE!B3:B119,"*_T.c", AProVE!Z3:Z119,"correct", AProVE!AA3:AA119,"=1", AProVE!AU3:AU119,"*Pointer*")</f>
        <v>1</v>
      </c>
      <c r="P41" s="106">
        <f>COUNTIFS(AProVE!B3:B119,"*_T.c", AProVE!D3:D119,"correct", AProVE!AA3:AA119,"&lt;1", AProVE!AU3:AU119,"*Pointer*")</f>
        <v>6</v>
      </c>
      <c r="Q41" s="106">
        <f>COUNTIFS(AProVE!B3:B119,"*_T.c", AProVE!Z3:Z119,"wrong", AProVE!AU3:AU119,"*Pointer*")</f>
        <v>0</v>
      </c>
      <c r="R41" s="107">
        <f>COUNTIFS(CPAchecker!B3:B119,"*_T.c", CPAchecker!Z3:Z119,"correct", CPAchecker!AA3:AA119,"=1", CPAchecker!AU3:AU119,"*Pointer*")</f>
        <v>0</v>
      </c>
      <c r="S41" s="106">
        <f>COUNTIFS(CPAchecker!B3:B119,"*_T.c", CPAchecker!D3:D119,"correct", CPAchecker!AA3:AA119,"&lt;1", CPAchecker!AU3:AU119,"*Pointer*")</f>
        <v>7</v>
      </c>
      <c r="T41" s="106">
        <f>COUNTIFS(CPAchecker!B3:B119,"*_T.c", CPAchecker!Z3:Z119,"wrong", CPAchecker!AU3:AU119,"*Pointer*")</f>
        <v>0</v>
      </c>
      <c r="U41" s="107">
        <f>COUNTIFS('2LS'!B3:B119,"*_T.c", '2LS'!Z3:Z119,"correct", '2LS'!AA3:AA119,"=1", '2LS'!AU3:AU119,"*Pointer*")</f>
        <v>0</v>
      </c>
      <c r="V41" s="106">
        <f>COUNTIFS('2LS'!B3:B119,"*_T.c", '2LS'!D3:D119,"correct", '2LS'!AA3:AA119,"&lt;1", '2LS'!AU3:AU119,"*Pointer*")</f>
        <v>7</v>
      </c>
      <c r="W41" s="106">
        <f>COUNTIFS('2LS'!B3:B119,"*_T.c", '2LS'!Z3:Z119,"wrong", '2LS'!AU3:AU119,"*Pointer*")</f>
        <v>0</v>
      </c>
      <c r="X41" s="85"/>
    </row>
    <row r="42" spans="2:25" x14ac:dyDescent="0.25">
      <c r="B42" s="210"/>
      <c r="C42" s="210"/>
      <c r="D42" s="215"/>
      <c r="E42" s="31" t="s">
        <v>153</v>
      </c>
      <c r="F42" s="55">
        <f>COUNTIFS(Athena!B3:B119,"*_T.c", Athena!AK3:AK119,"correct", Athena!AL3:AL119,"=1", Athena!AU3:AU119,"*Pointer*")</f>
        <v>1</v>
      </c>
      <c r="G42" s="54">
        <f>COUNTIFS(Athena!B3:B119,"*_T.c", Athena!AK3:AK119,"correct", Athena!AL3:AL119,"&lt;1", Athena!AU3:AU119,"*Pointer*")</f>
        <v>6</v>
      </c>
      <c r="H42" s="108">
        <f>COUNTIFS(Athena!B3:B119,"*_T.c", Athena!AK3:AK119,"wrong", Athena!AU3:AU119,"*Pointer*")</f>
        <v>0</v>
      </c>
      <c r="I42" s="109">
        <f>COUNTIFS(PROTON!B3:B119,"*_T.c", PROTON!AK3:AK119,"correct", PROTON!AL3:AL119,"=1", PROTON!AU3:AU119,"*Pointer*")</f>
        <v>3</v>
      </c>
      <c r="J42" s="108">
        <f>COUNTIFS(PROTON!B3:B119,"*_T.c", PROTON!AK3:AK119,"correct", PROTON!AL3:AL119,"&lt;1", PROTON!AU3:AU119,"*Pointer*")</f>
        <v>2</v>
      </c>
      <c r="K42" s="108">
        <f>COUNTIFS(PROTON!B3:B119,"*_T.c", PROTON!AK3:AK119,"wrong", PROTON!AU3:AU119,"*Pointer*")</f>
        <v>2</v>
      </c>
      <c r="L42" s="109">
        <f>COUNTIFS(UAutomizer!B3:B119,"*_T.c", UAutomizer!AK3:AK119,"correct", UAutomizer!AL3:AL119,"=1", UAutomizer!AU3:AU119,"*Pointer*")</f>
        <v>2</v>
      </c>
      <c r="M42" s="108">
        <f>COUNTIFS(UAutomizer!B3:B119,"*_T.c", UAutomizer!AK3:AK119,"correct", UAutomizer!AL3:AL119,"&lt;1", UAutomizer!AU3:AU119,"*Pointer*")</f>
        <v>5</v>
      </c>
      <c r="N42" s="108">
        <f>COUNTIFS(UAutomizer!B3:B119,"*_T.c", UAutomizer!AK3:AK119,"wrong", UAutomizer!AU3:AU119,"*Pointer*")</f>
        <v>0</v>
      </c>
      <c r="O42" s="109">
        <f>COUNTIFS(AProVE!B3:B119,"*_T.c", AProVE!AK3:AK119,"correct", AProVE!AL3:AL119,"=1", AProVE!AU3:AU119,"*Pointer*")</f>
        <v>1</v>
      </c>
      <c r="P42" s="108">
        <f>COUNTIFS(AProVE!B3:B119,"*_T.c", AProVE!AK3:AK119,"correct", AProVE!AL3:AL119,"&lt;1", AProVE!AU3:AU119,"*Pointer*")</f>
        <v>6</v>
      </c>
      <c r="Q42" s="108">
        <f>COUNTIFS(AProVE!B3:B119,"*_T.c", AProVE!AK3:AK119,"wrong", AProVE!AU3:AU119,"*Pointer*")</f>
        <v>0</v>
      </c>
      <c r="R42" s="109">
        <f>COUNTIFS(CPAchecker!B3:B119,"*_T.c", CPAchecker!AK3:AK119,"correct", CPAchecker!AL3:AL119,"=1", CPAchecker!AU3:AU119,"*Pointer*")</f>
        <v>0</v>
      </c>
      <c r="S42" s="108">
        <f>COUNTIFS(CPAchecker!B3:B119,"*_T.c", CPAchecker!AK3:AK119,"correct", CPAchecker!AL3:AL119,"&lt;1", CPAchecker!AU3:AU119,"*Pointer*")</f>
        <v>7</v>
      </c>
      <c r="T42" s="108">
        <f>COUNTIFS(CPAchecker!B3:B119,"*_T.c", CPAchecker!AK3:AK119,"wrong", CPAchecker!AU3:AU119,"*Pointer*")</f>
        <v>0</v>
      </c>
      <c r="U42" s="109">
        <f>COUNTIFS('2LS'!B3:B119,"*_T.c", '2LS'!AK3:AK119,"correct", '2LS'!AL3:AL119,"=1", '2LS'!AU3:AU119,"*Pointer*")</f>
        <v>0</v>
      </c>
      <c r="V42" s="108">
        <f>COUNTIFS('2LS'!B3:B119,"*_T.c", '2LS'!AK3:AK119,"correct", '2LS'!AL3:AL119,"&lt;1", '2LS'!AU3:AU119,"*Pointer*")</f>
        <v>7</v>
      </c>
      <c r="W42" s="108">
        <f>COUNTIFS('2LS'!B3:B119,"*_T.c", '2LS'!AK3:AK119,"wrong", '2LS'!AU3:AU119,"*Pointer*")</f>
        <v>0</v>
      </c>
      <c r="X42" s="85"/>
    </row>
    <row r="43" spans="2:25" x14ac:dyDescent="0.25">
      <c r="B43" s="208" t="s">
        <v>93</v>
      </c>
      <c r="C43" s="208"/>
      <c r="D43" s="211">
        <f>COUNTIFS(Athena!B3:B119,"*_T.c", Athena!AU3:AU119,"*Array*")</f>
        <v>8</v>
      </c>
      <c r="E43" s="30" t="s">
        <v>114</v>
      </c>
      <c r="F43" s="106">
        <f>COUNTIFS(Athena!B3:B119,"*_T.c", Athena!D3:D119,"correct", Athena!E3:E119,"=1", Athena!AU3:AU119,"*Array*")</f>
        <v>4</v>
      </c>
      <c r="G43" s="106">
        <f>COUNTIFS(Athena!B3:B119,"*_T.c", Athena!D3:D119,"correct", Athena!E3:E119,"&lt;1", Athena!AU3:AU119,"*Array*")</f>
        <v>4</v>
      </c>
      <c r="H43" s="106">
        <f>COUNTIFS(Athena!B3:B119,"*_T.c", Athena!D3:D119,"wrong", Athena!AU3:AU119,"*Array*")</f>
        <v>0</v>
      </c>
      <c r="I43" s="107">
        <f>COUNTIFS(PROTON!B3:B119,"*_T.c", PROTON!D3:D119,"correct", PROTON!E3:E119,"=1", PROTON!AU3:AU119,"*Array*")</f>
        <v>5</v>
      </c>
      <c r="J43" s="106">
        <f>COUNTIFS(PROTON!B3:B119,"*_T.c", PROTON!D3:D119,"correct", PROTON!E3:E119,"&lt;1", PROTON!AU3:AU119,"*Array*")</f>
        <v>2</v>
      </c>
      <c r="K43" s="106">
        <f>COUNTIFS(PROTON!B3:B119,"*_T.c", PROTON!D3:D119,"wrong", PROTON!AU3:AU119,"*Array*")</f>
        <v>1</v>
      </c>
      <c r="L43" s="107">
        <f>COUNTIFS(UAutomizer!B3:B119,"*_T.c", UAutomizer!D3:D119,"correct", UAutomizer!E3:E119,"=1", UAutomizer!AU3:AU119,"*Array*")</f>
        <v>5</v>
      </c>
      <c r="M43" s="106">
        <f>COUNTIFS(UAutomizer!B3:B119,"*_T.c", UAutomizer!D3:D119,"correct", UAutomizer!E3:E119,"&lt;1", UAutomizer!AU3:AU119,"*Array*")</f>
        <v>3</v>
      </c>
      <c r="N43" s="106">
        <f>COUNTIFS(UAutomizer!B3:B119,"*_T.c", UAutomizer!D3:D119,"wrong", UAutomizer!AU3:AU119,"*Array*")</f>
        <v>0</v>
      </c>
      <c r="O43" s="107">
        <f>COUNTIFS(AProVE!B3:B119,"*_T.c", AProVE!D3:D119,"correct", AProVE!E3:E119,"=1", AProVE!AU3:AU119,"*Array*")</f>
        <v>3</v>
      </c>
      <c r="P43" s="106">
        <f>COUNTIFS(AProVE!B3:B119,"*_T.c", AProVE!D3:D119,"correct", AProVE!E3:E119,"&lt;1", AProVE!AU3:AU119,"*Array*")</f>
        <v>5</v>
      </c>
      <c r="Q43" s="106">
        <f>COUNTIFS(AProVE!B3:B119,"*_T.c", AProVE!D3:D119,"wrong", AProVE!AU3:AU119,"*Array*")</f>
        <v>0</v>
      </c>
      <c r="R43" s="107">
        <f>COUNTIFS(CPAchecker!B3:B119,"*_T.c", CPAchecker!D3:D119,"correct", CPAchecker!E3:E119,"=1", CPAchecker!AU3:AU119,"*Array*")</f>
        <v>0</v>
      </c>
      <c r="S43" s="106">
        <f>COUNTIFS(CPAchecker!B3:B119,"*_T.c", CPAchecker!D3:D119,"correct", CPAchecker!E3:E119,"&lt;1", CPAchecker!AU3:AU119,"*Array*")</f>
        <v>8</v>
      </c>
      <c r="T43" s="106">
        <f>COUNTIFS(CPAchecker!B3:B119,"*_T.c", CPAchecker!D3:D119,"wrong", CPAchecker!AU3:AU119,"*Array*")</f>
        <v>0</v>
      </c>
      <c r="U43" s="107">
        <f>COUNTIFS('2LS'!B3:B119,"*_T.c", '2LS'!D3:D119,"correct", '2LS'!E3:E119,"=1", '2LS'!AU3:AU119,"*Array*")</f>
        <v>3</v>
      </c>
      <c r="V43" s="106">
        <f>COUNTIFS('2LS'!B3:B119,"*_T.c", '2LS'!D3:D119,"correct", '2LS'!E3:E119,"&lt;1", '2LS'!AU3:AU119,"*Array*")</f>
        <v>5</v>
      </c>
      <c r="W43" s="106">
        <f>COUNTIFS('2LS'!B3:B119,"*_T.c", '2LS'!D3:D119,"wrong", '2LS'!AU3:AU119,"*Array*")</f>
        <v>0</v>
      </c>
      <c r="X43" s="85"/>
    </row>
    <row r="44" spans="2:25" x14ac:dyDescent="0.25">
      <c r="B44" s="209"/>
      <c r="C44" s="209"/>
      <c r="D44" s="212"/>
      <c r="E44" s="30" t="s">
        <v>115</v>
      </c>
      <c r="F44" s="106">
        <f>COUNTIFS(Athena!B3:B119,"*_T.c", Athena!O3:O119,"correct", Athena!P3:P119,"=1", Athena!AU3:AU119,"*Array*")</f>
        <v>3</v>
      </c>
      <c r="G44" s="106">
        <f>COUNTIFS(Athena!B3:B119,"*_T.c", Athena!O3:O119,"correct", Athena!P3:P119,"&lt;1", Athena!AU3:AU119,"*Array*")</f>
        <v>5</v>
      </c>
      <c r="H44" s="106">
        <f>COUNTIFS(Athena!B3:B119,"*_T.c", Athena!O3:O119,"wrong", Athena!AU3:AU119,"*Array*")</f>
        <v>0</v>
      </c>
      <c r="I44" s="107">
        <f>COUNTIFS(PROTON!B3:B119,"*_T.c", PROTON!O3:O119,"correct", PROTON!P3:P119,"=1", PROTON!AU3:AU119,"*Array*")</f>
        <v>5</v>
      </c>
      <c r="J44" s="106">
        <f>COUNTIFS(PROTON!B3:B119,"*_T.c", PROTON!O3:O119,"correct", PROTON!P3:P119,"&lt;1", PROTON!AU3:AU119,"*Array*")</f>
        <v>2</v>
      </c>
      <c r="K44" s="106">
        <f>COUNTIFS(PROTON!B3:B119,"*_T.c", PROTON!O3:O119,"wrong", PROTON!AU3:AU119,"*Array*")</f>
        <v>1</v>
      </c>
      <c r="L44" s="107">
        <f>COUNTIFS(UAutomizer!B3:B119,"*_T.c", UAutomizer!O3:O119,"correct", UAutomizer!P3:P119,"=1", UAutomizer!AU3:AU119,"*Array*")</f>
        <v>5</v>
      </c>
      <c r="M44" s="106">
        <f>COUNTIFS(UAutomizer!B3:B119,"*_T.c", UAutomizer!O3:O119,"correct", UAutomizer!P3:P119,"&lt;1", UAutomizer!AU3:AU119,"*Array*")</f>
        <v>3</v>
      </c>
      <c r="N44" s="106">
        <f>COUNTIFS(UAutomizer!B3:B119,"*_T.c", UAutomizer!O3:O119,"wrong", UAutomizer!AU3:AU119,"*Array*")</f>
        <v>0</v>
      </c>
      <c r="O44" s="107">
        <f>COUNTIFS(AProVE!B3:B119,"*_T.c", AProVE!O3:O119,"correct", AProVE!P3:P119,"=1", AProVE!AU3:AU119,"*Array*")</f>
        <v>2</v>
      </c>
      <c r="P44" s="106">
        <f>COUNTIFS(AProVE!B3:B119,"*_T.c", AProVE!O3:O119,"correct", AProVE!P3:P119,"&lt;1", AProVE!AU3:AU119,"*Array*")</f>
        <v>6</v>
      </c>
      <c r="Q44" s="106">
        <f>COUNTIFS(AProVE!B3:B119,"*_T.c", AProVE!O3:O119,"wrong", AProVE!AU3:AU119,"*Array*")</f>
        <v>0</v>
      </c>
      <c r="R44" s="107">
        <f>COUNTIFS(CPAchecker!B3:B119,"*_T.c", CPAchecker!O3:O119,"correct", CPAchecker!P3:P119,"=1", CPAchecker!AU3:AU119,"*Array*")</f>
        <v>0</v>
      </c>
      <c r="S44" s="106">
        <f>COUNTIFS(CPAchecker!B3:B119,"*_T.c", CPAchecker!O3:O119,"correct", CPAchecker!P3:P119,"&lt;1", CPAchecker!AU3:AU119,"*Array*")</f>
        <v>8</v>
      </c>
      <c r="T44" s="106">
        <f>COUNTIFS(CPAchecker!B3:B119,"*_T.c", CPAchecker!O3:O119,"wrong", CPAchecker!AU3:AU119,"*Array*")</f>
        <v>0</v>
      </c>
      <c r="U44" s="107">
        <f>COUNTIFS('2LS'!B3:B119,"*_T.c", '2LS'!O3:O119,"correct", '2LS'!P3:P119,"=1", '2LS'!AU3:AU119,"*Array*")</f>
        <v>3</v>
      </c>
      <c r="V44" s="106">
        <f>COUNTIFS('2LS'!B3:B119,"*_T.c", '2LS'!O3:O119,"correct", '2LS'!P3:P119,"&lt;1", '2LS'!AU3:AU119,"*Array*")</f>
        <v>5</v>
      </c>
      <c r="W44" s="106">
        <f>COUNTIFS('2LS'!B3:B119,"*_T.c", '2LS'!O3:O119,"wrong", '2LS'!AU3:AU119,"*Array*")</f>
        <v>0</v>
      </c>
      <c r="X44" s="85"/>
    </row>
    <row r="45" spans="2:25" x14ac:dyDescent="0.25">
      <c r="B45" s="209"/>
      <c r="C45" s="209"/>
      <c r="D45" s="212"/>
      <c r="E45" s="30" t="s">
        <v>152</v>
      </c>
      <c r="F45" s="106">
        <f>COUNTIFS(Athena!B3:B119,"*_T.c", Athena!Z3:Z119,"correct", Athena!AA3:AA119,"=1", Athena!AU3:AU119,"*Array*")</f>
        <v>4</v>
      </c>
      <c r="G45" s="106">
        <f>COUNTIFS(Athena!B3:B119,"*_T.c", Athena!D3:D119,"correct", Athena!AA3:AA119,"&lt;1", Athena!AU3:AU119,"*Array*")</f>
        <v>4</v>
      </c>
      <c r="H45" s="106">
        <f>COUNTIFS(Athena!B3:B119,"*_T.c", Athena!Z3:Z119,"wrong", Athena!AU3:AU119,"*Array*")</f>
        <v>0</v>
      </c>
      <c r="I45" s="107">
        <f>COUNTIFS(PROTON!B3:B119,"*_T.c", PROTON!Z3:Z119,"correct", PROTON!AA3:AA119,"=1", PROTON!AU3:AU119,"*Array*")</f>
        <v>7</v>
      </c>
      <c r="J45" s="106">
        <f>COUNTIFS(PROTON!B3:B119,"*_T.c", PROTON!D3:D119,"correct", PROTON!AA3:AA119,"&lt;1", PROTON!AU3:AU119,"*Array*")</f>
        <v>1</v>
      </c>
      <c r="K45" s="106">
        <f>COUNTIFS(PROTON!B3:B119,"*_T.c", PROTON!Z3:Z119,"wrong", PROTON!AU3:AU119,"*Array*")</f>
        <v>0</v>
      </c>
      <c r="L45" s="107">
        <f>COUNTIFS(UAutomizer!B3:B119,"*_T.c", UAutomizer!Z3:Z119,"correct", UAutomizer!AA3:AA119,"=1", UAutomizer!AU3:AU119,"*Array*")</f>
        <v>4</v>
      </c>
      <c r="M45" s="106">
        <f>COUNTIFS(UAutomizer!B3:B119,"*_T.c", UAutomizer!D3:D119,"correct", UAutomizer!AA3:AA119,"&lt;1", UAutomizer!AU3:AU119,"*Array*")</f>
        <v>4</v>
      </c>
      <c r="N45" s="106">
        <f>COUNTIFS(UAutomizer!B3:B119,"*_T.c", UAutomizer!Z3:Z119,"wrong", UAutomizer!AU3:AU119,"*Array*")</f>
        <v>0</v>
      </c>
      <c r="O45" s="107">
        <f>COUNTIFS(AProVE!B3:B119,"*_T.c", AProVE!Z3:Z119,"correct", AProVE!AA3:AA119,"=1", AProVE!AU3:AU119,"*Array*")</f>
        <v>3</v>
      </c>
      <c r="P45" s="106">
        <f>COUNTIFS(AProVE!B3:B119,"*_T.c", AProVE!D3:D119,"correct", AProVE!AA3:AA119,"&lt;1", AProVE!AU3:AU119,"*Array*")</f>
        <v>5</v>
      </c>
      <c r="Q45" s="106">
        <f>COUNTIFS(AProVE!B3:B119,"*_T.c", AProVE!Z3:Z119,"wrong", AProVE!AU3:AU119,"*Array*")</f>
        <v>0</v>
      </c>
      <c r="R45" s="107">
        <f>COUNTIFS(CPAchecker!B3:B119,"*_T.c", CPAchecker!Z3:Z119,"correct", CPAchecker!AA3:AA119,"=1", CPAchecker!AU3:AU119,"*Array*")</f>
        <v>0</v>
      </c>
      <c r="S45" s="106">
        <f>COUNTIFS(CPAchecker!B3:B119,"*_T.c", CPAchecker!D3:D119,"correct", CPAchecker!AA3:AA119,"&lt;1", CPAchecker!AU3:AU119,"*Array*")</f>
        <v>8</v>
      </c>
      <c r="T45" s="106">
        <f>COUNTIFS(CPAchecker!B3:B119,"*_T.c", CPAchecker!Z3:Z119,"wrong", CPAchecker!AU3:AU119,"*Array*")</f>
        <v>0</v>
      </c>
      <c r="U45" s="107">
        <f>COUNTIFS('2LS'!B3:B119,"*_T.c", '2LS'!Z3:Z119,"correct", '2LS'!AA3:AA119,"=1", '2LS'!AU3:AU119,"*Array*")</f>
        <v>3</v>
      </c>
      <c r="V45" s="106">
        <f>COUNTIFS('2LS'!B3:B119,"*_T.c", '2LS'!D3:D119,"correct", '2LS'!AA3:AA119,"&lt;1", '2LS'!AU3:AU119,"*Array*")</f>
        <v>5</v>
      </c>
      <c r="W45" s="106">
        <f>COUNTIFS('2LS'!B3:B119,"*_T.c", '2LS'!Z3:Z119,"wrong", '2LS'!AU3:AU119,"*Array*")</f>
        <v>0</v>
      </c>
      <c r="X45" s="85"/>
    </row>
    <row r="46" spans="2:25" x14ac:dyDescent="0.25">
      <c r="B46" s="210"/>
      <c r="C46" s="210"/>
      <c r="D46" s="212"/>
      <c r="E46" s="31" t="s">
        <v>153</v>
      </c>
      <c r="F46" s="109">
        <f>COUNTIFS(Athena!B3:B119,"*_T.c", Athena!AK3:AK119,"correct", Athena!AL3:AL119,"=1", Athena!AU3:AU119,"*Array*")</f>
        <v>3</v>
      </c>
      <c r="G46" s="108">
        <f>COUNTIFS(Athena!B3:B119,"*_T.c", Athena!AK3:AK119,"correct", Athena!AL3:AL119,"&lt;1", Athena!AU3:AU119,"*Array*")</f>
        <v>5</v>
      </c>
      <c r="H46" s="108">
        <f>COUNTIFS(Athena!B3:B119,"*_T.c", Athena!AK3:AK119,"wrong", Athena!AU3:AU119,"*Array*")</f>
        <v>0</v>
      </c>
      <c r="I46" s="109">
        <f>COUNTIFS(PROTON!B3:B119,"*_T.c", PROTON!AK3:AK119,"correct", PROTON!AL3:AL119,"=1", PROTON!AU3:AU119,"*Array*")</f>
        <v>6</v>
      </c>
      <c r="J46" s="108">
        <f>COUNTIFS(PROTON!B3:B119,"*_T.c", PROTON!AK3:AK119,"correct", PROTON!AL3:AL119,"&lt;1", PROTON!AU3:AU119,"*Array*")</f>
        <v>1</v>
      </c>
      <c r="K46" s="108">
        <f>COUNTIFS(PROTON!B3:B119,"*_T.c", PROTON!AK3:AK119,"wrong", PROTON!AU3:AU119,"*Array*")</f>
        <v>1</v>
      </c>
      <c r="L46" s="109">
        <f>COUNTIFS(UAutomizer!B3:B119,"*_T.c", UAutomizer!AK3:AK119,"correct", UAutomizer!AL3:AL119,"=1", UAutomizer!AU3:AU119,"*Array*")</f>
        <v>4</v>
      </c>
      <c r="M46" s="108">
        <f>COUNTIFS(UAutomizer!B3:B119,"*_T.c", UAutomizer!AK3:AK119,"correct", UAutomizer!AL3:AL119,"&lt;1", UAutomizer!AU3:AU119,"*Array*")</f>
        <v>4</v>
      </c>
      <c r="N46" s="108">
        <f>COUNTIFS(UAutomizer!B3:B119,"*_T.c", UAutomizer!AK3:AK119,"wrong", UAutomizer!AU3:AU119,"*Array*")</f>
        <v>0</v>
      </c>
      <c r="O46" s="109">
        <f>COUNTIFS(AProVE!B3:B119,"*_T.c", AProVE!AK3:AK119,"correct", AProVE!AL3:AL119,"=1", AProVE!AU3:AU119,"*Array*")</f>
        <v>3</v>
      </c>
      <c r="P46" s="108">
        <f>COUNTIFS(AProVE!B3:B119,"*_T.c", AProVE!AK3:AK119,"correct", AProVE!AL3:AL119,"&lt;1", AProVE!AU3:AU119,"*Array*")</f>
        <v>5</v>
      </c>
      <c r="Q46" s="108">
        <f>COUNTIFS(AProVE!B3:B119,"*_T.c", AProVE!AK3:AK119,"wrong", AProVE!AU3:AU119,"*Array*")</f>
        <v>0</v>
      </c>
      <c r="R46" s="109">
        <f>COUNTIFS(CPAchecker!B3:B119,"*_T.c", CPAchecker!AK3:AK119,"correct", CPAchecker!AL3:AL119,"=1", CPAchecker!AU3:AU119,"*Array*")</f>
        <v>0</v>
      </c>
      <c r="S46" s="108">
        <f>COUNTIFS(CPAchecker!B3:B119,"*_T.c", CPAchecker!AK3:AK119,"correct", CPAchecker!AL3:AL119,"&lt;1", CPAchecker!AU3:AU119,"*Array*")</f>
        <v>8</v>
      </c>
      <c r="T46" s="108">
        <f>COUNTIFS(CPAchecker!B3:B119,"*_T.c", CPAchecker!AK3:AK119,"wrong", CPAchecker!AU3:AU119,"*Array*")</f>
        <v>0</v>
      </c>
      <c r="U46" s="109">
        <f>COUNTIFS('2LS'!B3:B119,"*_T.c", '2LS'!AK3:AK119,"correct", '2LS'!AL3:AL119,"=1", '2LS'!AU3:AU119,"*Array*")</f>
        <v>3</v>
      </c>
      <c r="V46" s="108">
        <f>COUNTIFS('2LS'!B3:B119,"*_T.c", '2LS'!AK3:AK119,"correct", '2LS'!AL3:AL119,"&lt;1", '2LS'!AU3:AU119,"*Array*")</f>
        <v>5</v>
      </c>
      <c r="W46" s="108">
        <f>COUNTIFS('2LS'!B3:B119,"*_T.c", '2LS'!AK3:AK119,"wrong", '2LS'!AU3:AU119,"*Array*")</f>
        <v>0</v>
      </c>
      <c r="X46" s="85"/>
    </row>
    <row r="47" spans="2:25" ht="16" customHeight="1" x14ac:dyDescent="0.25">
      <c r="B47" s="208" t="s">
        <v>121</v>
      </c>
      <c r="C47" s="208"/>
      <c r="D47" s="211">
        <f>COUNTIFS(Athena!B3:B119,"*_T.c", Athena!AU3:AU119,"*Structure*")</f>
        <v>3</v>
      </c>
      <c r="E47" s="30" t="s">
        <v>114</v>
      </c>
      <c r="F47" s="106">
        <f>COUNTIFS(Athena!B3:B119,"*_T.c", Athena!D3:D119,"correct", Athena!E3:E119,"=1", Athena!AU3:AU119,"*Structure*")</f>
        <v>0</v>
      </c>
      <c r="G47" s="106">
        <f>COUNTIFS(Athena!B3:B119,"*_T.c", Athena!D3:D119,"correct", Athena!E3:E119,"&lt;1", Athena!AU3:AU119,"*Structure*")</f>
        <v>3</v>
      </c>
      <c r="H47" s="106">
        <f>COUNTIFS(Athena!B3:B119,"*_T.c", Athena!D3:D119,"wrong", Athena!AU3:AU119,"*Structure*")</f>
        <v>0</v>
      </c>
      <c r="I47" s="107">
        <f>COUNTIFS(PROTON!B3:B119,"*_T.c", PROTON!D3:D119,"correct", PROTON!E3:E119,"=1", PROTON!AU3:AU119,"*Structure*")</f>
        <v>1</v>
      </c>
      <c r="J47" s="106">
        <f>COUNTIFS(PROTON!B3:B119,"*_T.c", PROTON!D3:D119,"correct", PROTON!E3:E119,"&lt;1", PROTON!AU3:AU119,"*Structure*")</f>
        <v>0</v>
      </c>
      <c r="K47" s="106">
        <f>COUNTIFS(PROTON!B3:B119,"*_T.c", PROTON!D3:D119,"wrong", PROTON!AU3:AU119,"*Structure*")</f>
        <v>2</v>
      </c>
      <c r="L47" s="107">
        <f>COUNTIFS(UAutomizer!B3:B119,"*_T.c", UAutomizer!D3:D119,"correct", UAutomizer!E3:E119,"=1", UAutomizer!AU3:AU119,"*Structure*")</f>
        <v>0</v>
      </c>
      <c r="M47" s="106">
        <f>COUNTIFS(UAutomizer!B3:B119,"*_T.c", UAutomizer!D3:D119,"correct", UAutomizer!E3:E119,"&lt;1", UAutomizer!AU3:AU119,"*Structure*")</f>
        <v>3</v>
      </c>
      <c r="N47" s="106">
        <f>COUNTIFS(UAutomizer!B3:B119,"*_T.c", UAutomizer!D3:D119,"wrong", UAutomizer!AU3:AU119,"*Structure*")</f>
        <v>0</v>
      </c>
      <c r="O47" s="107">
        <f>COUNTIFS(AProVE!B3:B119,"*_T.c", AProVE!D3:D119,"correct", AProVE!E3:E119,"=1", AProVE!AU3:AU119,"*Structure*")</f>
        <v>0</v>
      </c>
      <c r="P47" s="106">
        <f>COUNTIFS(AProVE!B3:B119,"*_T.c", AProVE!D3:D119,"correct", AProVE!E3:E119,"&lt;1", AProVE!AU3:AU119,"*Structure*")</f>
        <v>3</v>
      </c>
      <c r="Q47" s="106">
        <f>COUNTIFS(AProVE!B3:B119,"*_T.c", AProVE!D3:D119,"wrong", AProVE!AU3:AU119,"*Structure*")</f>
        <v>0</v>
      </c>
      <c r="R47" s="107">
        <f>COUNTIFS(CPAchecker!B3:B119,"*_T.c", CPAchecker!D3:D119,"correct", CPAchecker!E3:E119,"=1", CPAchecker!AU3:AU119,"*Structure*")</f>
        <v>0</v>
      </c>
      <c r="S47" s="106">
        <f>COUNTIFS(CPAchecker!B3:B119,"*_T.c", CPAchecker!D3:D119,"correct", CPAchecker!E3:E119,"&lt;1", CPAchecker!AU3:AU119,"*Structure*")</f>
        <v>3</v>
      </c>
      <c r="T47" s="106">
        <f>COUNTIFS(CPAchecker!B3:B119,"*_T.c", CPAchecker!D3:D119,"wrong", CPAchecker!AU3:AU119,"*Structure*")</f>
        <v>0</v>
      </c>
      <c r="U47" s="107">
        <f>COUNTIFS('2LS'!B3:B119,"*_T.c", '2LS'!D3:D119,"correct", '2LS'!E3:E119,"=1", '2LS'!AU3:AU119,"*Structure*")</f>
        <v>0</v>
      </c>
      <c r="V47" s="106">
        <f>COUNTIFS('2LS'!B3:B119,"*_T.c", '2LS'!D3:D119,"correct", '2LS'!E3:E119,"&lt;1", '2LS'!AU3:AU119,"*Structure*")</f>
        <v>3</v>
      </c>
      <c r="W47" s="106">
        <f>COUNTIFS('2LS'!B3:B119,"*_T.c", '2LS'!D3:D119,"wrong", '2LS'!AU3:AU119,"*Structure*")</f>
        <v>0</v>
      </c>
    </row>
    <row r="48" spans="2:25" x14ac:dyDescent="0.25">
      <c r="B48" s="209"/>
      <c r="C48" s="209"/>
      <c r="D48" s="212"/>
      <c r="E48" s="110" t="s">
        <v>115</v>
      </c>
      <c r="F48" s="106">
        <f>COUNTIFS(Athena!B3:B119,"*_T.c", Athena!O3:O119,"correct", Athena!P3:P119,"=1", Athena!AU3:AU119,"*Structure*")</f>
        <v>0</v>
      </c>
      <c r="G48" s="106">
        <f>COUNTIFS(Athena!B3:B119,"*_T.c", Athena!O3:O119,"correct", Athena!P3:P119,"&lt;1", Athena!AU3:AU119,"*Structure*")</f>
        <v>3</v>
      </c>
      <c r="H48" s="106">
        <f>COUNTIFS(Athena!B3:B119,"*_T.c", Athena!O3:O119,"wrong", Athena!AU3:AU119,"*Structure*")</f>
        <v>0</v>
      </c>
      <c r="I48" s="107">
        <f>COUNTIFS(PROTON!B3:B119,"*_T.c", PROTON!O3:O119,"correct", PROTON!P3:P119,"=1", PROTON!AU3:AU119,"*Structure*")</f>
        <v>1</v>
      </c>
      <c r="J48" s="106">
        <f>COUNTIFS(PROTON!B3:B119,"*_T.c", PROTON!O3:O119,"correct", PROTON!P3:P119,"&lt;1", PROTON!AU3:AU119,"*Structure*")</f>
        <v>0</v>
      </c>
      <c r="K48" s="106">
        <f>COUNTIFS(PROTON!B3:B119,"*_T.c", PROTON!O3:O119,"wrong", PROTON!AU3:AU119,"*Structure*")</f>
        <v>2</v>
      </c>
      <c r="L48" s="107">
        <f>COUNTIFS(UAutomizer!B3:B119,"*_T.c", UAutomizer!O3:O119,"correct", UAutomizer!P3:P119,"=1", UAutomizer!AU3:AU119,"*Structure*")</f>
        <v>0</v>
      </c>
      <c r="M48" s="106">
        <f>COUNTIFS(UAutomizer!B3:B119,"*_T.c", UAutomizer!O3:O119,"correct", UAutomizer!P3:P119,"&lt;1", UAutomizer!AU3:AU119,"*Structure*")</f>
        <v>3</v>
      </c>
      <c r="N48" s="106">
        <f>COUNTIFS(UAutomizer!B3:B119,"*_T.c", UAutomizer!O3:O119,"wrong", UAutomizer!AU3:AU119,"*Structure*")</f>
        <v>0</v>
      </c>
      <c r="O48" s="107">
        <f>COUNTIFS(AProVE!B3:B119,"*_T.c", AProVE!O3:O119,"correct", AProVE!P3:P119,"=1", AProVE!AU3:AU119,"*Structure*")</f>
        <v>0</v>
      </c>
      <c r="P48" s="106">
        <f>COUNTIFS(AProVE!B3:B119,"*_T.c", AProVE!O3:O119,"correct", AProVE!P3:P119,"&lt;1", AProVE!AU3:AU119,"*Structure*")</f>
        <v>3</v>
      </c>
      <c r="Q48" s="106">
        <f>COUNTIFS(AProVE!B3:B119,"*_T.c", AProVE!O3:O119,"wrong", AProVE!AU3:AU119,"*Structure*")</f>
        <v>0</v>
      </c>
      <c r="R48" s="107">
        <f>COUNTIFS(CPAchecker!B3:B119,"*_T.c", CPAchecker!O3:O119,"correct", CPAchecker!P3:P119,"=1", CPAchecker!AU3:AU119,"*Structure*")</f>
        <v>0</v>
      </c>
      <c r="S48" s="106">
        <f>COUNTIFS(CPAchecker!B3:B119,"*_T.c", CPAchecker!O3:O119,"correct", CPAchecker!P3:P119,"&lt;1", CPAchecker!AU3:AU119,"*Structure*")</f>
        <v>3</v>
      </c>
      <c r="T48" s="106">
        <f>COUNTIFS(CPAchecker!B3:B119,"*_T.c", CPAchecker!O3:O119,"wrong", CPAchecker!AU3:AU119,"*Structure*")</f>
        <v>0</v>
      </c>
      <c r="U48" s="107">
        <f>COUNTIFS('2LS'!B3:B119,"*_T.c", '2LS'!O3:O119,"correct", '2LS'!P3:P119,"=1", '2LS'!AU3:AU119,"*Structure*")</f>
        <v>0</v>
      </c>
      <c r="V48" s="106">
        <f>COUNTIFS('2LS'!B3:B119,"*_T.c", '2LS'!O3:O119,"correct", '2LS'!P3:P119,"&lt;1", '2LS'!AU3:AU119,"*Structure*")</f>
        <v>3</v>
      </c>
      <c r="W48" s="106">
        <f>COUNTIFS('2LS'!B3:B119,"*_T.c", '2LS'!O3:O119,"wrong", '2LS'!AU3:AU119,"*Structure*")</f>
        <v>0</v>
      </c>
    </row>
    <row r="49" spans="2:23" x14ac:dyDescent="0.25">
      <c r="B49" s="209"/>
      <c r="C49" s="209"/>
      <c r="D49" s="212"/>
      <c r="E49" s="110" t="s">
        <v>152</v>
      </c>
      <c r="F49" s="106">
        <f>COUNTIFS(Athena!B3:B119,"*_T.c", Athena!Z3:Z119,"correct", Athena!AA3:AA119,"=1", Athena!AU3:AU119,"*Structure*")</f>
        <v>1</v>
      </c>
      <c r="G49" s="106">
        <f>COUNTIFS(Athena!B3:B119,"*_T.c", Athena!D3:D119,"correct", Athena!AA3:AA119,"&lt;1", Athena!AU3:AU119,"*Structure*")</f>
        <v>2</v>
      </c>
      <c r="H49" s="106">
        <f>COUNTIFS(Athena!B3:B119,"*_T.c", Athena!Z3:Z119,"wrong", Athena!AU3:AU119,"*Structure*")</f>
        <v>0</v>
      </c>
      <c r="I49" s="107">
        <f>COUNTIFS(PROTON!B3:B119,"*_T.c", PROTON!Z3:Z119,"correct", PROTON!AA3:AA119,"=1", PROTON!AU3:AU119,"*Structure*")</f>
        <v>1</v>
      </c>
      <c r="J49" s="106">
        <f>COUNTIFS(PROTON!B3:B119,"*_T.c", PROTON!D3:D119,"correct", PROTON!AA3:AA119,"&lt;1", PROTON!AU3:AU119,"*Structure*")</f>
        <v>1</v>
      </c>
      <c r="K49" s="106">
        <f>COUNTIFS(PROTON!B3:B119,"*_T.c", PROTON!Z3:Z119,"wrong", PROTON!AU3:AU119,"*Structure*")</f>
        <v>1</v>
      </c>
      <c r="L49" s="107">
        <f>COUNTIFS(UAutomizer!B3:B119,"*_T.c", UAutomizer!Z3:Z119,"correct", UAutomizer!AA3:AA119,"=1", UAutomizer!AU3:AU119,"*Structure*")</f>
        <v>0</v>
      </c>
      <c r="M49" s="106">
        <f>COUNTIFS(UAutomizer!B3:B119,"*_T.c", UAutomizer!D3:D119,"correct", UAutomizer!AA3:AA119,"&lt;1", UAutomizer!AU3:AU119,"*Structure*")</f>
        <v>3</v>
      </c>
      <c r="N49" s="106">
        <f>COUNTIFS(UAutomizer!B3:B119,"*_T.c", UAutomizer!Z3:Z119,"wrong", UAutomizer!AU3:AU119,"*Structure*")</f>
        <v>0</v>
      </c>
      <c r="O49" s="107">
        <f>COUNTIFS(AProVE!B3:B119,"*_T.c", AProVE!Z3:Z119,"correct", AProVE!AA3:AA119,"=1", AProVE!AU3:AU119,"*Structure*")</f>
        <v>0</v>
      </c>
      <c r="P49" s="106">
        <f>COUNTIFS(AProVE!B3:B119,"*_T.c", AProVE!D3:D119,"correct", AProVE!AA3:AA119,"&lt;1", AProVE!AU3:AU119,"*Structure*")</f>
        <v>3</v>
      </c>
      <c r="Q49" s="106">
        <f>COUNTIFS(AProVE!B3:B119,"*_T.c", AProVE!Z3:Z119,"wrong", AProVE!AU3:AU119,"*Structure*")</f>
        <v>0</v>
      </c>
      <c r="R49" s="107">
        <f>COUNTIFS(CPAchecker!B3:B119,"*_T.c", CPAchecker!Z3:Z119,"correct", CPAchecker!AA3:AA119,"=1", CPAchecker!AU3:AU119,"*Structure*")</f>
        <v>0</v>
      </c>
      <c r="S49" s="106">
        <f>COUNTIFS(CPAchecker!B3:B119,"*_T.c", CPAchecker!D3:D119,"correct", CPAchecker!AA3:AA119,"&lt;1", CPAchecker!AU3:AU119,"*Structure*")</f>
        <v>3</v>
      </c>
      <c r="T49" s="106">
        <f>COUNTIFS(CPAchecker!B3:B119,"*_T.c", CPAchecker!Z3:Z119,"wrong", CPAchecker!AU3:AU119,"*Structure*")</f>
        <v>0</v>
      </c>
      <c r="U49" s="107">
        <f>COUNTIFS('2LS'!B3:B119,"*_T.c", '2LS'!Z3:Z119,"correct", '2LS'!AA3:AA119,"=1", '2LS'!AU3:AU119,"*Structure*")</f>
        <v>0</v>
      </c>
      <c r="V49" s="106">
        <f>COUNTIFS('2LS'!B3:B119,"*_T.c", '2LS'!D3:D119,"correct", '2LS'!AA3:AA119,"&lt;1", '2LS'!AU3:AU119,"*Structure*")</f>
        <v>3</v>
      </c>
      <c r="W49" s="106">
        <f>COUNTIFS('2LS'!B3:B119,"*_T.c", '2LS'!Z3:Z119,"wrong", '2LS'!AU3:AU119,"*Structure*")</f>
        <v>0</v>
      </c>
    </row>
    <row r="50" spans="2:23" x14ac:dyDescent="0.25">
      <c r="B50" s="210"/>
      <c r="C50" s="210"/>
      <c r="D50" s="212"/>
      <c r="E50" s="111" t="s">
        <v>153</v>
      </c>
      <c r="F50" s="109">
        <f>COUNTIFS(Athena!B3:B119,"*_T.c", Athena!AK3:AK119,"correct", Athena!AL3:AL119,"=1", Athena!AU3:AU119,"*Structure*")</f>
        <v>1</v>
      </c>
      <c r="G50" s="108">
        <f>COUNTIFS(Athena!B3:B119,"*_T.c", Athena!AK3:AK119,"correct", Athena!AL3:AL119,"&lt;1", Athena!AU3:AU119,"*Structure*")</f>
        <v>2</v>
      </c>
      <c r="H50" s="108">
        <f>COUNTIFS(Athena!B3:B119,"*_T.c", Athena!AK3:AK119,"wrong", Athena!AU3:AU119,"*Structure*")</f>
        <v>0</v>
      </c>
      <c r="I50" s="109">
        <f>COUNTIFS(PROTON!B3:B119,"*_T.c", PROTON!AK3:AK119,"correct", PROTON!AL3:AL119,"=1", PROTON!AU3:AU119,"*Structure*")</f>
        <v>1</v>
      </c>
      <c r="J50" s="108">
        <f>COUNTIFS(PROTON!B3:B119,"*_T.c", PROTON!AK3:AK119,"correct", PROTON!AL3:AL119,"&lt;1", PROTON!AU3:AU119,"*Structure*")</f>
        <v>1</v>
      </c>
      <c r="K50" s="108">
        <f>COUNTIFS(PROTON!B3:B119,"*_T.c", PROTON!AK3:AK119,"wrong", PROTON!AU3:AU119,"*Structure*")</f>
        <v>1</v>
      </c>
      <c r="L50" s="109">
        <f>COUNTIFS(UAutomizer!B3:B119,"*_T.c", UAutomizer!AK3:AK119,"correct", UAutomizer!AL3:AL119,"=1", UAutomizer!AU3:AU119,"*Structure*")</f>
        <v>0</v>
      </c>
      <c r="M50" s="108">
        <f>COUNTIFS(UAutomizer!B3:B119,"*_T.c", UAutomizer!AK3:AK119,"correct", UAutomizer!AL3:AL119,"&lt;1", UAutomizer!AU3:AU119,"*Structure*")</f>
        <v>3</v>
      </c>
      <c r="N50" s="108">
        <f>COUNTIFS(UAutomizer!B3:B119,"*_T.c", UAutomizer!AK3:AK119,"wrong", UAutomizer!AU3:AU119,"*Structure*")</f>
        <v>0</v>
      </c>
      <c r="O50" s="109">
        <f>COUNTIFS(AProVE!B3:B119,"*_T.c", AProVE!AK3:AK119,"correct", AProVE!AL3:AL119,"=1", AProVE!AU3:AU119,"*Structure*")</f>
        <v>0</v>
      </c>
      <c r="P50" s="108">
        <f>COUNTIFS(AProVE!B3:B119,"*_T.c", AProVE!AK3:AK119,"correct", AProVE!AL3:AL119,"&lt;1", AProVE!AU3:AU119,"*Structure*")</f>
        <v>3</v>
      </c>
      <c r="Q50" s="108">
        <f>COUNTIFS(AProVE!B3:B119,"*_T.c", AProVE!AK3:AK119,"wrong", AProVE!AU3:AU119,"*Structure*")</f>
        <v>0</v>
      </c>
      <c r="R50" s="109">
        <f>COUNTIFS(CPAchecker!B3:B119,"*_T.c", CPAchecker!AK3:AK119,"correct", CPAchecker!AL3:AL119,"=1", CPAchecker!AU3:AU119,"*Structure*")</f>
        <v>0</v>
      </c>
      <c r="S50" s="108">
        <f>COUNTIFS(CPAchecker!B3:B119,"*_T.c", CPAchecker!AK3:AK119,"correct", CPAchecker!AL3:AL119,"&lt;1", CPAchecker!AU3:AU119,"*Structure*")</f>
        <v>3</v>
      </c>
      <c r="T50" s="108">
        <f>COUNTIFS(CPAchecker!B3:B119,"*_T.c", CPAchecker!AK3:AK119,"wrong", CPAchecker!AU3:AU119,"*Structure*")</f>
        <v>0</v>
      </c>
      <c r="U50" s="109">
        <f>COUNTIFS('2LS'!B3:B119,"*_T.c", '2LS'!AK3:AK119,"correct", '2LS'!AL3:AL119,"=1", '2LS'!AU3:AU119,"*Structure*")</f>
        <v>0</v>
      </c>
      <c r="V50" s="108">
        <f>COUNTIFS('2LS'!B3:B119,"*_T.c", '2LS'!AK3:AK119,"correct", '2LS'!AL3:AL119,"&lt;1", '2LS'!AU3:AU119,"*Structure*")</f>
        <v>3</v>
      </c>
      <c r="W50" s="108">
        <f>COUNTIFS('2LS'!B3:B119,"*_T.c", '2LS'!AK3:AK119,"wrong", '2LS'!AU3:AU119,"*Structure*")</f>
        <v>0</v>
      </c>
    </row>
    <row r="51" spans="2:23" x14ac:dyDescent="0.25">
      <c r="B51" s="208" t="s">
        <v>97</v>
      </c>
      <c r="C51" s="208"/>
      <c r="D51" s="211">
        <f>COUNTIFS(Athena!B3:B119,"*_T.c", Athena!AU3:AU119,"*Bit Calculation*")</f>
        <v>13</v>
      </c>
      <c r="E51" s="110" t="s">
        <v>114</v>
      </c>
      <c r="F51" s="106">
        <f>COUNTIFS(Athena!B3:B119,"*_T.c", Athena!D3:D119,"correct", Athena!E3:E119,"=1", Athena!AU3:AU119,"*Bit Calculation*")</f>
        <v>10</v>
      </c>
      <c r="G51" s="106">
        <f>COUNTIFS(Athena!B3:B119,"*_T.c", Athena!D3:D119,"correct", Athena!E3:E119,"&lt;1", Athena!AU3:AU119,"*Bit Calculation*")</f>
        <v>3</v>
      </c>
      <c r="H51" s="106">
        <f>COUNTIFS(Athena!B3:B119,"*_T.c", Athena!D3:D119,"wrong", Athena!AU3:AU119,"*Bit Calculation*")</f>
        <v>0</v>
      </c>
      <c r="I51" s="107">
        <f>COUNTIFS(PROTON!B3:B119,"*_T.c", PROTON!D3:D119,"correct", PROTON!E3:E119,"=1", PROTON!AU3:AU119,"*Bit Calculation*")</f>
        <v>13</v>
      </c>
      <c r="J51" s="106">
        <f>COUNTIFS(PROTON!B3:B119,"*_T.c", PROTON!D3:D119,"correct", PROTON!E3:E119,"&lt;1", PROTON!AU3:AU119,"*Bit Calculation*")</f>
        <v>0</v>
      </c>
      <c r="K51" s="106">
        <f>COUNTIFS(PROTON!B3:B119,"*_T.c", PROTON!D3:D119,"wrong", PROTON!AU3:AU119,"*Bit Calculation*")</f>
        <v>0</v>
      </c>
      <c r="L51" s="107">
        <f>COUNTIFS(UAutomizer!B3:B119,"*_T.c", UAutomizer!D3:D119,"correct", UAutomizer!E3:E119,"=1", UAutomizer!AU3:AU119,"*Bit Calculation*")</f>
        <v>6</v>
      </c>
      <c r="M51" s="106">
        <f>COUNTIFS(UAutomizer!B3:B119,"*_T.c", UAutomizer!D3:D119,"correct", UAutomizer!E3:E119,"&lt;1", UAutomizer!AU3:AU119,"*Bit Calculation*")</f>
        <v>6</v>
      </c>
      <c r="N51" s="106">
        <f>COUNTIFS(UAutomizer!B3:B119,"*_T.c", UAutomizer!D3:D119,"wrong", UAutomizer!AU3:AU119,"*Bit Calculation*")</f>
        <v>1</v>
      </c>
      <c r="O51" s="107">
        <f>COUNTIFS(AProVE!B3:B119,"*_T.c", AProVE!D3:D119,"correct", AProVE!E3:E119,"=1", AProVE!AU3:AU119,"*Bit Calculation*")</f>
        <v>1</v>
      </c>
      <c r="P51" s="106">
        <f>COUNTIFS(AProVE!B3:B119,"*_T.c", AProVE!D3:D119,"correct", AProVE!E3:E119,"&lt;1", AProVE!AU3:AU119,"*Bit Calculation*")</f>
        <v>12</v>
      </c>
      <c r="Q51" s="106">
        <f>COUNTIFS(AProVE!B3:B119,"*_T.c", AProVE!D3:D119,"wrong", AProVE!AU3:AU119,"*Bit Calculation*")</f>
        <v>0</v>
      </c>
      <c r="R51" s="107">
        <f>COUNTIFS(CPAchecker!B3:B119,"*_T.c", CPAchecker!D3:D119,"correct", CPAchecker!E3:E119,"=1", CPAchecker!AU3:AU119,"*Bit Calculation*")</f>
        <v>1</v>
      </c>
      <c r="S51" s="106">
        <f>COUNTIFS(CPAchecker!B3:B119,"*_T.c", CPAchecker!D3:D119,"correct", CPAchecker!E3:E119,"&lt;1", CPAchecker!AU3:AU119,"*Bit Calculation*")</f>
        <v>9</v>
      </c>
      <c r="T51" s="106">
        <f>COUNTIFS(CPAchecker!B3:B119,"*_T.c", CPAchecker!D3:D119,"wrong", CPAchecker!AU3:AU119,"*Bit Calculation*")</f>
        <v>3</v>
      </c>
      <c r="U51" s="107">
        <f>COUNTIFS('2LS'!B3:B119,"*_T.c", '2LS'!D3:D119,"correct", '2LS'!E3:E119,"=1", '2LS'!AU3:AU119,"*Bit Calculation*")</f>
        <v>6</v>
      </c>
      <c r="V51" s="106">
        <f>COUNTIFS('2LS'!B3:B119,"*_T.c", '2LS'!D3:D119,"correct", '2LS'!E3:E119,"&lt;1", '2LS'!AU3:AU119,"*Bit Calculation*")</f>
        <v>7</v>
      </c>
      <c r="W51" s="106">
        <f>COUNTIFS('2LS'!B3:B119,"*_T.c", '2LS'!D3:D119,"wrong", '2LS'!AU3:AU119,"*Bit Calculation*")</f>
        <v>0</v>
      </c>
    </row>
    <row r="52" spans="2:23" x14ac:dyDescent="0.25">
      <c r="B52" s="209"/>
      <c r="C52" s="209"/>
      <c r="D52" s="212"/>
      <c r="E52" s="110" t="s">
        <v>115</v>
      </c>
      <c r="F52" s="106">
        <f>COUNTIFS(Athena!B3:B119,"*_T.c", Athena!O3:O119,"correct", Athena!P3:P119,"=1", Athena!AU3:AU119,"*Bit Calculation*")</f>
        <v>10</v>
      </c>
      <c r="G52" s="106">
        <f>COUNTIFS(Athena!B3:B119,"*_T.c", Athena!O3:O119,"correct", Athena!P3:P119,"&lt;1", Athena!AU3:AU119,"*Bit Calculation*")</f>
        <v>3</v>
      </c>
      <c r="H52" s="106">
        <f>COUNTIFS(Athena!B3:B119,"*_T.c", Athena!O3:O119,"wrong", Athena!AU3:AU119,"*Bit Calculation*")</f>
        <v>0</v>
      </c>
      <c r="I52" s="107">
        <f>COUNTIFS(PROTON!B3:B119,"*_T.c", PROTON!O3:O119,"correct", PROTON!P3:P119,"=1", PROTON!AU3:AU119,"*Bit Calculation*")</f>
        <v>13</v>
      </c>
      <c r="J52" s="106">
        <f>COUNTIFS(PROTON!B3:B119,"*_T.c", PROTON!O3:O119,"correct", PROTON!P3:P119,"&lt;1", PROTON!AU3:AU119,"*Bit Calculation*")</f>
        <v>0</v>
      </c>
      <c r="K52" s="106">
        <f>COUNTIFS(PROTON!B3:B119,"*_T.c", PROTON!O3:O119,"wrong", PROTON!AU3:AU119,"*Bit Calculation*")</f>
        <v>0</v>
      </c>
      <c r="L52" s="107">
        <f>COUNTIFS(UAutomizer!B3:B119,"*_T.c", UAutomizer!O3:O119,"correct", UAutomizer!P3:P119,"=1", UAutomizer!AU3:AU119,"*Bit Calculation*")</f>
        <v>6</v>
      </c>
      <c r="M52" s="106">
        <f>COUNTIFS(UAutomizer!B3:B119,"*_T.c", UAutomizer!O3:O119,"correct", UAutomizer!P3:P119,"&lt;1", UAutomizer!AU3:AU119,"*Bit Calculation*")</f>
        <v>6</v>
      </c>
      <c r="N52" s="106">
        <f>COUNTIFS(UAutomizer!B3:B119,"*_T.c", UAutomizer!O3:O119,"wrong", UAutomizer!AU3:AU119,"*Bit Calculation*")</f>
        <v>1</v>
      </c>
      <c r="O52" s="107">
        <f>COUNTIFS(AProVE!B3:B119,"*_T.c", AProVE!O3:O119,"correct", AProVE!P3:P119,"=1", AProVE!AU3:AU119,"*Bit Calculation*")</f>
        <v>1</v>
      </c>
      <c r="P52" s="106">
        <f>COUNTIFS(AProVE!B3:B119,"*_T.c", AProVE!O3:O119,"correct", AProVE!P3:P119,"&lt;1", AProVE!AU3:AU119,"*Bit Calculation*")</f>
        <v>12</v>
      </c>
      <c r="Q52" s="106">
        <f>COUNTIFS(AProVE!B3:B119,"*_T.c", AProVE!O3:O119,"wrong", AProVE!AU3:AU119,"*Bit Calculation*")</f>
        <v>0</v>
      </c>
      <c r="R52" s="107">
        <f>COUNTIFS(CPAchecker!B3:B119,"*_T.c", CPAchecker!O3:O119,"correct", CPAchecker!P3:P119,"=1", CPAchecker!AU3:AU119,"*Bit Calculation*")</f>
        <v>1</v>
      </c>
      <c r="S52" s="106">
        <f>COUNTIFS(CPAchecker!B3:B119,"*_T.c", CPAchecker!O3:O119,"correct", CPAchecker!P3:P119,"&lt;1", CPAchecker!AU3:AU119,"*Bit Calculation*")</f>
        <v>8</v>
      </c>
      <c r="T52" s="106">
        <f>COUNTIFS(CPAchecker!B3:B119,"*_T.c", CPAchecker!O3:O119,"wrong", CPAchecker!AU3:AU119,"*Bit Calculation*")</f>
        <v>4</v>
      </c>
      <c r="U52" s="107">
        <f>COUNTIFS('2LS'!B3:B119,"*_T.c", '2LS'!O3:O119,"correct", '2LS'!P3:P119,"=1", '2LS'!AU3:AU119,"*Bit Calculation*")</f>
        <v>6</v>
      </c>
      <c r="V52" s="106">
        <f>COUNTIFS('2LS'!B3:B119,"*_T.c", '2LS'!O3:O119,"correct", '2LS'!P3:P119,"&lt;1", '2LS'!AU3:AU119,"*Bit Calculation*")</f>
        <v>7</v>
      </c>
      <c r="W52" s="106">
        <f>COUNTIFS('2LS'!B3:B119,"*_T.c", '2LS'!O3:O119,"wrong", '2LS'!AU3:AU119,"*Bit Calculation*")</f>
        <v>0</v>
      </c>
    </row>
    <row r="53" spans="2:23" x14ac:dyDescent="0.25">
      <c r="B53" s="209"/>
      <c r="C53" s="209"/>
      <c r="D53" s="212"/>
      <c r="E53" s="110" t="s">
        <v>152</v>
      </c>
      <c r="F53" s="106">
        <f>COUNTIFS(Athena!B3:B119,"*_T.c", Athena!Z3:Z119,"correct", Athena!AA3:AA119,"=1", Athena!AU3:AU119,"*Bit Calculation*")</f>
        <v>10</v>
      </c>
      <c r="G53" s="106">
        <f>COUNTIFS(Athena!B3:B119,"*_T.c", Athena!D3:D119,"correct", Athena!AA3:AA119,"&lt;1", Athena!AU3:AU119,"*Bit Calculation*")</f>
        <v>3</v>
      </c>
      <c r="H53" s="106">
        <f>COUNTIFS(Athena!B3:B119,"*_T.c", Athena!Z3:Z119,"wrong", Athena!AU3:AU119,"*Bit Calculation*")</f>
        <v>0</v>
      </c>
      <c r="I53" s="107">
        <f>COUNTIFS(PROTON!B3:B119,"*_T.c", PROTON!Z3:Z119,"correct", PROTON!AA3:AA119,"=1", PROTON!AU3:AU119,"*Bit Calculation*")</f>
        <v>13</v>
      </c>
      <c r="J53" s="106">
        <f>COUNTIFS(PROTON!B3:B119,"*_T.c", PROTON!D3:D119,"correct", PROTON!AA3:AA119,"&lt;1", PROTON!AU3:AU119,"*Bit Calculation*")</f>
        <v>0</v>
      </c>
      <c r="K53" s="106">
        <f>COUNTIFS(PROTON!B3:B119,"*_T.c", PROTON!Z3:Z119,"wrong", PROTON!AU3:AU119,"*Bit Calculation*")</f>
        <v>0</v>
      </c>
      <c r="L53" s="107">
        <f>COUNTIFS(UAutomizer!B3:B119,"*_T.c", UAutomizer!Z3:Z119,"correct", UAutomizer!AA3:AA119,"=1", UAutomizer!AU3:AU119,"*Bit Calculation*")</f>
        <v>5</v>
      </c>
      <c r="M53" s="106">
        <f>COUNTIFS(UAutomizer!B3:B119,"*_T.c", UAutomizer!D3:D119,"correct", UAutomizer!AA3:AA119,"&lt;1", UAutomizer!AU3:AU119,"*Bit Calculation*")</f>
        <v>7</v>
      </c>
      <c r="N53" s="106">
        <f>COUNTIFS(UAutomizer!B3:B119,"*_T.c", UAutomizer!Z3:Z119,"wrong", UAutomizer!AU3:AU119,"*Bit Bit Calculation*")</f>
        <v>0</v>
      </c>
      <c r="O53" s="107">
        <f>COUNTIFS(AProVE!B3:B119,"*_T.c", AProVE!Z3:Z119,"correct", AProVE!AA3:AA119,"=1", AProVE!AU3:AU119,"*Bit Calculation*")</f>
        <v>1</v>
      </c>
      <c r="P53" s="106">
        <f>COUNTIFS(AProVE!B3:B119,"*_T.c", AProVE!D3:D119,"correct", AProVE!AA3:AA119,"&lt;1", AProVE!AU3:AU119,"*Bit Calculation*")</f>
        <v>12</v>
      </c>
      <c r="Q53" s="106">
        <f>COUNTIFS(AProVE!B3:B119,"*_T.c", AProVE!Z3:Z119,"wrong", AProVE!AU3:AU119,"*Bit Calculation*")</f>
        <v>0</v>
      </c>
      <c r="R53" s="107">
        <f>COUNTIFS(CPAchecker!B3:B119,"*_T.c", CPAchecker!Z3:Z119,"correct", CPAchecker!AA3:AA119,"=1", CPAchecker!AU3:AU119,"*Bit Calculation*")</f>
        <v>9</v>
      </c>
      <c r="S53" s="106">
        <f>COUNTIFS(CPAchecker!B3:B119,"*_T.c", CPAchecker!D3:D119,"correct", CPAchecker!AA3:AA119,"&lt;1", CPAchecker!AU3:AU119,"*Bit Calculation*")</f>
        <v>4</v>
      </c>
      <c r="T53" s="106">
        <f>COUNTIFS(CPAchecker!B3:B119,"*_T.c", CPAchecker!Z3:Z119,"wrong", CPAchecker!AU3:AU119,"*Bit Calculation*")</f>
        <v>0</v>
      </c>
      <c r="U53" s="107">
        <f>COUNTIFS('2LS'!B3:B119,"*_T.c", '2LS'!Z3:Z119,"correct", '2LS'!AA3:AA119,"=1", '2LS'!AU3:AU119,"*Bit Calculation*")</f>
        <v>6</v>
      </c>
      <c r="V53" s="106">
        <f>COUNTIFS('2LS'!B3:B119,"*_T.c", '2LS'!D3:D119,"correct", '2LS'!AA3:AA119,"&lt;1", '2LS'!AU3:AU119,"*Bit Calculation*")</f>
        <v>7</v>
      </c>
      <c r="W53" s="106">
        <f>COUNTIFS('2LS'!B3:B119,"*_T.c", '2LS'!Z3:Z119,"wrong", '2LS'!AU3:AU119,"*Bit Calculation*")</f>
        <v>0</v>
      </c>
    </row>
    <row r="54" spans="2:23" x14ac:dyDescent="0.25">
      <c r="B54" s="210"/>
      <c r="C54" s="210"/>
      <c r="D54" s="212"/>
      <c r="E54" s="111" t="s">
        <v>153</v>
      </c>
      <c r="F54" s="108">
        <f>COUNTIFS(Athena!B3:B119,"*_T.c", Athena!AK3:AK119,"correct", Athena!AL3:AL119,"=1", Athena!AU3:AU119,"*Bit Calculation*")</f>
        <v>10</v>
      </c>
      <c r="G54" s="108">
        <f>COUNTIFS(Athena!B3:B119,"*_T.c", Athena!AK3:AK119,"correct", Athena!AL3:AL119,"&lt;1", Athena!AU3:AU119,"*Bit Calculation*")</f>
        <v>3</v>
      </c>
      <c r="H54" s="108">
        <f>COUNTIFS(Athena!B3:B119,"*_T.c", Athena!AK3:AK119,"wrong", Athena!AU3:AU119,"*Bit Calculation*")</f>
        <v>0</v>
      </c>
      <c r="I54" s="109">
        <f>COUNTIFS(PROTON!B3:B119,"*_T.c", PROTON!AK3:AK119,"correct", PROTON!AL3:AL119,"=1", PROTON!AU3:AU119,"*Bit Calculation*")</f>
        <v>13</v>
      </c>
      <c r="J54" s="108">
        <f>COUNTIFS(PROTON!B3:B119,"*_T.c", PROTON!AK3:AK119,"correct", PROTON!AL3:AL119,"&lt;1", PROTON!AU3:AU119,"*Bit Calculation*")</f>
        <v>0</v>
      </c>
      <c r="K54" s="108">
        <f>COUNTIFS(PROTON!B3:B119,"*_T.c", PROTON!AK3:AK119,"wrong", PROTON!AU3:AU119,"*Bit Calculation*")</f>
        <v>0</v>
      </c>
      <c r="L54" s="109">
        <f>COUNTIFS(UAutomizer!B3:B119,"*_T.c", UAutomizer!AK3:AK119,"correct", UAutomizer!AL3:AL119,"=1", UAutomizer!AU3:AU119,"*Bit Calculation*")</f>
        <v>5</v>
      </c>
      <c r="M54" s="108">
        <f>COUNTIFS(UAutomizer!B3:B119,"*_T.c", UAutomizer!AK3:AK119,"correct", UAutomizer!AL3:AL119,"&lt;1", UAutomizer!AU3:AU119,"*Bit Calculation*")</f>
        <v>8</v>
      </c>
      <c r="N54" s="108">
        <f>COUNTIFS(UAutomizer!B3:B119,"*_T.c", UAutomizer!AK3:AK119,"wrong", UAutomizer!AU3:AU119,"*Bit Calculation*")</f>
        <v>0</v>
      </c>
      <c r="O54" s="109">
        <f>COUNTIFS(AProVE!B3:B119,"*_T.c", AProVE!AK3:AK119,"correct", AProVE!AL3:AL119,"=1", AProVE!AU3:AU119,"*Bit Calculation*")</f>
        <v>1</v>
      </c>
      <c r="P54" s="108">
        <f>COUNTIFS(AProVE!B3:B119,"*_T.c", AProVE!AK3:AK119,"correct", AProVE!AL3:AL119,"&lt;1", AProVE!AU3:AU119,"*Bit Calculation*")</f>
        <v>12</v>
      </c>
      <c r="Q54" s="108">
        <f>COUNTIFS(AProVE!B3:B119,"*_T.c", AProVE!AK3:AK119,"wrong", AProVE!AU3:AU119,"*Bit Calculation*")</f>
        <v>0</v>
      </c>
      <c r="R54" s="109">
        <f>COUNTIFS(CPAchecker!B3:B119,"*_T.c", CPAchecker!AK3:AK119,"correct", CPAchecker!AL3:AL119,"=1", CPAchecker!AU3:AU119,"*Bit Calculation*")</f>
        <v>9</v>
      </c>
      <c r="S54" s="108">
        <f>COUNTIFS(CPAchecker!B3:B119,"*_T.c", CPAchecker!AK3:AK119,"correct", CPAchecker!AL3:AL119,"&lt;1", CPAchecker!AU3:AU119,"*Bit Calculation*")</f>
        <v>4</v>
      </c>
      <c r="T54" s="108">
        <f>COUNTIFS(CPAchecker!B3:B119,"*_T.c", CPAchecker!AK3:AK119,"wrong", CPAchecker!AU3:AU119,"*Bit Calculation*")</f>
        <v>0</v>
      </c>
      <c r="U54" s="109">
        <f>COUNTIFS('2LS'!B3:B119,"*_T.c", '2LS'!AK3:AK119,"correct", '2LS'!AL3:AL119,"=1", '2LS'!AU3:AU119,"*Bit Calculation*")</f>
        <v>6</v>
      </c>
      <c r="V54" s="108">
        <f>COUNTIFS('2LS'!B3:B119,"*_T.c", '2LS'!AK3:AK119,"correct", '2LS'!AL3:AL119,"&lt;1", '2LS'!AU3:AU119,"*Bit Calculation*")</f>
        <v>7</v>
      </c>
      <c r="W54" s="108">
        <f>COUNTIFS('2LS'!B3:B119,"*_T.c", '2LS'!AK3:AK119,"wrong", '2LS'!AU3:AU119,"*Bit Calculation*")</f>
        <v>0</v>
      </c>
    </row>
    <row r="55" spans="2:23" x14ac:dyDescent="0.25">
      <c r="B55" s="208" t="s">
        <v>123</v>
      </c>
      <c r="C55" s="208"/>
      <c r="D55" s="211">
        <f>COUNTIFS(Athena!B3:B119,"*_T.c", Athena!AU3:AU119,"*Overflow/Underflow*")</f>
        <v>21</v>
      </c>
      <c r="E55" s="30" t="s">
        <v>114</v>
      </c>
      <c r="F55" s="106">
        <f>COUNTIFS(Athena!B3:B119,"*_T.c", Athena!D3:D119,"correct", Athena!E3:E119,"=1", Athena!AU3:AU119,"*Overflow/Underflow*")</f>
        <v>17</v>
      </c>
      <c r="G55" s="106">
        <f>COUNTIFS(Athena!B3:B119,"*_T.c", Athena!D3:D119,"correct", Athena!E3:E119,"&lt;1", Athena!AU3:AU119,"*Overflow/Underflow*")</f>
        <v>4</v>
      </c>
      <c r="H55" s="106">
        <f>COUNTIFS(Athena!B3:B119,"*_T.c", Athena!D3:D119,"wrong", Athena!AU3:AU119,"*Overflow/Underflow*")</f>
        <v>0</v>
      </c>
      <c r="I55" s="107">
        <f>COUNTIFS(PROTON!B3:B119,"*_T.c", PROTON!D3:D119,"correct", PROTON!E3:E119,"=1", PROTON!AU3:AU119,"*Overflow/Underflow*")</f>
        <v>20</v>
      </c>
      <c r="J55" s="106">
        <f>COUNTIFS(PROTON!B3:B119,"*_T.c", PROTON!D3:D119,"correct", PROTON!E3:E119,"&lt;1", PROTON!AU3:AU119,"*Overflow/Underflow*")</f>
        <v>0</v>
      </c>
      <c r="K55" s="106">
        <f>COUNTIFS(PROTON!B3:B119,"*_T.c", PROTON!D3:D119,"wrong", PROTON!AU3:AU119,"*Overflow/Underflow*")</f>
        <v>1</v>
      </c>
      <c r="L55" s="107">
        <f>COUNTIFS(UAutomizer!B3:B119,"*_T.c", UAutomizer!D3:D119,"correct", UAutomizer!E3:E119,"=1", UAutomizer!AU3:AU119,"*Overflow/Underflow*")</f>
        <v>8</v>
      </c>
      <c r="M55" s="106">
        <f>COUNTIFS(UAutomizer!B3:B119,"*_T.c", UAutomizer!D3:D119,"correct", UAutomizer!E3:E119,"&lt;1", UAutomizer!AU3:AU119,"*Overflow/Underflow*")</f>
        <v>12</v>
      </c>
      <c r="N55" s="106">
        <f>COUNTIFS(UAutomizer!B3:B119,"*_T.c", UAutomizer!D3:D119,"wrong", UAutomizer!AU3:AU119,"*Overflow/Underflow*")</f>
        <v>1</v>
      </c>
      <c r="O55" s="107">
        <f>COUNTIFS(AProVE!B3:B119,"*_T.c", AProVE!D3:D119,"correct", AProVE!E3:E119,"=1", AProVE!AU3:AU119,"*Overflow/Underflow*")</f>
        <v>7</v>
      </c>
      <c r="P55" s="106">
        <f>COUNTIFS(AProVE!B3:B119,"*_T.c", AProVE!D3:D119,"correct", AProVE!E3:E119,"&lt;1", AProVE!AU3:AU119,"*Overflow/Underflow*")</f>
        <v>14</v>
      </c>
      <c r="Q55" s="106">
        <f>COUNTIFS(AProVE!B3:B119,"*_T.c", AProVE!D3:D119,"wrong", AProVE!AU3:AU119,"*Overflow/Underflow*")</f>
        <v>0</v>
      </c>
      <c r="R55" s="107">
        <f>COUNTIFS(CPAchecker!B3:B119,"*_T.c", CPAchecker!D3:D119,"correct", CPAchecker!E3:E119,"=1", CPAchecker!AU3:AU119,"*Overflow/Underflow*")</f>
        <v>4</v>
      </c>
      <c r="S55" s="106">
        <f>COUNTIFS(CPAchecker!B3:B119,"*_T.c", CPAchecker!D3:D119,"correct", CPAchecker!E3:E119,"&lt;1", CPAchecker!AU3:AU119,"*Overflow/Underflow*")</f>
        <v>14</v>
      </c>
      <c r="T55" s="106">
        <f>COUNTIFS(CPAchecker!B3:B119,"*_T.c", CPAchecker!D3:D119,"wrong", CPAchecker!AU3:AU119,"*Overflow/Underflow*")</f>
        <v>3</v>
      </c>
      <c r="U55" s="107">
        <f>COUNTIFS('2LS'!B3:B119,"*_T.c", '2LS'!D3:D119,"correct", '2LS'!E3:E119,"=1", '2LS'!AU3:AU119,"*Overflow/Underflow*")</f>
        <v>13</v>
      </c>
      <c r="V55" s="106">
        <f>COUNTIFS('2LS'!B3:B119,"*_T.c", '2LS'!D3:D119,"correct", '2LS'!E3:E119,"&lt;1", '2LS'!AU3:AU119,"*Overflow/Underflow*")</f>
        <v>8</v>
      </c>
      <c r="W55" s="106">
        <f>COUNTIFS('2LS'!B3:B119,"*_T.c", '2LS'!D3:D119,"wrong", '2LS'!AU3:AU119,"*Overflow/Underflow*")</f>
        <v>0</v>
      </c>
    </row>
    <row r="56" spans="2:23" x14ac:dyDescent="0.25">
      <c r="B56" s="209"/>
      <c r="C56" s="209"/>
      <c r="D56" s="212"/>
      <c r="E56" s="30" t="s">
        <v>115</v>
      </c>
      <c r="F56" s="106">
        <f>COUNTIFS(Athena!B3:B119,"*_T.c", Athena!O3:O119,"correct", Athena!P3:P119,"=1", Athena!AU3:AU119,"*Overflow/Underflow*")</f>
        <v>16</v>
      </c>
      <c r="G56" s="106">
        <f>COUNTIFS(Athena!B3:B119,"*_T.c", Athena!O3:O119,"correct", Athena!P3:P119,"&lt;1", Athena!AU3:AU119,"*Overflow/Underflow*")</f>
        <v>5</v>
      </c>
      <c r="H56" s="106">
        <f>COUNTIFS(Athena!B3:B119,"*_T.c", Athena!O3:O119,"wrong", Athena!AU3:AU119,"*Overflow/Underflow*")</f>
        <v>0</v>
      </c>
      <c r="I56" s="107">
        <f>COUNTIFS(PROTON!B3:B119,"*_T.c", PROTON!O3:O119,"correct", PROTON!P3:P119,"=1", PROTON!AU3:AU119,"*Overflow/Underflow*")</f>
        <v>20</v>
      </c>
      <c r="J56" s="106">
        <f>COUNTIFS(PROTON!B3:B119,"*_T.c", PROTON!O3:O119,"correct", PROTON!P3:P119,"&lt;1", PROTON!AU3:AU119,"*Overflow/Underflow*")</f>
        <v>1</v>
      </c>
      <c r="K56" s="106">
        <f>COUNTIFS(PROTON!B3:B119,"*_T.c", PROTON!O3:O119,"wrong", PROTON!AU3:AU119,"*Overflow/Underflow*")</f>
        <v>0</v>
      </c>
      <c r="L56" s="107">
        <f>COUNTIFS(UAutomizer!B3:B119,"*_T.c", UAutomizer!O3:O119,"correct", UAutomizer!P3:P119,"=1", UAutomizer!AU3:AU119,"*Overflow/Underflow*")</f>
        <v>8</v>
      </c>
      <c r="M56" s="106">
        <f>COUNTIFS(UAutomizer!B3:B119,"*_T.c", UAutomizer!O3:O119,"correct", UAutomizer!P3:P119,"&lt;1", UAutomizer!AU3:AU119,"*Overflow/Underflow*")</f>
        <v>12</v>
      </c>
      <c r="N56" s="106">
        <f>COUNTIFS(UAutomizer!B3:B119,"*_T.c", UAutomizer!O3:O119,"wrong", UAutomizer!AU3:AU119,"*Overflow/Underflow*")</f>
        <v>1</v>
      </c>
      <c r="O56" s="107">
        <f>COUNTIFS(AProVE!B3:B119,"*_T.c", AProVE!O3:O119,"correct", AProVE!P3:P119,"=1", AProVE!AU3:AU119,"*Overflow/Underflow*")</f>
        <v>6</v>
      </c>
      <c r="P56" s="106">
        <f>COUNTIFS(AProVE!B3:B119,"*_T.c", AProVE!O3:O119,"correct", AProVE!P3:P119,"&lt;1", AProVE!AU3:AU119,"*Overflow/Underflow*")</f>
        <v>15</v>
      </c>
      <c r="Q56" s="106">
        <f>COUNTIFS(AProVE!B3:B119,"*_T.c", AProVE!O3:O119,"wrong", AProVE!AU3:AU119,"*Overflow/Underflow*")</f>
        <v>0</v>
      </c>
      <c r="R56" s="107">
        <f>COUNTIFS(CPAchecker!B3:B119,"*_T.c", CPAchecker!O3:O119,"correct", CPAchecker!P3:P119,"=1", CPAchecker!AU3:AU119,"*Overflow/Underflow*")</f>
        <v>4</v>
      </c>
      <c r="S56" s="106">
        <f>COUNTIFS(CPAchecker!B3:B119,"*_T.c", CPAchecker!O3:O119,"correct", CPAchecker!P3:P119,"&lt;1", CPAchecker!AU3:AU119,"*Overflow/Underflow*")</f>
        <v>12</v>
      </c>
      <c r="T56" s="106">
        <f>COUNTIFS(CPAchecker!B3:B119,"*_T.c", CPAchecker!O3:O119,"wrong", CPAchecker!AU3:AU119,"*Overflow/Underflow*")</f>
        <v>5</v>
      </c>
      <c r="U56" s="107">
        <f>COUNTIFS('2LS'!B3:B119,"*_T.c", '2LS'!O3:O119,"correct", '2LS'!P3:P119,"=1", '2LS'!AU3:AU119,"*Overflow/Underflow*")</f>
        <v>13</v>
      </c>
      <c r="V56" s="106">
        <f>COUNTIFS('2LS'!B3:B119,"*_T.c", '2LS'!O3:O119,"correct", '2LS'!P3:P119,"&lt;1", '2LS'!AU3:AU119,"*Overflow/Underflow*")</f>
        <v>8</v>
      </c>
      <c r="W56" s="106">
        <f>COUNTIFS('2LS'!B3:B119,"*_T.c", '2LS'!O3:O119,"wrong", '2LS'!AU3:AU119,"*Overflow/Underflow*")</f>
        <v>0</v>
      </c>
    </row>
    <row r="57" spans="2:23" x14ac:dyDescent="0.25">
      <c r="B57" s="209"/>
      <c r="C57" s="209"/>
      <c r="D57" s="212"/>
      <c r="E57" s="30" t="s">
        <v>152</v>
      </c>
      <c r="F57" s="106">
        <f>COUNTIFS(Athena!B3:B119,"*_T.c", Athena!Z3:Z119,"correct", Athena!AA3:AA119,"=1", Athena!AU3:AU119,"*Overflow/Underflow*")</f>
        <v>17</v>
      </c>
      <c r="G57" s="106">
        <f>COUNTIFS(Athena!B3:B119,"*_T.c", Athena!D3:D119,"correct", Athena!AA3:AA119,"&lt;1", Athena!AU3:AU119,"*Overflow/Underflow*")</f>
        <v>4</v>
      </c>
      <c r="H57" s="106">
        <f>COUNTIFS(Athena!B3:B119,"*_T.c", Athena!Z3:Z119,"wrong", Athena!AU3:AU119,"*Overflow/Underflow*")</f>
        <v>0</v>
      </c>
      <c r="I57" s="107">
        <f>COUNTIFS(PROTON!B3:B119,"*_T.c", PROTON!Z3:Z119,"correct", PROTON!AA3:AA119,"=1", PROTON!AU3:AU119,"*Overflow/Underflow*")</f>
        <v>17</v>
      </c>
      <c r="J57" s="106">
        <f>COUNTIFS(PROTON!B3:B119,"*_T.c", PROTON!D3:D119,"correct", PROTON!AA3:AA119,"&lt;1", PROTON!AU3:AU119,"*Overflow/Underflow*")</f>
        <v>3</v>
      </c>
      <c r="K57" s="106">
        <f>COUNTIFS(PROTON!B3:B119,"*_T.c", PROTON!Z3:Z119,"wrong", PROTON!AU3:AU119,"*Overflow/Underflow*")</f>
        <v>1</v>
      </c>
      <c r="L57" s="107">
        <f>COUNTIFS(UAutomizer!B3:B119,"*_T.c", UAutomizer!Z3:Z119,"correct", UAutomizer!AA3:AA119,"=1", UAutomizer!AU3:AU119,"*Overflow/Underflow*")</f>
        <v>7</v>
      </c>
      <c r="M57" s="106">
        <f>COUNTIFS(UAutomizer!B3:B119,"*_T.c", UAutomizer!D3:D119,"correct", UAutomizer!AA3:AA119,"&lt;1", UAutomizer!AU3:AU119,"*Overflow/Underflow*")</f>
        <v>13</v>
      </c>
      <c r="N57" s="106">
        <f>COUNTIFS(UAutomizer!B3:B119,"*_T.c", UAutomizer!Z3:Z119,"wrong", UAutomizer!AU3:AU119,"*Overflow/Underflow*")</f>
        <v>0</v>
      </c>
      <c r="O57" s="107">
        <f>COUNTIFS(AProVE!B3:B119,"*_T.c", AProVE!Z3:Z119,"correct", AProVE!AA3:AA119,"=1", AProVE!AU3:AU119,"*Overflow/Underflow*")</f>
        <v>6</v>
      </c>
      <c r="P57" s="106">
        <f>COUNTIFS(AProVE!B3:B119,"*_T.c", AProVE!D3:D119,"correct", AProVE!AA3:AA119,"&lt;1", AProVE!AU3:AU119,"*Overflow/Underflow*")</f>
        <v>15</v>
      </c>
      <c r="Q57" s="106">
        <f>COUNTIFS(AProVE!B3:B119,"*_T.c", AProVE!Z3:Z119,"wrong", AProVE!AU3:AU119,"*Overflow/Underflow*")</f>
        <v>0</v>
      </c>
      <c r="R57" s="107">
        <f>COUNTIFS(CPAchecker!B3:B119,"*_T.c", CPAchecker!Z3:Z119,"correct", CPAchecker!AA3:AA119,"=1", CPAchecker!AU3:AU119,"*Overflow/Underflow*")</f>
        <v>10</v>
      </c>
      <c r="S57" s="106">
        <f>COUNTIFS(CPAchecker!B3:B119,"*_T.c", CPAchecker!D3:D119,"correct", CPAchecker!AA3:AA119,"&lt;1", CPAchecker!AU3:AU119,"*Overflow/Underflow*")</f>
        <v>10</v>
      </c>
      <c r="T57" s="106">
        <f>COUNTIFS(CPAchecker!B3:B119,"*_T.c", CPAchecker!Z3:Z119,"wrong", CPAchecker!AU3:AU119,"*Overflow/Underflow*")</f>
        <v>1</v>
      </c>
      <c r="U57" s="107">
        <f>COUNTIFS('2LS'!B3:B119,"*_T.c", '2LS'!Z3:Z119,"correct", '2LS'!AA3:AA119,"=1", '2LS'!AU3:AU119,"*Overflow/Underflow*")</f>
        <v>12</v>
      </c>
      <c r="V57" s="106">
        <f>COUNTIFS('2LS'!B3:B119,"*_T.c", '2LS'!D3:D119,"correct", '2LS'!AA3:AA119,"&lt;1", '2LS'!AU3:AU119,"*Overflow/Underflow*")</f>
        <v>9</v>
      </c>
      <c r="W57" s="106">
        <f>COUNTIFS('2LS'!B3:B119,"*_T.c", '2LS'!Z3:Z119,"wrong", '2LS'!AU3:AU119,"*Overflow/Underflow*")</f>
        <v>0</v>
      </c>
    </row>
    <row r="58" spans="2:23" x14ac:dyDescent="0.25">
      <c r="B58" s="210"/>
      <c r="C58" s="210"/>
      <c r="D58" s="212"/>
      <c r="E58" s="31" t="s">
        <v>153</v>
      </c>
      <c r="F58" s="109">
        <f>COUNTIFS(Athena!B3:B119,"*_T.c", Athena!AK3:AK119,"correct", Athena!AL3:AL119,"=1", Athena!AU3:AU119,"*Overflow/Underflow*")</f>
        <v>15</v>
      </c>
      <c r="G58" s="108">
        <f>COUNTIFS(Athena!B3:B119,"*_T.c", Athena!AK3:AK119,"correct", Athena!AL3:AL119,"&lt;1", Athena!AU3:AU119,"*Overflow/Underflow*")</f>
        <v>6</v>
      </c>
      <c r="H58" s="108">
        <f>COUNTIFS(Athena!B3:B119,"*_T.c", Athena!AK3:AK119,"wrong", Athena!AU3:AU119,"*Overflow/Underflow*")</f>
        <v>0</v>
      </c>
      <c r="I58" s="109">
        <f>COUNTIFS(PROTON!B3:B119,"*_T.c", PROTON!AK3:AK119,"correct", PROTON!AL3:AL119,"=1", PROTON!AU3:AU119,"*Overflow/Underflow*")</f>
        <v>17</v>
      </c>
      <c r="J58" s="108">
        <f>COUNTIFS(PROTON!B3:B119,"*_T.c", PROTON!AK3:AK119,"correct", PROTON!AL3:AL119,"&lt;1", PROTON!AU3:AU119,"*Overflow/Underflow*")</f>
        <v>4</v>
      </c>
      <c r="K58" s="108">
        <f>COUNTIFS(PROTON!B3:B119,"*_T.c", PROTON!AK3:AK119,"wrong", PROTON!AU3:AU119,"*Overflow/Underflow*")</f>
        <v>0</v>
      </c>
      <c r="L58" s="109">
        <f>COUNTIFS(UAutomizer!B3:B119,"*_T.c", UAutomizer!AK3:AK119,"correct", UAutomizer!AL3:AL119,"=1", UAutomizer!AU3:AU119,"*Overflow/Underflow*")</f>
        <v>7</v>
      </c>
      <c r="M58" s="108">
        <f>COUNTIFS(UAutomizer!B3:B119,"*_T.c", UAutomizer!AK3:AK119,"correct", UAutomizer!AL3:AL119,"&lt;1", UAutomizer!AU3:AU119,"*Overflow/Underflow*")</f>
        <v>14</v>
      </c>
      <c r="N58" s="108">
        <f>COUNTIFS(UAutomizer!B3:B119,"*_T.c", UAutomizer!AK3:AK119,"wrong", UAutomizer!AU3:AU119,"*Overflow/Underflow*")</f>
        <v>0</v>
      </c>
      <c r="O58" s="109">
        <f>COUNTIFS(AProVE!B3:B119,"*_T.c", AProVE!AK3:AK119,"correct", AProVE!AL3:AL119,"=1", AProVE!AU3:AU119,"*Overflow/Underflow*")</f>
        <v>5</v>
      </c>
      <c r="P58" s="108">
        <f>COUNTIFS(AProVE!B3:B119,"*_T.c", AProVE!AK3:AK119,"correct", AProVE!AL3:AL119,"&lt;1", AProVE!AU3:AU119,"*Overflow/Underflow*")</f>
        <v>16</v>
      </c>
      <c r="Q58" s="108">
        <f>COUNTIFS(AProVE!B3:B119,"*_T.c", AProVE!AK3:AK119,"wrong", AProVE!AU3:AU119,"*Overflow/Underflow*")</f>
        <v>0</v>
      </c>
      <c r="R58" s="109">
        <f>COUNTIFS(CPAchecker!B3:B119,"*_T.c", CPAchecker!AK3:AK119,"correct", CPAchecker!AL3:AL119,"=1", CPAchecker!AU3:AU119,"*Overflow/Underflow*")</f>
        <v>10</v>
      </c>
      <c r="S58" s="108">
        <f>COUNTIFS(CPAchecker!B3:B119,"*_T.c", CPAchecker!AK3:AK119,"correct", CPAchecker!AL3:AL119,"&lt;1", CPAchecker!AU3:AU119,"*Overflow/Underflow*")</f>
        <v>10</v>
      </c>
      <c r="T58" s="108">
        <f>COUNTIFS(CPAchecker!B3:B119,"*_T.c", CPAchecker!AK3:AK119,"wrong", CPAchecker!AU3:AU119,"*Overflow/Underflow*")</f>
        <v>1</v>
      </c>
      <c r="U58" s="109">
        <f>COUNTIFS('2LS'!B3:B119,"*_T.c", '2LS'!AK3:AK119,"correct", '2LS'!AL3:AL119,"=1", '2LS'!AU3:AU119,"*Overflow/Underflow*")</f>
        <v>12</v>
      </c>
      <c r="V58" s="108">
        <f>COUNTIFS('2LS'!B3:B119,"*_T.c", '2LS'!AK3:AK119,"correct", '2LS'!AL3:AL119,"&lt;1", '2LS'!AU3:AU119,"*Overflow/Underflow*")</f>
        <v>9</v>
      </c>
      <c r="W58" s="108">
        <f>COUNTIFS('2LS'!B3:B119,"*_T.c", '2LS'!AK3:AK119,"wrong", '2LS'!AU3:AU119,"*Overflow/Underflow*")</f>
        <v>0</v>
      </c>
    </row>
    <row r="59" spans="2:23" x14ac:dyDescent="0.25">
      <c r="B59" s="208" t="s">
        <v>96</v>
      </c>
      <c r="C59" s="208"/>
      <c r="D59" s="211">
        <f>COUNTIFS(Athena!B3:B119,"*_T.c", Athena!AU3:AU119,"*Recursion*")</f>
        <v>12</v>
      </c>
      <c r="E59" s="30" t="s">
        <v>114</v>
      </c>
      <c r="F59" s="106">
        <f>COUNTIFS(Athena!B3:B119,"*_T.c", Athena!D3:D119,"correct", Athena!E3:E119,"=1", Athena!AU3:AU119,"*Recursion*")</f>
        <v>0</v>
      </c>
      <c r="G59" s="106">
        <f>COUNTIFS(Athena!B3:B119,"*_T.c", Athena!D3:D119,"correct", Athena!E3:E119,"&lt;1", Athena!AU3:AU119,"*Recursion*")</f>
        <v>12</v>
      </c>
      <c r="H59" s="106">
        <f>COUNTIFS(Athena!B3:B119,"*_T.c", Athena!D3:D119,"wrong", Athena!AU3:AU119,"*Recursion*")</f>
        <v>0</v>
      </c>
      <c r="I59" s="107">
        <f>COUNTIFS(PROTON!B3:B119,"*_T.c", PROTON!D3:D119,"correct", PROTON!E3:E119,"=1", PROTON!AU3:AU119,"*Recursion*")</f>
        <v>10</v>
      </c>
      <c r="J59" s="106">
        <f>COUNTIFS(PROTON!B3:B119,"*_T.c", PROTON!D3:D119,"correct", PROTON!E3:E119,"&lt;1", PROTON!AU3:AU119,"*Recursion*")</f>
        <v>2</v>
      </c>
      <c r="K59" s="106">
        <f>COUNTIFS(PROTON!B3:B119,"*_T.c", PROTON!D3:D119,"wrong", PROTON!AU3:AU119,"*Recursion*")</f>
        <v>0</v>
      </c>
      <c r="L59" s="107">
        <f>COUNTIFS(UAutomizer!B3:B119,"*_T.c", UAutomizer!D3:D119,"correct", UAutomizer!E3:E119,"=1", UAutomizer!AU3:AU119,"*Recursion*")</f>
        <v>3</v>
      </c>
      <c r="M59" s="106">
        <f>COUNTIFS(UAutomizer!B3:B119,"*_T.c", UAutomizer!D3:D119,"correct", UAutomizer!E3:E119,"&lt;1", UAutomizer!AU3:AU119,"*Recursion*")</f>
        <v>9</v>
      </c>
      <c r="N59" s="106">
        <f>COUNTIFS(UAutomizer!B3:B119,"*_T.c", UAutomizer!D3:D119,"wrong", UAutomizer!AU3:AU119,"*Recursion*")</f>
        <v>0</v>
      </c>
      <c r="O59" s="107">
        <f>COUNTIFS(AProVE!B3:B119,"*_T.c", AProVE!D3:D119,"correct", AProVE!E3:E119,"=1", AProVE!AU3:AU119,"*Recursion*")</f>
        <v>3</v>
      </c>
      <c r="P59" s="106">
        <f>COUNTIFS(AProVE!B3:B119,"*_T.c", AProVE!D3:D119,"correct", AProVE!E3:E119,"&lt;1", AProVE!AU3:AU119,"*Recursion*")</f>
        <v>9</v>
      </c>
      <c r="Q59" s="106">
        <f>COUNTIFS(AProVE!B3:B119,"*_T.c", AProVE!D3:D119,"wrong", AProVE!AU3:AU119,"*Recursion*")</f>
        <v>0</v>
      </c>
      <c r="R59" s="107">
        <f>COUNTIFS(CPAchecker!B3:B119,"*_T.c", CPAchecker!D3:D119,"correct", CPAchecker!E3:E119,"=1", CPAchecker!AU3:AU119,"*Recursion*")</f>
        <v>0</v>
      </c>
      <c r="S59" s="106">
        <f>COUNTIFS(CPAchecker!B3:B119,"*_T.c", CPAchecker!D3:D119,"correct", CPAchecker!E3:E119,"&lt;1", CPAchecker!AU3:AU119,"*Recursion*")</f>
        <v>12</v>
      </c>
      <c r="T59" s="106">
        <f>COUNTIFS(CPAchecker!B3:B119,"*_T.c", CPAchecker!D3:D119,"wrong", CPAchecker!AU3:AU119,"*Recursion*")</f>
        <v>0</v>
      </c>
      <c r="U59" s="107">
        <f>COUNTIFS('2LS'!B3:B119,"*_T.c", '2LS'!D3:D119,"correct", '2LS'!E3:E119,"=1", '2LS'!AU3:AU119,"*Recursion*")</f>
        <v>4</v>
      </c>
      <c r="V59" s="106">
        <f>COUNTIFS('2LS'!B3:B119,"*_T.c", '2LS'!D3:D119,"correct", '2LS'!E3:E119,"&lt;1", '2LS'!AU3:AU119,"*Recursion*")</f>
        <v>8</v>
      </c>
      <c r="W59" s="106">
        <f>COUNTIFS('2LS'!B3:B119,"*_T.c", '2LS'!D3:D119,"wrong", '2LS'!AU3:AU119,"*Recursion*")</f>
        <v>0</v>
      </c>
    </row>
    <row r="60" spans="2:23" x14ac:dyDescent="0.25">
      <c r="B60" s="209"/>
      <c r="C60" s="209"/>
      <c r="D60" s="212"/>
      <c r="E60" s="30" t="s">
        <v>115</v>
      </c>
      <c r="F60" s="106">
        <f>COUNTIFS(Athena!B3:B119,"*_T.c", Athena!O3:O119,"correct", Athena!P3:P119,"=1", Athena!AU3:AU119,"*Recursion*")</f>
        <v>0</v>
      </c>
      <c r="G60" s="106">
        <f>COUNTIFS(Athena!B3:B119,"*_T.c", Athena!O3:O119,"correct", Athena!P3:P119,"&lt;1", Athena!AU3:AU119,"*Recursion*")</f>
        <v>12</v>
      </c>
      <c r="H60" s="106">
        <f>COUNTIFS(Athena!B3:B119,"*_T.c", Athena!O3:O119,"wrong", Athena!AU3:AU119,"*Recursion*")</f>
        <v>0</v>
      </c>
      <c r="I60" s="107">
        <f>COUNTIFS(PROTON!B3:B119,"*_T.c", PROTON!O3:O119,"correct", PROTON!P3:P119,"=1", PROTON!AU3:AU119,"*Recursion*")</f>
        <v>10</v>
      </c>
      <c r="J60" s="106">
        <f>COUNTIFS(PROTON!B3:B119,"*_T.c", PROTON!O3:O119,"correct", PROTON!P3:P119,"&lt;1", PROTON!AU3:AU119,"*Recursion*")</f>
        <v>2</v>
      </c>
      <c r="K60" s="106">
        <f>COUNTIFS(PROTON!B3:B119,"*_T.c", PROTON!O3:O119,"wrong", PROTON!AU3:AU119,"*Recursion*")</f>
        <v>0</v>
      </c>
      <c r="L60" s="107">
        <f>COUNTIFS(UAutomizer!B3:B119,"*_T.c", UAutomizer!O3:O119,"correct", UAutomizer!P3:P119,"=1", UAutomizer!AU3:AU119,"*Recursion*")</f>
        <v>0</v>
      </c>
      <c r="M60" s="106">
        <f>COUNTIFS(UAutomizer!B3:B119,"*_T.c", UAutomizer!O3:O119,"correct", UAutomizer!P3:P119,"&lt;1", UAutomizer!AU3:AU119,"*Recursion*")</f>
        <v>12</v>
      </c>
      <c r="N60" s="106">
        <f>COUNTIFS(UAutomizer!B3:B119,"*_T.c", UAutomizer!O3:O119,"wrong", UAutomizer!AU3:AU119,"*Recursion*")</f>
        <v>0</v>
      </c>
      <c r="O60" s="107">
        <f>COUNTIFS(AProVE!B3:B119,"*_T.c", AProVE!O3:O119,"correct", AProVE!P3:P119,"=1", AProVE!AU3:AU119,"*Recursion*")</f>
        <v>3</v>
      </c>
      <c r="P60" s="106">
        <f>COUNTIFS(AProVE!B3:B119,"*_T.c", AProVE!O3:O119,"correct", AProVE!P3:P119,"&lt;1", AProVE!AU3:AU119,"*Recursion*")</f>
        <v>9</v>
      </c>
      <c r="Q60" s="106">
        <f>COUNTIFS(AProVE!B3:B119,"*_T.c", AProVE!O3:O119,"wrong", AProVE!AU3:AU119,"*Recursion*")</f>
        <v>0</v>
      </c>
      <c r="R60" s="107">
        <f>COUNTIFS(CPAchecker!B3:B119,"*_T.c", CPAchecker!O3:O119,"correct", CPAchecker!P3:P119,"=1", CPAchecker!AU3:AU119,"*Recursion*")</f>
        <v>0</v>
      </c>
      <c r="S60" s="106">
        <f>COUNTIFS(CPAchecker!B3:B119,"*_T.c", CPAchecker!O3:O119,"correct", CPAchecker!P3:P119,"&lt;1", CPAchecker!AU3:AU119,"*Recursion*")</f>
        <v>12</v>
      </c>
      <c r="T60" s="106">
        <f>COUNTIFS(CPAchecker!B3:B119,"*_T.c", CPAchecker!O3:O119,"wrong", CPAchecker!AU3:AU119,"*Recursion*")</f>
        <v>0</v>
      </c>
      <c r="U60" s="107">
        <f>COUNTIFS('2LS'!B3:B119,"*_T.c", '2LS'!O3:O119,"correct", '2LS'!P3:P119,"=1", '2LS'!AU3:AU119,"*Recursion*")</f>
        <v>4</v>
      </c>
      <c r="V60" s="106">
        <f>COUNTIFS('2LS'!B3:B119,"*_T.c", '2LS'!O3:O119,"correct", '2LS'!P3:P119,"&lt;1", '2LS'!AU3:AU119,"*Recursion*")</f>
        <v>8</v>
      </c>
      <c r="W60" s="106">
        <f>COUNTIFS('2LS'!B3:B119,"*_T.c", '2LS'!O3:O119,"wrong", '2LS'!AU3:AU119,"*Recursion*")</f>
        <v>0</v>
      </c>
    </row>
    <row r="61" spans="2:23" x14ac:dyDescent="0.25">
      <c r="B61" s="209"/>
      <c r="C61" s="209"/>
      <c r="D61" s="212"/>
      <c r="E61" s="30" t="s">
        <v>152</v>
      </c>
      <c r="F61" s="106">
        <f>COUNTIFS(Athena!B3:B119,"*_T.c", Athena!Z3:Z119,"correct", Athena!AA3:AA119,"=1", Athena!AU3:AU119,"*Recursion*")</f>
        <v>0</v>
      </c>
      <c r="G61" s="106">
        <f>COUNTIFS(Athena!B3:B119,"*_T.c", Athena!D3:D119,"correct", Athena!AA3:AA119,"&lt;1", Athena!AU3:AU119,"*Recursion*")</f>
        <v>12</v>
      </c>
      <c r="H61" s="106">
        <f>COUNTIFS(Athena!B3:B119,"*_T.c", Athena!Z3:Z119,"wrong", Athena!AU3:AU119,"*Recursion*")</f>
        <v>0</v>
      </c>
      <c r="I61" s="107">
        <f>COUNTIFS(PROTON!B3:B119,"*_T.c", PROTON!Z3:Z119,"correct", PROTON!AA3:AA119,"=1", PROTON!AU3:AU119,"*Recursion*")</f>
        <v>9</v>
      </c>
      <c r="J61" s="106">
        <f>COUNTIFS(PROTON!B3:B119,"*_T.c", PROTON!D3:D119,"correct", PROTON!AA3:AA119,"&lt;1", PROTON!AU3:AU119,"*Recursion*")</f>
        <v>3</v>
      </c>
      <c r="K61" s="106">
        <f>COUNTIFS(PROTON!B3:B119,"*_T.c", PROTON!Z3:Z119,"wrong", PROTON!AU3:AU119,"*Recursion*")</f>
        <v>0</v>
      </c>
      <c r="L61" s="107">
        <f>COUNTIFS(UAutomizer!B3:B119,"*_T.c", UAutomizer!Z3:Z119,"correct", UAutomizer!AA3:AA119,"=1", UAutomizer!AU3:AU119,"*Recursion*")</f>
        <v>3</v>
      </c>
      <c r="M61" s="106">
        <f>COUNTIFS(UAutomizer!B3:B119,"*_T.c", UAutomizer!D3:D119,"correct", UAutomizer!AA3:AA119,"&lt;1", UAutomizer!AU3:AU119,"*Recursion*")</f>
        <v>9</v>
      </c>
      <c r="N61" s="106">
        <f>COUNTIFS(UAutomizer!B3:B119,"*_T.c", UAutomizer!Z3:Z119,"wrong", UAutomizer!AU3:AU119,"*Recursion*")</f>
        <v>0</v>
      </c>
      <c r="O61" s="107">
        <f>COUNTIFS(AProVE!B3:B119,"*_T.c", AProVE!Z3:Z119,"correct", AProVE!AA3:AA119,"=1", AProVE!AU3:AU119,"*Recursion*")</f>
        <v>3</v>
      </c>
      <c r="P61" s="106">
        <f>COUNTIFS(AProVE!B3:B119,"*_T.c", AProVE!D3:D119,"correct", AProVE!AA3:AA119,"&lt;1", AProVE!AU3:AU119,"*Recursion*")</f>
        <v>9</v>
      </c>
      <c r="Q61" s="106">
        <f>COUNTIFS(AProVE!B3:B119,"*_T.c", AProVE!Z3:Z119,"wrong", AProVE!AU3:AU119,"*Recursion*")</f>
        <v>0</v>
      </c>
      <c r="R61" s="107">
        <f>COUNTIFS(CPAchecker!B3:B119,"*_T.c", CPAchecker!Z3:Z119,"correct", CPAchecker!AA3:AA119,"=1", CPAchecker!AU3:AU119,"*Recursion*")</f>
        <v>0</v>
      </c>
      <c r="S61" s="106">
        <f>COUNTIFS(CPAchecker!B3:B119,"*_T.c", CPAchecker!D3:D119,"correct", CPAchecker!AA3:AA119,"&lt;1", CPAchecker!AU3:AU119,"*Recursion*")</f>
        <v>12</v>
      </c>
      <c r="T61" s="106">
        <f>COUNTIFS(CPAchecker!B3:B119,"*_T.c", CPAchecker!Z3:Z119,"wrong", CPAchecker!AU3:AU119,"*Recursion*")</f>
        <v>0</v>
      </c>
      <c r="U61" s="107">
        <f>COUNTIFS('2LS'!B3:B119,"*_T.c", '2LS'!Z3:Z119,"correct", '2LS'!AA3:AA119,"=1", '2LS'!AU3:AU119,"*Recursion*")</f>
        <v>4</v>
      </c>
      <c r="V61" s="106">
        <f>COUNTIFS('2LS'!B3:B119,"*_T.c", '2LS'!D3:D119,"correct", '2LS'!AA3:AA119,"&lt;1", '2LS'!AU3:AU119,"*Recursion*")</f>
        <v>8</v>
      </c>
      <c r="W61" s="106">
        <f>COUNTIFS('2LS'!B3:B119,"*_T.c", '2LS'!Z3:Z119,"wrong", '2LS'!AU3:AU119,"*Recursion*")</f>
        <v>0</v>
      </c>
    </row>
    <row r="62" spans="2:23" ht="21" thickBot="1" x14ac:dyDescent="0.3">
      <c r="B62" s="227"/>
      <c r="C62" s="227"/>
      <c r="D62" s="212"/>
      <c r="E62" s="30" t="s">
        <v>153</v>
      </c>
      <c r="F62" s="108">
        <f>COUNTIFS(Athena!B3:B119,"*_T.c", Athena!AK3:AK119,"correct", Athena!AL3:AL119,"=1", Athena!AU3:AU119,"*Recursion*")</f>
        <v>0</v>
      </c>
      <c r="G62" s="108">
        <f>COUNTIFS(Athena!B3:B119,"*_T.c", Athena!AK3:AK119,"correct", Athena!AL3:AL119,"&lt;1", Athena!AU3:AU119,"*Recursion*")</f>
        <v>12</v>
      </c>
      <c r="H62" s="108">
        <f>COUNTIFS(Athena!B3:B119,"*_T.c", Athena!AK3:AK119,"wrong", Athena!AU3:AU119,"*Recursion*")</f>
        <v>0</v>
      </c>
      <c r="I62" s="109">
        <f>COUNTIFS(PROTON!B3:B119,"*_T.c", PROTON!AK3:AK119,"correct", PROTON!AL3:AL119,"=1", PROTON!AU3:AU119,"*Recursion*")</f>
        <v>9</v>
      </c>
      <c r="J62" s="108">
        <f>COUNTIFS(PROTON!B3:B119,"*_T.c", PROTON!AK3:AK119,"correct", PROTON!AL3:AL119,"&lt;1", PROTON!AU3:AU119,"*Recursion*")</f>
        <v>3</v>
      </c>
      <c r="K62" s="108">
        <f>COUNTIFS(PROTON!B3:B119,"*_T.c", PROTON!AK3:AK119,"wrong", PROTON!AU3:AU119,"*Recursion*")</f>
        <v>0</v>
      </c>
      <c r="L62" s="109">
        <f>COUNTIFS(UAutomizer!B3:B119,"*_T.c", UAutomizer!AK3:AK119,"correct", UAutomizer!AL3:AL119,"=1", UAutomizer!AU3:AU119,"*Recursion*")</f>
        <v>0</v>
      </c>
      <c r="M62" s="108">
        <f>COUNTIFS(UAutomizer!B3:B119,"*_T.c", UAutomizer!AK3:AK119,"correct", UAutomizer!AL3:AL119,"&lt;1", UAutomizer!AU3:AU119,"*Recursion*")</f>
        <v>12</v>
      </c>
      <c r="N62" s="108">
        <f>COUNTIFS(UAutomizer!B3:B119,"*_T.c", UAutomizer!AK3:AK119,"wrong", UAutomizer!AU3:AU119,"*Recursion*")</f>
        <v>0</v>
      </c>
      <c r="O62" s="109">
        <f>COUNTIFS(AProVE!B3:B119,"*_T.c", AProVE!AK3:AK119,"correct", AProVE!AL3:AL119,"=1", AProVE!AU3:AU119,"*Recursion*")</f>
        <v>3</v>
      </c>
      <c r="P62" s="108">
        <f>COUNTIFS(AProVE!B3:B119,"*_T.c", AProVE!AK3:AK119,"correct", AProVE!AL3:AL119,"&lt;1", AProVE!AU3:AU119,"*Recursion*")</f>
        <v>9</v>
      </c>
      <c r="Q62" s="108">
        <f>COUNTIFS(AProVE!B3:B119,"*_T.c", AProVE!AK3:AK119,"wrong", AProVE!AU3:AU119,"*Recursion*")</f>
        <v>0</v>
      </c>
      <c r="R62" s="109">
        <f>COUNTIFS(CPAchecker!B3:B119,"*_T.c", CPAchecker!AK3:AK119,"correct", CPAchecker!AL3:AL119,"=1", CPAchecker!AU3:AU119,"*Recursion*")</f>
        <v>0</v>
      </c>
      <c r="S62" s="108">
        <f>COUNTIFS(CPAchecker!B3:B119,"*_T.c", CPAchecker!AK3:AK119,"correct", CPAchecker!AL3:AL119,"&lt;1", CPAchecker!AU3:AU119,"*Recursion*")</f>
        <v>12</v>
      </c>
      <c r="T62" s="108">
        <f>COUNTIFS(CPAchecker!B3:B119,"*_T.c", CPAchecker!AK3:AK119,"wrong", CPAchecker!AU3:AU119,"*Recursion*")</f>
        <v>0</v>
      </c>
      <c r="U62" s="109">
        <f>COUNTIFS('2LS'!B3:B119,"*_T.c", '2LS'!AK3:AK119,"correct", '2LS'!AL3:AL119,"=1", '2LS'!AU3:AU119,"*Recursion*")</f>
        <v>4</v>
      </c>
      <c r="V62" s="108">
        <f>COUNTIFS('2LS'!B3:B119,"*_T.c", '2LS'!AK3:AK119,"correct", '2LS'!AL3:AL119,"&lt;1", '2LS'!AU3:AU119,"*Recursion*")</f>
        <v>8</v>
      </c>
      <c r="W62" s="108">
        <f>COUNTIFS('2LS'!B3:B119,"*_T.c", '2LS'!AK3:AK119,"wrong", '2LS'!AU3:AU119,"*Recursion*")</f>
        <v>0</v>
      </c>
    </row>
    <row r="63" spans="2:23" ht="16" customHeight="1" x14ac:dyDescent="0.25">
      <c r="B63" s="216" t="s">
        <v>122</v>
      </c>
      <c r="C63" s="216"/>
      <c r="D63" s="223">
        <f>D39+D43+D47+D51+D55+D59</f>
        <v>64</v>
      </c>
      <c r="E63" s="44" t="s">
        <v>114</v>
      </c>
      <c r="F63" s="105">
        <f t="shared" ref="F63:W63" si="4">F39+F43+F47+F51+F55+F59</f>
        <v>31</v>
      </c>
      <c r="G63" s="104">
        <f t="shared" si="4"/>
        <v>33</v>
      </c>
      <c r="H63" s="104">
        <f t="shared" si="4"/>
        <v>0</v>
      </c>
      <c r="I63" s="105">
        <f t="shared" si="4"/>
        <v>51</v>
      </c>
      <c r="J63" s="104">
        <f t="shared" si="4"/>
        <v>6</v>
      </c>
      <c r="K63" s="104">
        <f t="shared" si="4"/>
        <v>7</v>
      </c>
      <c r="L63" s="105">
        <f t="shared" si="4"/>
        <v>23</v>
      </c>
      <c r="M63" s="104">
        <f t="shared" si="4"/>
        <v>39</v>
      </c>
      <c r="N63" s="104">
        <f t="shared" si="4"/>
        <v>2</v>
      </c>
      <c r="O63" s="105">
        <f t="shared" si="4"/>
        <v>15</v>
      </c>
      <c r="P63" s="104">
        <f t="shared" si="4"/>
        <v>49</v>
      </c>
      <c r="Q63" s="104">
        <f t="shared" si="4"/>
        <v>0</v>
      </c>
      <c r="R63" s="105">
        <f t="shared" si="4"/>
        <v>5</v>
      </c>
      <c r="S63" s="104">
        <f t="shared" si="4"/>
        <v>53</v>
      </c>
      <c r="T63" s="104">
        <f t="shared" si="4"/>
        <v>6</v>
      </c>
      <c r="U63" s="105">
        <f t="shared" si="4"/>
        <v>26</v>
      </c>
      <c r="V63" s="104">
        <f t="shared" si="4"/>
        <v>38</v>
      </c>
      <c r="W63" s="104">
        <f t="shared" si="4"/>
        <v>0</v>
      </c>
    </row>
    <row r="64" spans="2:23" ht="16" customHeight="1" x14ac:dyDescent="0.25">
      <c r="B64" s="217"/>
      <c r="C64" s="217"/>
      <c r="D64" s="212"/>
      <c r="E64" s="30" t="s">
        <v>115</v>
      </c>
      <c r="F64" s="107">
        <f t="shared" ref="F64:W64" si="5">F40+F44+F48+F52+F56+F60</f>
        <v>29</v>
      </c>
      <c r="G64" s="106">
        <f t="shared" si="5"/>
        <v>35</v>
      </c>
      <c r="H64" s="106">
        <f t="shared" si="5"/>
        <v>0</v>
      </c>
      <c r="I64" s="29">
        <f t="shared" si="5"/>
        <v>51</v>
      </c>
      <c r="J64" s="34">
        <f t="shared" si="5"/>
        <v>7</v>
      </c>
      <c r="K64" s="34">
        <f t="shared" si="5"/>
        <v>6</v>
      </c>
      <c r="L64" s="107">
        <f t="shared" si="5"/>
        <v>20</v>
      </c>
      <c r="M64" s="106">
        <f t="shared" si="5"/>
        <v>42</v>
      </c>
      <c r="N64" s="106">
        <f t="shared" si="5"/>
        <v>2</v>
      </c>
      <c r="O64" s="107">
        <f t="shared" si="5"/>
        <v>13</v>
      </c>
      <c r="P64" s="106">
        <f t="shared" si="5"/>
        <v>51</v>
      </c>
      <c r="Q64" s="106">
        <f t="shared" si="5"/>
        <v>0</v>
      </c>
      <c r="R64" s="107">
        <f t="shared" si="5"/>
        <v>5</v>
      </c>
      <c r="S64" s="106">
        <f t="shared" si="5"/>
        <v>50</v>
      </c>
      <c r="T64" s="106">
        <f t="shared" si="5"/>
        <v>9</v>
      </c>
      <c r="U64" s="107">
        <f t="shared" si="5"/>
        <v>26</v>
      </c>
      <c r="V64" s="106">
        <f t="shared" si="5"/>
        <v>38</v>
      </c>
      <c r="W64" s="106">
        <f t="shared" si="5"/>
        <v>0</v>
      </c>
    </row>
    <row r="65" spans="2:23" ht="16" customHeight="1" x14ac:dyDescent="0.25">
      <c r="B65" s="217"/>
      <c r="C65" s="217"/>
      <c r="D65" s="212"/>
      <c r="E65" s="30" t="s">
        <v>152</v>
      </c>
      <c r="F65" s="29">
        <f t="shared" ref="F65:W65" si="6">F41+F45+F49+F53+F57+F61</f>
        <v>33</v>
      </c>
      <c r="G65" s="34">
        <f t="shared" si="6"/>
        <v>31</v>
      </c>
      <c r="H65" s="34">
        <f t="shared" si="6"/>
        <v>0</v>
      </c>
      <c r="I65" s="29">
        <f t="shared" si="6"/>
        <v>51</v>
      </c>
      <c r="J65" s="34">
        <f t="shared" si="6"/>
        <v>10</v>
      </c>
      <c r="K65" s="34">
        <f t="shared" si="6"/>
        <v>3</v>
      </c>
      <c r="L65" s="107">
        <f t="shared" si="6"/>
        <v>21</v>
      </c>
      <c r="M65" s="106">
        <f t="shared" si="6"/>
        <v>41</v>
      </c>
      <c r="N65" s="106">
        <f t="shared" si="6"/>
        <v>0</v>
      </c>
      <c r="O65" s="29">
        <f t="shared" si="6"/>
        <v>14</v>
      </c>
      <c r="P65" s="34">
        <f t="shared" si="6"/>
        <v>50</v>
      </c>
      <c r="Q65" s="34">
        <f t="shared" si="6"/>
        <v>0</v>
      </c>
      <c r="R65" s="29">
        <f t="shared" si="6"/>
        <v>19</v>
      </c>
      <c r="S65" s="34">
        <f t="shared" si="6"/>
        <v>44</v>
      </c>
      <c r="T65" s="34">
        <f t="shared" si="6"/>
        <v>1</v>
      </c>
      <c r="U65" s="29">
        <f t="shared" si="6"/>
        <v>25</v>
      </c>
      <c r="V65" s="34">
        <f t="shared" si="6"/>
        <v>39</v>
      </c>
      <c r="W65" s="34">
        <f t="shared" si="6"/>
        <v>0</v>
      </c>
    </row>
    <row r="66" spans="2:23" ht="21" thickBot="1" x14ac:dyDescent="0.3">
      <c r="B66" s="218"/>
      <c r="C66" s="218"/>
      <c r="D66" s="224"/>
      <c r="E66" s="32" t="s">
        <v>153</v>
      </c>
      <c r="F66" s="56">
        <f t="shared" ref="F66:W66" si="7">F42+F46+F50+F54+F58+F62</f>
        <v>30</v>
      </c>
      <c r="G66" s="57">
        <f t="shared" si="7"/>
        <v>34</v>
      </c>
      <c r="H66" s="57">
        <f t="shared" si="7"/>
        <v>0</v>
      </c>
      <c r="I66" s="56">
        <f t="shared" si="7"/>
        <v>49</v>
      </c>
      <c r="J66" s="57">
        <f t="shared" si="7"/>
        <v>11</v>
      </c>
      <c r="K66" s="57">
        <f t="shared" si="7"/>
        <v>4</v>
      </c>
      <c r="L66" s="56">
        <f t="shared" si="7"/>
        <v>18</v>
      </c>
      <c r="M66" s="57">
        <f t="shared" si="7"/>
        <v>46</v>
      </c>
      <c r="N66" s="57">
        <f t="shared" si="7"/>
        <v>0</v>
      </c>
      <c r="O66" s="56">
        <f t="shared" si="7"/>
        <v>13</v>
      </c>
      <c r="P66" s="57">
        <f t="shared" si="7"/>
        <v>51</v>
      </c>
      <c r="Q66" s="57">
        <f t="shared" si="7"/>
        <v>0</v>
      </c>
      <c r="R66" s="56">
        <f t="shared" si="7"/>
        <v>19</v>
      </c>
      <c r="S66" s="57">
        <f t="shared" si="7"/>
        <v>44</v>
      </c>
      <c r="T66" s="57">
        <f t="shared" si="7"/>
        <v>1</v>
      </c>
      <c r="U66" s="56">
        <f t="shared" si="7"/>
        <v>25</v>
      </c>
      <c r="V66" s="57">
        <f t="shared" si="7"/>
        <v>39</v>
      </c>
      <c r="W66" s="57">
        <f t="shared" si="7"/>
        <v>0</v>
      </c>
    </row>
  </sheetData>
  <mergeCells count="44">
    <mergeCell ref="B59:C62"/>
    <mergeCell ref="B63:C66"/>
    <mergeCell ref="D63:D66"/>
    <mergeCell ref="D59:D62"/>
    <mergeCell ref="D55:D58"/>
    <mergeCell ref="U4:W4"/>
    <mergeCell ref="B4:D5"/>
    <mergeCell ref="I4:K4"/>
    <mergeCell ref="F4:H4"/>
    <mergeCell ref="E4:E5"/>
    <mergeCell ref="R4:T4"/>
    <mergeCell ref="D22:D25"/>
    <mergeCell ref="D26:D29"/>
    <mergeCell ref="D30:D33"/>
    <mergeCell ref="B6:C9"/>
    <mergeCell ref="B10:C13"/>
    <mergeCell ref="B14:C17"/>
    <mergeCell ref="B18:C21"/>
    <mergeCell ref="B22:C25"/>
    <mergeCell ref="B26:C29"/>
    <mergeCell ref="R37:T37"/>
    <mergeCell ref="U37:W37"/>
    <mergeCell ref="B37:D38"/>
    <mergeCell ref="E37:E38"/>
    <mergeCell ref="F37:H37"/>
    <mergeCell ref="I37:K37"/>
    <mergeCell ref="L37:N37"/>
    <mergeCell ref="O37:Q37"/>
    <mergeCell ref="B51:C54"/>
    <mergeCell ref="B55:C58"/>
    <mergeCell ref="D51:D54"/>
    <mergeCell ref="O4:Q4"/>
    <mergeCell ref="L4:N4"/>
    <mergeCell ref="B39:C42"/>
    <mergeCell ref="B43:C46"/>
    <mergeCell ref="B47:C50"/>
    <mergeCell ref="D39:D42"/>
    <mergeCell ref="D43:D46"/>
    <mergeCell ref="D47:D50"/>
    <mergeCell ref="B30:C33"/>
    <mergeCell ref="D6:D9"/>
    <mergeCell ref="D10:D13"/>
    <mergeCell ref="D14:D17"/>
    <mergeCell ref="D18:D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7FA9-943C-4EBD-8201-1129FDC096E0}">
  <dimension ref="B2:AD55"/>
  <sheetViews>
    <sheetView zoomScale="80" zoomScaleNormal="80" workbookViewId="0"/>
  </sheetViews>
  <sheetFormatPr baseColWidth="10" defaultColWidth="10.83203125" defaultRowHeight="20" x14ac:dyDescent="0.25"/>
  <cols>
    <col min="1" max="1" width="6" style="12" customWidth="1"/>
    <col min="2" max="3" width="15.6640625" style="12" customWidth="1"/>
    <col min="4" max="4" width="15.5" style="12" customWidth="1"/>
    <col min="5" max="7" width="15.6640625" style="12" customWidth="1"/>
    <col min="8" max="8" width="15.5" style="12" customWidth="1"/>
    <col min="9" max="10" width="15.6640625" style="12" customWidth="1"/>
    <col min="11" max="16" width="15.83203125" style="12" customWidth="1"/>
    <col min="17" max="17" width="45.83203125" style="12" customWidth="1"/>
    <col min="18" max="19" width="15.83203125" style="12" customWidth="1"/>
    <col min="20" max="24" width="10.83203125" style="12" customWidth="1"/>
    <col min="25" max="30" width="15.83203125" style="12" customWidth="1"/>
    <col min="31" max="16384" width="10.83203125" style="12"/>
  </cols>
  <sheetData>
    <row r="2" spans="2:17" x14ac:dyDescent="0.25">
      <c r="B2" s="25" t="s">
        <v>3990</v>
      </c>
      <c r="C2" s="26"/>
      <c r="D2" s="17"/>
      <c r="E2" s="17"/>
      <c r="F2" s="17"/>
      <c r="G2" s="17"/>
      <c r="J2" s="18"/>
    </row>
    <row r="3" spans="2:17" ht="21" thickBot="1" x14ac:dyDescent="0.3">
      <c r="J3" s="18"/>
    </row>
    <row r="4" spans="2:17" x14ac:dyDescent="0.25">
      <c r="B4" s="204" t="s">
        <v>125</v>
      </c>
      <c r="C4" s="193" t="s">
        <v>124</v>
      </c>
      <c r="D4" s="188" t="s">
        <v>144</v>
      </c>
      <c r="E4" s="190"/>
      <c r="F4" s="188" t="s">
        <v>113</v>
      </c>
      <c r="G4" s="190"/>
      <c r="H4" s="194" t="s">
        <v>109</v>
      </c>
      <c r="I4" s="196"/>
      <c r="J4" s="188" t="s">
        <v>108</v>
      </c>
      <c r="K4" s="190"/>
      <c r="L4" s="188" t="s">
        <v>110</v>
      </c>
      <c r="M4" s="190"/>
      <c r="N4" s="219" t="s">
        <v>111</v>
      </c>
      <c r="O4" s="220"/>
    </row>
    <row r="5" spans="2:17" ht="21" thickBot="1" x14ac:dyDescent="0.3">
      <c r="B5" s="170"/>
      <c r="C5" s="205"/>
      <c r="D5" s="46" t="s">
        <v>129</v>
      </c>
      <c r="E5" s="61" t="s">
        <v>128</v>
      </c>
      <c r="F5" s="46" t="s">
        <v>129</v>
      </c>
      <c r="G5" s="61" t="s">
        <v>128</v>
      </c>
      <c r="H5" s="98" t="s">
        <v>129</v>
      </c>
      <c r="I5" s="100" t="s">
        <v>128</v>
      </c>
      <c r="J5" s="46" t="s">
        <v>129</v>
      </c>
      <c r="K5" s="61" t="s">
        <v>128</v>
      </c>
      <c r="L5" s="98" t="s">
        <v>129</v>
      </c>
      <c r="M5" s="100" t="s">
        <v>128</v>
      </c>
      <c r="N5" s="98" t="s">
        <v>129</v>
      </c>
      <c r="O5" s="99" t="s">
        <v>128</v>
      </c>
    </row>
    <row r="6" spans="2:17" x14ac:dyDescent="0.25">
      <c r="B6" s="232" t="s">
        <v>3991</v>
      </c>
      <c r="C6" s="45" t="s">
        <v>114</v>
      </c>
      <c r="D6" s="112">
        <f>AVERAGEIFS(Athena!I3:I119, Athena!B3:B119,"*_NT.c")</f>
        <v>0.6964285714285714</v>
      </c>
      <c r="E6" s="16">
        <f>AVERAGEIFS(Athena!I3:I119, Athena!B3:B119,"*_T.c")</f>
        <v>0.5901639344262295</v>
      </c>
      <c r="F6" s="116">
        <f>AVERAGEIFS(PROTON!I3:I119, PROTON!B3:B119,"*_NT.c")</f>
        <v>0.5357142857142857</v>
      </c>
      <c r="G6" s="117">
        <f>AVERAGEIFS(PROTON!I3:I119, PROTON!B3:B119,"*_T.c")</f>
        <v>0.85245901639344257</v>
      </c>
      <c r="H6" s="116">
        <f>AVERAGEIFS(UAutomizer!I3:I119, UAutomizer!B3:B119,"*_NT.c")</f>
        <v>0.4107142857142857</v>
      </c>
      <c r="I6" s="117">
        <f>AVERAGEIFS(UAutomizer!I3:I119, UAutomizer!B3:B119,"*_T.c")</f>
        <v>0.47540983606557374</v>
      </c>
      <c r="J6" s="116">
        <f>AVERAGEIFS(AProVE!I3:I119, AProVE!B3:B119,"*_NT.c")</f>
        <v>0.23214285714285715</v>
      </c>
      <c r="K6" s="117">
        <f>AVERAGEIFS(AProVE!I3:I119, AProVE!B3:B119,"*_T.c")</f>
        <v>0.4098360655737705</v>
      </c>
      <c r="L6" s="116">
        <f>AVERAGEIFS(CPAchecker!I3:I119, CPAchecker!B3:B119,"*_NT.c")</f>
        <v>0.35714285714285715</v>
      </c>
      <c r="M6" s="117">
        <f>AVERAGEIFS(CPAchecker!I3:I119, CPAchecker!B3:B119,"*_T.c")</f>
        <v>0.16393442622950818</v>
      </c>
      <c r="N6" s="116">
        <f>AVERAGEIFS('2LS'!I3:I119, '2LS'!B3:B119,"*_NT.c")</f>
        <v>1.7857142857142856E-2</v>
      </c>
      <c r="O6" s="117">
        <f>AVERAGEIFS('2LS'!I3:I119, '2LS'!B3:B119,"*_T.c")</f>
        <v>0.47540983606557374</v>
      </c>
      <c r="Q6" s="12" t="s">
        <v>3983</v>
      </c>
    </row>
    <row r="7" spans="2:17" x14ac:dyDescent="0.25">
      <c r="B7" s="229"/>
      <c r="C7" s="14" t="s">
        <v>115</v>
      </c>
      <c r="D7" s="113">
        <f>AVERAGEIFS(Athena!T3:T119, Athena!B3:B119,"*_NT.c")</f>
        <v>0.63095178571428578</v>
      </c>
      <c r="E7" s="16">
        <f>AVERAGEIFS(Athena!T3:T119, Athena!B3:B119,"*_T.c")</f>
        <v>0.59152950819672134</v>
      </c>
      <c r="F7" s="118">
        <f>AVERAGEIFS(PROTON!T3:T119, PROTON!B3:B119,"*_NT.c")</f>
        <v>0.62648749999999997</v>
      </c>
      <c r="G7" s="117">
        <f>AVERAGEIFS(PROTON!T3:T119, PROTON!B3:B119,"*_T.c")</f>
        <v>0.8838803278688524</v>
      </c>
      <c r="H7" s="118">
        <f>AVERAGEIFS(UAutomizer!T3:T119, UAutomizer!B3:B119,"*_NT.c")</f>
        <v>0.39136785714285721</v>
      </c>
      <c r="I7" s="117">
        <f>AVERAGEIFS(UAutomizer!T3:T119, UAutomizer!B3:B119,"*_T.c")</f>
        <v>0.46038196721311475</v>
      </c>
      <c r="J7" s="118">
        <f>AVERAGEIFS(AProVE!T3:T119, AProVE!B3:B119,"*_NT.c")</f>
        <v>0.28422500000000001</v>
      </c>
      <c r="K7" s="117">
        <f>AVERAGEIFS(AProVE!T3:T119, AProVE!B3:B119,"*_T.c")</f>
        <v>0.40300491803278693</v>
      </c>
      <c r="L7" s="118">
        <f>AVERAGEIFS(CPAchecker!T3:T119, CPAchecker!B3:B119,"*_NT.c")</f>
        <v>0.38690535714285712</v>
      </c>
      <c r="M7" s="117">
        <f>AVERAGEIFS(CPAchecker!T3:T119, CPAchecker!B3:B119,"*_T.c")</f>
        <v>0.15847049180327868</v>
      </c>
      <c r="N7" s="118">
        <f>AVERAGEIFS('2LS'!T3:T119, '2LS'!B3:B119,"*_NT.c")</f>
        <v>6.6964285714285712E-2</v>
      </c>
      <c r="O7" s="117">
        <f>AVERAGEIFS('2LS'!T3:T119, '2LS'!B3:B119,"*_T.c")</f>
        <v>0.51229508196721307</v>
      </c>
      <c r="Q7" s="12" t="s">
        <v>3984</v>
      </c>
    </row>
    <row r="8" spans="2:17" x14ac:dyDescent="0.25">
      <c r="B8" s="229"/>
      <c r="C8" s="14" t="s">
        <v>152</v>
      </c>
      <c r="D8" s="113">
        <f>AVERAGEIFS(Athena!AE3:AE119, Athena!B3:B119,"*_NT.c")</f>
        <v>0.59642857142857153</v>
      </c>
      <c r="E8" s="16">
        <f>AVERAGEIFS(Athena!AE3:AE119, Athena!B3:B119,"*_T.c")</f>
        <v>0.6934426229508196</v>
      </c>
      <c r="F8" s="118">
        <f>AVERAGEIFS(PROTON!AE3:AE119, PROTON!B3:B119,"*_NT.c")</f>
        <v>0.64107142857142851</v>
      </c>
      <c r="G8" s="117">
        <f>AVERAGEIFS(PROTON!AE3:AE119, PROTON!B3:B119,"*_T.c")</f>
        <v>0.90819672131147522</v>
      </c>
      <c r="H8" s="118">
        <f>AVERAGEIFS(UAutomizer!AE3:AE119, UAutomizer!B3:B119,"*_NT.c")</f>
        <v>0.48928571428571427</v>
      </c>
      <c r="I8" s="117">
        <f>AVERAGEIFS(UAutomizer!AE3:AE119, UAutomizer!B3:B119,"*_T.c")</f>
        <v>0.57540983606557372</v>
      </c>
      <c r="J8" s="118">
        <f>AVERAGEIFS(AProVE!AE3:AE119, AProVE!B3:B119,"*_NT.c")</f>
        <v>0.41964285714285704</v>
      </c>
      <c r="K8" s="117">
        <f>AVERAGEIFS(AProVE!AE3:AE119, AProVE!B3:B119,"*_T.c")</f>
        <v>0.53442622950819663</v>
      </c>
      <c r="L8" s="118">
        <f>AVERAGEIFS(CPAchecker!AE3:AE119, CPAchecker!B3:B119,"*_NT.c")</f>
        <v>0.41785714285714276</v>
      </c>
      <c r="M8" s="117">
        <f>AVERAGEIFS(CPAchecker!AE3:AE119, CPAchecker!B3:B119,"*_T.c")</f>
        <v>0.4639344262295082</v>
      </c>
      <c r="N8" s="118">
        <f>AVERAGEIFS('2LS'!AE3:AE119, '2LS'!B3:B119,"*_NT.c")</f>
        <v>0.39642857142857146</v>
      </c>
      <c r="O8" s="117">
        <f>AVERAGEIFS('2LS'!AE3:AE119, '2LS'!B3:B119,"*_T.c")</f>
        <v>0.57377049180327866</v>
      </c>
      <c r="Q8" s="12" t="s">
        <v>3985</v>
      </c>
    </row>
    <row r="9" spans="2:17" x14ac:dyDescent="0.25">
      <c r="B9" s="230"/>
      <c r="C9" s="58" t="s">
        <v>153</v>
      </c>
      <c r="D9" s="114">
        <f>AVERAGEIFS(Athena!AP3:AP119, Athena!B3:B119,"*_NT.c")</f>
        <v>0.57321428571428579</v>
      </c>
      <c r="E9" s="115">
        <f>AVERAGEIFS(Athena!AP3:AP119, Athena!B3:B119,"*_T.c")</f>
        <v>0.66038196721311471</v>
      </c>
      <c r="F9" s="119">
        <f>AVERAGEIFS(PROTON!AP3:AP119, PROTON!B3:B119,"*_NT.c")</f>
        <v>0.67380892857142849</v>
      </c>
      <c r="G9" s="120">
        <f>AVERAGEIFS(PROTON!AP3:AP119, PROTON!B3:B119,"*_T.c")</f>
        <v>0.90765081967213102</v>
      </c>
      <c r="H9" s="119">
        <f>AVERAGEIFS(UAutomizer!AP3:AP119, UAutomizer!B3:B119,"*_NT.c")</f>
        <v>0.43095178571428561</v>
      </c>
      <c r="I9" s="120">
        <f>AVERAGEIFS(UAutomizer!AP3:AP119, UAutomizer!B3:B119,"*_T.c")</f>
        <v>0.53251311475409835</v>
      </c>
      <c r="J9" s="119">
        <f>AVERAGEIFS(AProVE!AP3:AP119, AProVE!B3:B119,"*_NT.c")</f>
        <v>0.45595178571428557</v>
      </c>
      <c r="K9" s="120">
        <f>AVERAGEIFS(AProVE!AP3:AP119, AProVE!B3:B119,"*_T.c")</f>
        <v>0.50874426229508196</v>
      </c>
      <c r="L9" s="119">
        <f>AVERAGEIFS(CPAchecker!AP3:AP119, CPAchecker!B3:B119,"*_NT.c")</f>
        <v>0.42529821428571424</v>
      </c>
      <c r="M9" s="120">
        <f>AVERAGEIFS(CPAchecker!AP3:AP119, CPAchecker!B3:B119,"*_T.c")</f>
        <v>0.45519180327868847</v>
      </c>
      <c r="N9" s="119">
        <f>AVERAGEIFS('2LS'!AP3:AP119, '2LS'!B3:B119,"*_NT.c")</f>
        <v>0.42767857142857152</v>
      </c>
      <c r="O9" s="120">
        <f>AVERAGEIFS('2LS'!AP3:AP119, '2LS'!B3:B119,"*_T.c")</f>
        <v>0.61366229508196735</v>
      </c>
      <c r="Q9" s="12" t="s">
        <v>3986</v>
      </c>
    </row>
    <row r="10" spans="2:17" x14ac:dyDescent="0.25">
      <c r="B10" s="228" t="s">
        <v>3992</v>
      </c>
      <c r="C10" s="14" t="s">
        <v>114</v>
      </c>
      <c r="D10" s="27">
        <f>AVERAGEIFS(Athena!K3:K119, Athena!B3:B119,"*_NT.c") / 1000</f>
        <v>14.26955357142857</v>
      </c>
      <c r="E10" s="18">
        <f>AVERAGEIFS(Athena!K3:K119, Athena!B3:B119,"*_T.c") / 1000</f>
        <v>8.1091967213114753</v>
      </c>
      <c r="F10" s="121">
        <f>AVERAGEIFS(PROTON!K3:K119, PROTON!B3:B119,"*_NT.c") / 1000</f>
        <v>3.3698392857142858</v>
      </c>
      <c r="G10" s="122">
        <f>AVERAGEIFS(PROTON!K3:K119, PROTON!B3:B119,"*_T.c") / 1000</f>
        <v>76.708114754098361</v>
      </c>
      <c r="H10" s="121">
        <f>AVERAGEIFS(UAutomizer!K3:K119, UAutomizer!B3:B119,"*_NT.c") / 1000</f>
        <v>4.6843214285714287</v>
      </c>
      <c r="I10" s="122">
        <f>AVERAGEIFS(UAutomizer!K3:K119, UAutomizer!B3:B119,"*_T.c") / 1000</f>
        <v>3.9025737704918031</v>
      </c>
      <c r="J10" s="121">
        <f>AVERAGEIFS(AProVE!K3:K119, AProVE!B3:B119,"*_NT.c") / 1000</f>
        <v>2.1054285714285714</v>
      </c>
      <c r="K10" s="122">
        <f>AVERAGEIFS(AProVE!K3:K119, AProVE!B3:B119,"*_T.c") / 1000</f>
        <v>3.6800819672131149</v>
      </c>
      <c r="L10" s="121">
        <f>AVERAGEIFS(CPAchecker!K3:K119, CPAchecker!B3:B119,"*_NT.c") / 1000</f>
        <v>2.13775</v>
      </c>
      <c r="M10" s="122">
        <f>AVERAGEIFS(CPAchecker!K3:K119, CPAchecker!B3:B119,"*_T.c") / 1000</f>
        <v>18.711475409836066</v>
      </c>
      <c r="N10" s="121">
        <f>AVERAGEIFS('2LS'!K3:K119, '2LS'!B3:B119,"*_NT.c") / 1000</f>
        <v>6.4999999999999997E-3</v>
      </c>
      <c r="O10" s="122">
        <f>AVERAGEIFS('2LS'!K3:K119, '2LS'!B3:B119,"*_T.c") / 1000</f>
        <v>0.20103278688524592</v>
      </c>
    </row>
    <row r="11" spans="2:17" x14ac:dyDescent="0.25">
      <c r="B11" s="229"/>
      <c r="C11" s="14" t="s">
        <v>115</v>
      </c>
      <c r="D11" s="27">
        <f>AVERAGEIFS(Athena!V3:V119, Athena!B3:B119,"*_NT.c") / 1000</f>
        <v>14.19255357142857</v>
      </c>
      <c r="E11" s="18">
        <f>AVERAGEIFS(Athena!V3:V119, Athena!B3:B119,"*_T.c") / 1000</f>
        <v>8.5562786885245892</v>
      </c>
      <c r="F11" s="121">
        <f>AVERAGEIFS(PROTON!V3:V119, PROTON!B3:B119,"*_NT.c") / 1000</f>
        <v>12.070071428571429</v>
      </c>
      <c r="G11" s="122">
        <f>AVERAGEIFS(PROTON!V3:V119, PROTON!B3:B119,"*_T.c") / 1000</f>
        <v>119.88896721311475</v>
      </c>
      <c r="H11" s="121">
        <f>AVERAGEIFS(UAutomizer!V3:V119, UAutomizer!B3:B119,"*_NT.c") / 1000</f>
        <v>7.3451071428571435</v>
      </c>
      <c r="I11" s="122">
        <f>AVERAGEIFS(UAutomizer!V3:V119, UAutomizer!B3:B119,"*_T.c") / 1000</f>
        <v>7.0680655737704923</v>
      </c>
      <c r="J11" s="121">
        <f>AVERAGEIFS(AProVE!V3:V119, AProVE!B3:B119,"*_NT.c") / 1000</f>
        <v>3.3318214285714283</v>
      </c>
      <c r="K11" s="122">
        <f>AVERAGEIFS(AProVE!V3:V119, AProVE!B3:B119,"*_T.c") / 1000</f>
        <v>5.6146557377049184</v>
      </c>
      <c r="L11" s="121">
        <f>AVERAGEIFS(CPAchecker!V3:V119, CPAchecker!B3:B119,"*_NT.c") / 1000</f>
        <v>2.9153035714285718</v>
      </c>
      <c r="M11" s="122">
        <f>AVERAGEIFS(CPAchecker!V3:V119, CPAchecker!B3:B119,"*_T.c") / 1000</f>
        <v>1.8251803278688523</v>
      </c>
      <c r="N11" s="121">
        <f>AVERAGEIFS('2LS'!V3:V119, '2LS'!B3:B119,"*_NT.c") / 1000</f>
        <v>6.0553571428571429E-2</v>
      </c>
      <c r="O11" s="122">
        <f>AVERAGEIFS('2LS'!V3:V119, '2LS'!B3:B119,"*_T.c") / 1000</f>
        <v>0.34144262295081967</v>
      </c>
    </row>
    <row r="12" spans="2:17" x14ac:dyDescent="0.25">
      <c r="B12" s="229"/>
      <c r="C12" s="14" t="s">
        <v>152</v>
      </c>
      <c r="D12" s="27">
        <f>AVERAGEIFS(Athena!AG3:AG119, Athena!B3:B119,"*_NT.c") / 1000</f>
        <v>29.325107142857142</v>
      </c>
      <c r="E12" s="18">
        <f>AVERAGEIFS(Athena!AG3:AG119, Athena!B3:B119,"*_T.c") / 1000</f>
        <v>32.54</v>
      </c>
      <c r="F12" s="121">
        <f>AVERAGEIFS(PROTON!AG3:AG119, PROTON!B3:B119,"*_NT.c") / 1000</f>
        <v>63.138982142857145</v>
      </c>
      <c r="G12" s="122">
        <f>AVERAGEIFS(PROTON!AG3:AG119, PROTON!B3:B119,"*_T.c") / 1000</f>
        <v>90.718213114754093</v>
      </c>
      <c r="H12" s="121">
        <f>AVERAGEIFS(UAutomizer!AG3:AG119, UAutomizer!B3:B119,"*_NT.c") / 1000</f>
        <v>23.44164285714286</v>
      </c>
      <c r="I12" s="122">
        <f>AVERAGEIFS(UAutomizer!AG3:AG119, UAutomizer!B3:B119,"*_T.c") / 1000</f>
        <v>50.423032786885244</v>
      </c>
      <c r="J12" s="121">
        <f>AVERAGEIFS(AProVE!AG3:AG119, AProVE!B3:B119,"*_NT.c") / 1000</f>
        <v>20.584892857142858</v>
      </c>
      <c r="K12" s="122">
        <f>AVERAGEIFS(AProVE!AG3:AG119, AProVE!B3:B119,"*_T.c") / 1000</f>
        <v>27.879901639344261</v>
      </c>
      <c r="L12" s="121">
        <f>AVERAGEIFS(CPAchecker!AG3:AG119, CPAchecker!B3:B119,"*_NT.c") / 1000</f>
        <v>41.967374999999997</v>
      </c>
      <c r="M12" s="122">
        <f>AVERAGEIFS(CPAchecker!AG3:AG119, CPAchecker!B3:B119,"*_T.c") / 1000</f>
        <v>98.397049180327869</v>
      </c>
      <c r="N12" s="121">
        <f>AVERAGEIFS('2LS'!AG3:AG119, '2LS'!B3:B119,"*_NT.c") / 1000</f>
        <v>1.4746785714285713</v>
      </c>
      <c r="O12" s="122">
        <f>AVERAGEIFS('2LS'!AG3:AG119, '2LS'!B3:B119,"*_T.c") / 1000</f>
        <v>2.3470163934426229</v>
      </c>
    </row>
    <row r="13" spans="2:17" x14ac:dyDescent="0.25">
      <c r="B13" s="230"/>
      <c r="C13" s="14" t="s">
        <v>153</v>
      </c>
      <c r="D13" s="59">
        <f>AVERAGEIFS(Athena!AR3:AR119, Athena!B3:B119,"*_NT.c") / 1000</f>
        <v>35.494875</v>
      </c>
      <c r="E13" s="60">
        <f>AVERAGEIFS(Athena!AR3:AR119, Athena!B3:B119,"*_T.c") / 1000</f>
        <v>57.224885245901639</v>
      </c>
      <c r="F13" s="123">
        <f>AVERAGEIFS(PROTON!AR3:AR119, PROTON!B3:B119,"*_NT.c") / 1000</f>
        <v>80.760499999999993</v>
      </c>
      <c r="G13" s="124">
        <f>AVERAGEIFS(PROTON!AR3:AR119, PROTON!B3:B119,"*_T.c") / 1000</f>
        <v>129.53478688524589</v>
      </c>
      <c r="H13" s="123">
        <f>AVERAGEIFS(UAutomizer!AR3:AR119, UAutomizer!B3:B119,"*_NT.c") / 1000</f>
        <v>30.902767857142859</v>
      </c>
      <c r="I13" s="124">
        <f>AVERAGEIFS(UAutomizer!AR3:AR119, UAutomizer!B3:B119,"*_T.c") / 1000</f>
        <v>64.948770491803273</v>
      </c>
      <c r="J13" s="123">
        <f>AVERAGEIFS(AProVE!AR3:AR119, AProVE!B3:B119,"*_NT.c") / 1000</f>
        <v>32.440589285714289</v>
      </c>
      <c r="K13" s="124">
        <f>AVERAGEIFS(AProVE!AR3:AR119, AProVE!B3:B119,"*_T.c") / 1000</f>
        <v>35.543754098360651</v>
      </c>
      <c r="L13" s="123">
        <f>AVERAGEIFS(CPAchecker!AR3:AR119, CPAchecker!B3:B119,"*_NT.c") / 1000</f>
        <v>43.317410714285714</v>
      </c>
      <c r="M13" s="124">
        <f>AVERAGEIFS(CPAchecker!AR3:AR119, CPAchecker!B3:B119,"*_T.c") / 1000</f>
        <v>76.954245901639339</v>
      </c>
      <c r="N13" s="123">
        <f>AVERAGEIFS('2LS'!AR3:AR119, '2LS'!B3:B119,"*_NT.c") / 1000</f>
        <v>2.0876785714285715</v>
      </c>
      <c r="O13" s="124">
        <f>AVERAGEIFS('2LS'!AR3:AR119, '2LS'!B3:B119,"*_T.c") / 1000</f>
        <v>3.6659999999999999</v>
      </c>
    </row>
    <row r="14" spans="2:17" x14ac:dyDescent="0.25">
      <c r="B14" s="228" t="s">
        <v>3993</v>
      </c>
      <c r="C14" s="50" t="s">
        <v>114</v>
      </c>
      <c r="D14" s="27">
        <f>AVERAGEIFS(Athena!L3:L119, Athena!B3:B119,"*_NT.c") / 1000</f>
        <v>14.26955357142857</v>
      </c>
      <c r="E14" s="18">
        <f>AVERAGEIFS(Athena!L3:L119, Athena!B3:B119,"*_T.c") / 1000</f>
        <v>8.1091967213114753</v>
      </c>
      <c r="F14" s="121">
        <f>AVERAGEIFS(PROTON!L3:L119, PROTON!B3:B119,"*_NT.c") / 1000</f>
        <v>3.3698392857142858</v>
      </c>
      <c r="G14" s="122">
        <f>AVERAGEIFS(PROTON!L3:L119, PROTON!B3:B119,"*_T.c") / 1000</f>
        <v>76.708114754098361</v>
      </c>
      <c r="H14" s="121">
        <f>AVERAGEIFS(UAutomizer!L3:L119, UAutomizer!B3:B119,"*_NT.c") / 1000</f>
        <v>4.6843214285714287</v>
      </c>
      <c r="I14" s="122">
        <f>AVERAGEIFS(UAutomizer!L3:L119, UAutomizer!B3:B119,"*_T.c") / 1000</f>
        <v>3.9025737704918031</v>
      </c>
      <c r="J14" s="121">
        <f>AVERAGEIFS(AProVE!L3:L119, AProVE!B3:B119,"*_NT.c") / 1000</f>
        <v>2.1054285714285714</v>
      </c>
      <c r="K14" s="122">
        <f>AVERAGEIFS(AProVE!L3:L119, AProVE!B3:B119,"*_T.c") / 1000</f>
        <v>3.6800819672131149</v>
      </c>
      <c r="L14" s="121">
        <f>AVERAGEIFS(CPAchecker!L3:L119, CPAchecker!B3:B119,"*_NT.c") / 1000</f>
        <v>2.13775</v>
      </c>
      <c r="M14" s="122">
        <f>AVERAGEIFS(CPAchecker!L3:L119, CPAchecker!B3:B119,"*_T.c") / 1000</f>
        <v>18.711475409836066</v>
      </c>
      <c r="N14" s="121">
        <f>AVERAGEIFS('2LS'!L3:L119, '2LS'!B3:B119,"*_NT.c") / 1000</f>
        <v>6.4999999999999997E-3</v>
      </c>
      <c r="O14" s="122">
        <f>AVERAGEIFS('2LS'!L3:L119, '2LS'!B3:B119,"*_T.c") / 1000</f>
        <v>0.20103278688524592</v>
      </c>
    </row>
    <row r="15" spans="2:17" x14ac:dyDescent="0.25">
      <c r="B15" s="229"/>
      <c r="C15" s="14" t="s">
        <v>115</v>
      </c>
      <c r="D15" s="27">
        <f>AVERAGEIFS(Athena!W3:W119, Athena!B3:B119,"*_NT.c") / 1000</f>
        <v>10.878690535714286</v>
      </c>
      <c r="E15" s="18">
        <f>AVERAGEIFS(Athena!W3:W119, Athena!B3:B119,"*_T.c") / 1000</f>
        <v>5.216240491803279</v>
      </c>
      <c r="F15" s="121">
        <f>AVERAGEIFS(PROTON!W3:W119, PROTON!B3:B119,"*_NT.c") / 1000</f>
        <v>6.7951458928571427</v>
      </c>
      <c r="G15" s="122">
        <f>AVERAGEIFS(PROTON!W3:W119, PROTON!B3:B119,"*_T.c") / 1000</f>
        <v>73.036453606557373</v>
      </c>
      <c r="H15" s="121">
        <f>AVERAGEIFS(UAutomizer!W3:W119, UAutomizer!B3:B119,"*_NT.c") / 1000</f>
        <v>4.105232142857143</v>
      </c>
      <c r="I15" s="122">
        <f>AVERAGEIFS(UAutomizer!W3:W119, UAutomizer!B3:B119,"*_T.c") / 1000</f>
        <v>3.3765191803278687</v>
      </c>
      <c r="J15" s="121">
        <f>AVERAGEIFS(AProVE!W3:W119, AProVE!B3:B119,"*_NT.c") / 1000</f>
        <v>2.7124732142857142</v>
      </c>
      <c r="K15" s="122">
        <f>AVERAGEIFS(AProVE!W3:W119, AProVE!B3:B119,"*_T.c") / 1000</f>
        <v>3.6899508196721311</v>
      </c>
      <c r="L15" s="121">
        <f>AVERAGEIFS(CPAchecker!W3:W119, CPAchecker!B3:B119,"*_NT.c") / 1000</f>
        <v>2.2789642857142858</v>
      </c>
      <c r="M15" s="122">
        <f>AVERAGEIFS(CPAchecker!W3:W119, CPAchecker!B3:B119,"*_T.c") / 1000</f>
        <v>1.3067868852459017</v>
      </c>
      <c r="N15" s="121">
        <f>AVERAGEIFS('2LS'!W3:W119, '2LS'!B3:B119,"*_NT.c") / 1000</f>
        <v>4.2994107142857146E-2</v>
      </c>
      <c r="O15" s="122">
        <f>AVERAGEIFS('2LS'!W3:W119, '2LS'!B3:B119,"*_T.c") / 1000</f>
        <v>0.22110655737704918</v>
      </c>
    </row>
    <row r="16" spans="2:17" x14ac:dyDescent="0.25">
      <c r="B16" s="229"/>
      <c r="C16" s="14" t="s">
        <v>152</v>
      </c>
      <c r="D16" s="27">
        <f>AVERAGEIFS(Athena!AH3:AH119, Athena!B3:B119,"*_NT.c") / 1000</f>
        <v>3.5682510714285716</v>
      </c>
      <c r="E16" s="18">
        <f>AVERAGEIFS(Athena!AH3:AH119, Athena!B3:B119,"*_T.c") / 1000</f>
        <v>4.2461165573770492</v>
      </c>
      <c r="F16" s="121">
        <f>AVERAGEIFS(PROTON!AH3:AH119, PROTON!B3:B119,"*_NT.c") / 1000</f>
        <v>8.8796882142857125</v>
      </c>
      <c r="G16" s="122">
        <f>AVERAGEIFS(PROTON!AH3:AH119, PROTON!B3:B119,"*_T.c") / 1000</f>
        <v>10.916843114754096</v>
      </c>
      <c r="H16" s="121">
        <f>AVERAGEIFS(UAutomizer!AH3:AH119, UAutomizer!B3:B119,"*_NT.c") / 1000</f>
        <v>4.1721835714285715</v>
      </c>
      <c r="I16" s="122">
        <f>AVERAGEIFS(UAutomizer!AH3:AH119, UAutomizer!B3:B119,"*_T.c") / 1000</f>
        <v>9.8584298360655715</v>
      </c>
      <c r="J16" s="121">
        <f>AVERAGEIFS(AProVE!AH3:AH119, AProVE!B3:B119,"*_NT.c") / 1000</f>
        <v>4.2565464285714283</v>
      </c>
      <c r="K16" s="122">
        <f>AVERAGEIFS(AProVE!AH3:AH119, AProVE!B3:B119,"*_T.c") / 1000</f>
        <v>4.287000983606557</v>
      </c>
      <c r="L16" s="121">
        <f>AVERAGEIFS(CPAchecker!AH3:AH119, CPAchecker!B3:B119,"*_NT.c") / 1000</f>
        <v>5.0654171428571422</v>
      </c>
      <c r="M16" s="122">
        <f>AVERAGEIFS(CPAchecker!AH3:AH119, CPAchecker!B3:B119,"*_T.c") / 1000</f>
        <v>26.340929344262303</v>
      </c>
      <c r="N16" s="121">
        <f>AVERAGEIFS('2LS'!AH3:AH119, '2LS'!B3:B119,"*_NT.c") / 1000</f>
        <v>0.23507750000000005</v>
      </c>
      <c r="O16" s="122">
        <f>AVERAGEIFS('2LS'!AH3:AH119, '2LS'!B3:B119,"*_T.c") / 1000</f>
        <v>0.28619508196721311</v>
      </c>
    </row>
    <row r="17" spans="2:15" x14ac:dyDescent="0.25">
      <c r="B17" s="230"/>
      <c r="C17" s="58" t="s">
        <v>153</v>
      </c>
      <c r="D17" s="59">
        <f>AVERAGEIFS(Athena!AS3:AS119, Athena!B3:B119,"*_NT.c") / 1000</f>
        <v>3.5415466071428563</v>
      </c>
      <c r="E17" s="60">
        <f>AVERAGEIFS(Athena!AS3:AS119, Athena!B3:B119,"*_T.c") / 1000</f>
        <v>4.7406029508196728</v>
      </c>
      <c r="F17" s="123">
        <f>AVERAGEIFS(PROTON!AS3:AS119, PROTON!B3:B119,"*_NT.c") / 1000</f>
        <v>6.5237235714285715</v>
      </c>
      <c r="G17" s="124">
        <f>AVERAGEIFS(PROTON!AS3:AS119, PROTON!B3:B119,"*_T.c") / 1000</f>
        <v>9.4361803278688523</v>
      </c>
      <c r="H17" s="123">
        <f>AVERAGEIFS(UAutomizer!AS3:AS119, UAutomizer!B3:B119,"*_NT.c") / 1000</f>
        <v>3.1854819642857146</v>
      </c>
      <c r="I17" s="124">
        <f>AVERAGEIFS(UAutomizer!AS3:AS119, UAutomizer!B3:B119,"*_T.c") / 1000</f>
        <v>7.801012622950819</v>
      </c>
      <c r="J17" s="123">
        <f>AVERAGEIFS(AProVE!AS3:AS119, AProVE!B3:B119,"*_NT.c") / 1000</f>
        <v>3.4474117857142859</v>
      </c>
      <c r="K17" s="124">
        <f>AVERAGEIFS(AProVE!AS3:AS119, AProVE!B3:B119,"*_T.c") / 1000</f>
        <v>2.8242572131147545</v>
      </c>
      <c r="L17" s="123">
        <f>AVERAGEIFS(CPAchecker!AS3:AS119, CPAchecker!B3:B119,"*_NT.c") / 1000</f>
        <v>4.7468296428571417</v>
      </c>
      <c r="M17" s="124">
        <f>AVERAGEIFS(CPAchecker!AS3:AS119, CPAchecker!B3:B119,"*_T.c") / 1000</f>
        <v>7.7453737704918026</v>
      </c>
      <c r="N17" s="123">
        <f>AVERAGEIFS('2LS'!AS3:AS119, '2LS'!B3:B119,"*_NT.c") / 1000</f>
        <v>0.27356946428571421</v>
      </c>
      <c r="O17" s="124">
        <f>AVERAGEIFS('2LS'!AS3:AS119, '2LS'!B3:B119,"*_T.c") / 1000</f>
        <v>0.30595999999999995</v>
      </c>
    </row>
    <row r="18" spans="2:15" x14ac:dyDescent="0.25">
      <c r="B18" s="228" t="s">
        <v>3994</v>
      </c>
      <c r="C18" s="14" t="s">
        <v>114</v>
      </c>
      <c r="D18" s="27" cm="1">
        <f t="array" ref="D18">MEDIAN(
  IF(
    RIGHT(Athena!B3:B119,5)="_NT.c",
    Athena!M3:M119
  )
) / 1000</f>
        <v>1.9695</v>
      </c>
      <c r="E18" s="48" cm="1">
        <f t="array" ref="E18">MEDIAN(
  IF(
    RIGHT(Athena!B3:B119,4)="_T.c",
    Athena!M3:M119
  )
) / 1000</f>
        <v>1.8660000000000001</v>
      </c>
      <c r="F18" s="121" cm="1">
        <f t="array" ref="F18">MEDIAN(
  IF(
    RIGHT(PROTON!B3:B119,5)="_NT.c",
    PROTON!M3:M119
  )
) / 1000</f>
        <v>2.0339999999999998</v>
      </c>
      <c r="G18" s="125" cm="1">
        <f t="array" ref="G18">MEDIAN(
  IF(
    RIGHT(PROTON!B3:B119,4)="_T.c",
    PROTON!M3:M119
  )
) / 1000</f>
        <v>43.704000000000001</v>
      </c>
      <c r="H18" s="121" cm="1">
        <f t="array" ref="H18">MEDIAN(
  IF(
    RIGHT(UAutomizer!B3:B119,5)="_NT.c",
    UAutomizer!M3:M119
  )
) / 1000</f>
        <v>0</v>
      </c>
      <c r="I18" s="125" cm="1">
        <f t="array" ref="I18">MEDIAN(
  IF(
    RIGHT(UAutomizer!B3:B119,4)="_T.c",
    UAutomizer!M3:M119
  )
) / 1000</f>
        <v>0</v>
      </c>
      <c r="J18" s="121" cm="1">
        <f t="array" ref="J18">MEDIAN(
  IF(
    RIGHT(AProVE!B3:B119,5)="_NT.c",
    AProVE!M3:M119
  )
) / 1000</f>
        <v>0</v>
      </c>
      <c r="K18" s="125" cm="1">
        <f t="array" ref="K18">MEDIAN(
  IF(
    RIGHT(AProVE!B3:B119,4)="_T.c",
    AProVE!M3:M119
  )
) / 1000</f>
        <v>0</v>
      </c>
      <c r="L18" s="121" cm="1">
        <f t="array" ref="L18">MEDIAN(
  IF(
    RIGHT(CPAchecker!B3:B119,5)="_NT.c",
    CPAchecker!M3:M119
  )
) / 1000</f>
        <v>0</v>
      </c>
      <c r="M18" s="125" cm="1">
        <f t="array" ref="M18">MEDIAN(
  IF(
    RIGHT(CPAchecker!B3:B119,4)="_T.c",
    CPAchecker!M3:M119
  )
) / 1000</f>
        <v>0</v>
      </c>
      <c r="N18" s="121" cm="1">
        <f t="array" ref="N18">MEDIAN(
  IF(
    RIGHT('2LS'!B3:B119,5)="_NT.c",
    '2LS'!M3:M119
  )
) / 1000</f>
        <v>0</v>
      </c>
      <c r="O18" s="122" cm="1">
        <f t="array" ref="O18">MEDIAN(
  IF(
    RIGHT('2LS'!B3:B119,4)="_T.c",
    '2LS'!M3:M119
  )
) / 1000</f>
        <v>0</v>
      </c>
    </row>
    <row r="19" spans="2:15" x14ac:dyDescent="0.25">
      <c r="B19" s="229"/>
      <c r="C19" s="14" t="s">
        <v>115</v>
      </c>
      <c r="D19" s="27" cm="1">
        <f t="array" ref="D19">MEDIAN(
  IF(
    RIGHT(Athena!B3:B119,5)="_NT.c",
    Athena!X3:X119
  )
) / 1000</f>
        <v>1.8759999999999999</v>
      </c>
      <c r="E19" s="48" cm="1">
        <f t="array" ref="E19">MEDIAN(
  IF(
    RIGHT(Athena!B3:B119,4)="_T.c",
    Athena!X3:X119
  )
) / 1000</f>
        <v>1.87</v>
      </c>
      <c r="F19" s="121" cm="1">
        <f t="array" ref="F19">MEDIAN(
  IF(
    RIGHT(PROTON!B3:B119,5)="_NT.c",
    PROTON!X3:X119
  )
) / 1000</f>
        <v>2.0815000000000001</v>
      </c>
      <c r="G19" s="125" cm="1">
        <f t="array" ref="G19">MEDIAN(
  IF(
    RIGHT(PROTON!B3:B119,4)="_T.c",
    PROTON!X3:X119
  )
) / 1000</f>
        <v>47.238999999999997</v>
      </c>
      <c r="H19" s="121" cm="1">
        <f t="array" ref="H19">MEDIAN(
  IF(
    RIGHT(UAutomizer!B3:B119,5)="_NT.c",
    UAutomizer!X3:X119
  )
) / 1000</f>
        <v>0</v>
      </c>
      <c r="I19" s="125" cm="1">
        <f t="array" ref="I19">MEDIAN(
  IF(
    RIGHT(UAutomizer!B3:B119,4)="_T.c",
    UAutomizer!X3:X119
  )
) / 1000</f>
        <v>2.4079999999999999</v>
      </c>
      <c r="J19" s="121" cm="1">
        <f t="array" ref="J19">MEDIAN(
  IF(
    RIGHT(AProVE!B3:B119,5)="_NT.c",
    AProVE!X3:X119
  )
) / 1000</f>
        <v>0</v>
      </c>
      <c r="K19" s="125" cm="1">
        <f t="array" ref="K19">MEDIAN(
  IF(
    RIGHT(AProVE!B3:B119,4)="_T.c",
    AProVE!X3:X119
  )
) / 1000</f>
        <v>0</v>
      </c>
      <c r="L19" s="121" cm="1">
        <f t="array" ref="L19">MEDIAN(
  IF(
    RIGHT(CPAchecker!B3:B119,5)="_NT.c",
    CPAchecker!X3:X119
  )
) / 1000</f>
        <v>0</v>
      </c>
      <c r="M19" s="125" cm="1">
        <f t="array" ref="M19">MEDIAN(
  IF(
    RIGHT(CPAchecker!B3:B119,4)="_T.c",
    CPAchecker!X3:X119
  )
) / 1000</f>
        <v>0</v>
      </c>
      <c r="N19" s="121" cm="1">
        <f t="array" ref="N19">MEDIAN(
  IF(
    RIGHT('2LS'!B3:B119,5)="_NT.c",
    '2LS'!X3:X119
  )
) / 1000</f>
        <v>0</v>
      </c>
      <c r="O19" s="122" cm="1">
        <f t="array" ref="O19">MEDIAN(
  IF(
    RIGHT('2LS'!B3:B119,4)="_T.c",
    '2LS'!X3:X119
  )
) / 1000</f>
        <v>0.28899999999999998</v>
      </c>
    </row>
    <row r="20" spans="2:15" x14ac:dyDescent="0.25">
      <c r="B20" s="229"/>
      <c r="C20" s="14" t="s">
        <v>152</v>
      </c>
      <c r="D20" s="27" cm="1">
        <f t="array" ref="D20">MEDIAN(
  IF(
    RIGHT(Athena!B3:B119,5)="_NT.c",
    Athena!AI3:AI119
  )
) / 1000</f>
        <v>1.7202500000000001</v>
      </c>
      <c r="E20" s="48" cm="1">
        <f t="array" ref="E20">MEDIAN(
  IF(
    RIGHT(Athena!B3:B119,4)="_T.c",
    Athena!AI3:AI119
  )
) / 1000</f>
        <v>1.7330000000000001</v>
      </c>
      <c r="F20" s="121" cm="1">
        <f t="array" ref="F20">MEDIAN(
  IF(
    RIGHT(PROTON!B3:B119,5)="_NT.c",
    PROTON!AI3:AI119
  )
) / 1000</f>
        <v>6.0662500000000001</v>
      </c>
      <c r="G20" s="125" cm="1">
        <f t="array" ref="G20">MEDIAN(
  IF(
    RIGHT(PROTON!B3:B119,4)="_T.c",
    PROTON!AI3:AI119
  )
) / 1000</f>
        <v>7.4275000000000002</v>
      </c>
      <c r="H20" s="121" cm="1">
        <f t="array" ref="H20">MEDIAN(
  IF(
    RIGHT(UAutomizer!B3:B119,5)="_NT.c",
    UAutomizer!AI3:AI119
  )
) / 1000</f>
        <v>3.0034999999999998</v>
      </c>
      <c r="I20" s="125" cm="1">
        <f t="array" ref="I20">MEDIAN(
  IF(
    RIGHT(UAutomizer!B3:B119,4)="_T.c",
    UAutomizer!AI3:AI119
  )
) / 1000</f>
        <v>2.7565</v>
      </c>
      <c r="J20" s="121" cm="1">
        <f t="array" ref="J20">MEDIAN(
  IF(
    RIGHT(AProVE!B3:B119,5)="_NT.c",
    AProVE!AI3:AI119
  )
) / 1000</f>
        <v>3.16</v>
      </c>
      <c r="K20" s="125" cm="1">
        <f t="array" ref="K20">MEDIAN(
  IF(
    RIGHT(AProVE!B3:B119,4)="_T.c",
    AProVE!AI3:AI119
  )
) / 1000</f>
        <v>2.9359999999999999</v>
      </c>
      <c r="L20" s="121" cm="1">
        <f t="array" ref="L20">MEDIAN(
  IF(
    RIGHT(CPAchecker!B3:B119,5)="_NT.c",
    CPAchecker!AI3:AI119
  )
) / 1000</f>
        <v>4.8594999999999997</v>
      </c>
      <c r="M20" s="125" cm="1">
        <f t="array" ref="M20">MEDIAN(
  IF(
    RIGHT(CPAchecker!B3:B119,4)="_T.c",
    CPAchecker!AI3:AI119
  )
) / 1000</f>
        <v>4.8490000000000002</v>
      </c>
      <c r="N20" s="121" cm="1">
        <f t="array" ref="N20">MEDIAN(
  IF(
    RIGHT('2LS'!B3:B119,5)="_NT.c",
    '2LS'!AI3:AI119
  )
) / 1000</f>
        <v>0.36125000000000002</v>
      </c>
      <c r="O20" s="122" cm="1">
        <f t="array" ref="O20">MEDIAN(
  IF(
    RIGHT('2LS'!B3:B119,4)="_T.c",
    '2LS'!AI3:AI119
  )
) / 1000</f>
        <v>0.3705</v>
      </c>
    </row>
    <row r="21" spans="2:15" ht="21" thickBot="1" x14ac:dyDescent="0.3">
      <c r="B21" s="231"/>
      <c r="C21" s="36" t="s">
        <v>153</v>
      </c>
      <c r="D21" s="28" cm="1">
        <f t="array" ref="D21">MEDIAN(
  IF(
    RIGHT(Athena!B3:B119,5)="_NT.c",
    Athena!AT3:AT119
  )
) / 1000</f>
        <v>1.75325</v>
      </c>
      <c r="E21" s="49" cm="1">
        <f t="array" ref="E21">MEDIAN(
  IF(
    RIGHT(Athena!B3:B119,4)="_T.c",
    Athena!AT3:AT119
  )
) / 1000</f>
        <v>1.7689999999999999</v>
      </c>
      <c r="F21" s="126" cm="1">
        <f t="array" ref="F21">MEDIAN(
  IF(
    RIGHT(PROTON!B3:B119,5)="_NT.c",
    PROTON!AT3:AT119
  )
) / 1000</f>
        <v>5.5955000000000004</v>
      </c>
      <c r="G21" s="127" cm="1">
        <f t="array" ref="G21">MEDIAN(
  IF(
    RIGHT(PROTON!B3:B119,4)="_T.c",
    PROTON!AT3:AT119
  )
) / 1000</f>
        <v>7.8170000000000002</v>
      </c>
      <c r="H21" s="126" cm="1">
        <f t="array" ref="H21">MEDIAN(
  IF(
    RIGHT(UAutomizer!B3:B119,5)="_NT.c",
    UAutomizer!AT3:AT119
  )
) / 1000</f>
        <v>2.6392500000000001</v>
      </c>
      <c r="I21" s="127" cm="1">
        <f t="array" ref="I21">MEDIAN(
  IF(
    RIGHT(UAutomizer!B3:B119,4)="_T.c",
    UAutomizer!AT3:AT119
  )
) / 1000</f>
        <v>2.7269999999999999</v>
      </c>
      <c r="J21" s="126" cm="1">
        <f t="array" ref="J21">MEDIAN(
  IF(
    RIGHT(AProVE!B3:B119,5)="_NT.c",
    AProVE!AT3:AT119
  )
) / 1000</f>
        <v>3.23325</v>
      </c>
      <c r="K21" s="127" cm="1">
        <f t="array" ref="K21">MEDIAN(
  IF(
    RIGHT(AProVE!B3:B119,4)="_T.c",
    AProVE!AT3:AT119
  )
) / 1000</f>
        <v>2.8079999999999998</v>
      </c>
      <c r="L21" s="126" cm="1">
        <f t="array" ref="L21">MEDIAN(
  IF(
    RIGHT(CPAchecker!B3:B119,5)="_NT.c",
    CPAchecker!AT3:AT119
  )
) / 1000</f>
        <v>4.8585000000000003</v>
      </c>
      <c r="M21" s="127" cm="1">
        <f t="array" ref="M21">MEDIAN(
  IF(
    RIGHT(CPAchecker!B3:B119,4)="_T.c",
    CPAchecker!AT3:AT119
  )
) / 1000</f>
        <v>4.8345000000000002</v>
      </c>
      <c r="N21" s="126" cm="1">
        <f t="array" ref="N21">MEDIAN(
  IF(
    RIGHT('2LS'!B3:B119,5)="_NT.c",
    '2LS'!AT3:AT119
  )
) / 1000</f>
        <v>0.35899999999999999</v>
      </c>
      <c r="O21" s="129" cm="1">
        <f t="array" ref="O21">MEDIAN(
  IF(
    RIGHT('2LS'!B3:B119,4)="_T.c",
    '2LS'!AT3:AT119
  )
) / 1000</f>
        <v>0.36749999999999999</v>
      </c>
    </row>
    <row r="22" spans="2:15" x14ac:dyDescent="0.25">
      <c r="B22" s="24"/>
      <c r="C22" s="19"/>
      <c r="D22" s="17"/>
      <c r="E22" s="17"/>
      <c r="F22" s="128"/>
      <c r="G22" s="128"/>
      <c r="H22" s="85"/>
      <c r="J22" s="85"/>
      <c r="K22" s="85"/>
      <c r="M22" s="85"/>
      <c r="N22" s="85"/>
      <c r="O22" s="85"/>
    </row>
    <row r="23" spans="2:15" x14ac:dyDescent="0.25">
      <c r="B23" s="24"/>
      <c r="C23" s="19"/>
      <c r="D23" s="17"/>
      <c r="E23" s="17"/>
      <c r="F23" s="128"/>
      <c r="G23" s="128"/>
      <c r="J23" s="85"/>
      <c r="K23" s="85"/>
      <c r="M23" s="85"/>
      <c r="N23" s="85"/>
      <c r="O23" s="85"/>
    </row>
    <row r="24" spans="2:15" x14ac:dyDescent="0.25">
      <c r="B24" s="24"/>
      <c r="C24" s="19"/>
      <c r="D24" s="17"/>
      <c r="E24" s="17"/>
      <c r="F24" s="128"/>
      <c r="G24" s="128"/>
      <c r="J24" s="85"/>
      <c r="K24" s="85"/>
      <c r="M24" s="85"/>
      <c r="N24" s="85"/>
      <c r="O24" s="85"/>
    </row>
    <row r="25" spans="2:15" x14ac:dyDescent="0.25">
      <c r="B25" s="24"/>
      <c r="C25" s="19"/>
      <c r="D25" s="17"/>
      <c r="E25" s="17"/>
      <c r="F25" s="128"/>
      <c r="G25" s="128"/>
      <c r="M25" s="85"/>
      <c r="N25" s="85"/>
      <c r="O25" s="85"/>
    </row>
    <row r="26" spans="2:15" x14ac:dyDescent="0.25">
      <c r="B26" s="19"/>
      <c r="C26" s="19"/>
      <c r="D26" s="17"/>
      <c r="E26" s="17"/>
      <c r="F26" s="17"/>
      <c r="G26" s="17"/>
    </row>
    <row r="27" spans="2:15" x14ac:dyDescent="0.25">
      <c r="B27" s="19"/>
      <c r="C27" s="19"/>
      <c r="D27" s="17"/>
      <c r="E27" s="17"/>
      <c r="F27" s="17"/>
      <c r="G27" s="17"/>
    </row>
    <row r="28" spans="2:15" x14ac:dyDescent="0.25">
      <c r="B28" s="19"/>
      <c r="C28" s="19"/>
      <c r="D28" s="17"/>
      <c r="E28" s="17"/>
      <c r="F28" s="17"/>
      <c r="G28" s="17"/>
    </row>
    <row r="30" spans="2:15" x14ac:dyDescent="0.25">
      <c r="B30" s="20"/>
      <c r="C30" s="20"/>
      <c r="D30" s="20"/>
    </row>
    <row r="32" spans="2:15" x14ac:dyDescent="0.25">
      <c r="B32" s="24"/>
      <c r="C32" s="19"/>
      <c r="D32" s="24"/>
      <c r="E32" s="24"/>
      <c r="F32" s="24"/>
      <c r="G32" s="24"/>
    </row>
    <row r="33" spans="2:30" x14ac:dyDescent="0.25">
      <c r="B33" s="24"/>
      <c r="C33" s="19"/>
      <c r="D33" s="17"/>
      <c r="E33" s="17"/>
      <c r="F33" s="17"/>
      <c r="G33" s="17"/>
    </row>
    <row r="34" spans="2:30" x14ac:dyDescent="0.25">
      <c r="B34" s="24"/>
      <c r="C34" s="19"/>
      <c r="D34" s="17"/>
      <c r="E34" s="17"/>
      <c r="F34" s="17"/>
      <c r="G34" s="17"/>
    </row>
    <row r="35" spans="2:30" x14ac:dyDescent="0.25">
      <c r="B35" s="24"/>
      <c r="C35" s="19"/>
      <c r="D35" s="17"/>
      <c r="E35" s="17"/>
      <c r="F35" s="17"/>
      <c r="G35" s="17"/>
    </row>
    <row r="36" spans="2:30" x14ac:dyDescent="0.25">
      <c r="B36" s="24"/>
      <c r="C36" s="19"/>
      <c r="D36" s="17"/>
      <c r="E36" s="17"/>
      <c r="F36" s="17"/>
      <c r="G36" s="17"/>
    </row>
    <row r="37" spans="2:30" x14ac:dyDescent="0.25">
      <c r="B37" s="24"/>
      <c r="C37" s="19"/>
      <c r="D37" s="17"/>
      <c r="E37" s="17"/>
      <c r="F37" s="17"/>
      <c r="G37" s="17"/>
    </row>
    <row r="38" spans="2:30" x14ac:dyDescent="0.25">
      <c r="B38" s="24"/>
      <c r="C38" s="19"/>
      <c r="D38" s="17"/>
      <c r="E38" s="17"/>
      <c r="F38" s="17"/>
      <c r="G38" s="17"/>
    </row>
    <row r="39" spans="2:30" x14ac:dyDescent="0.25">
      <c r="B39" s="24"/>
      <c r="C39" s="19"/>
      <c r="D39" s="17"/>
      <c r="E39" s="17"/>
      <c r="F39" s="17"/>
      <c r="G39" s="17"/>
      <c r="Y39" s="16"/>
      <c r="Z39" s="2"/>
      <c r="AA39" s="17"/>
      <c r="AB39" s="17"/>
      <c r="AC39" s="17"/>
      <c r="AD39" s="17"/>
    </row>
    <row r="40" spans="2:30" x14ac:dyDescent="0.25">
      <c r="B40" s="24"/>
      <c r="C40" s="19"/>
      <c r="D40" s="17"/>
      <c r="E40" s="17"/>
      <c r="F40" s="17"/>
      <c r="G40" s="17"/>
    </row>
    <row r="41" spans="2:30" x14ac:dyDescent="0.25">
      <c r="B41" s="24"/>
      <c r="C41" s="19"/>
      <c r="D41" s="17"/>
      <c r="E41" s="17"/>
      <c r="F41" s="17"/>
      <c r="G41" s="17"/>
    </row>
    <row r="42" spans="2:30" x14ac:dyDescent="0.25">
      <c r="B42" s="24"/>
      <c r="C42" s="19"/>
      <c r="D42" s="17"/>
      <c r="E42" s="17"/>
      <c r="F42" s="17"/>
      <c r="G42" s="17"/>
    </row>
    <row r="43" spans="2:30" x14ac:dyDescent="0.25">
      <c r="B43" s="24"/>
      <c r="C43" s="19"/>
      <c r="D43" s="17"/>
      <c r="E43" s="17"/>
      <c r="F43" s="17"/>
      <c r="G43" s="17"/>
    </row>
    <row r="44" spans="2:30" x14ac:dyDescent="0.25">
      <c r="B44" s="24"/>
      <c r="C44" s="19"/>
      <c r="D44" s="17"/>
      <c r="E44" s="17"/>
      <c r="F44" s="17"/>
      <c r="G44" s="17"/>
    </row>
    <row r="45" spans="2:30" x14ac:dyDescent="0.25">
      <c r="B45" s="24"/>
      <c r="C45" s="19"/>
      <c r="D45" s="17"/>
      <c r="E45" s="17"/>
      <c r="F45" s="17"/>
      <c r="G45" s="17"/>
    </row>
    <row r="46" spans="2:30" x14ac:dyDescent="0.25">
      <c r="B46" s="24"/>
      <c r="C46" s="19"/>
      <c r="D46" s="17"/>
      <c r="E46" s="17"/>
      <c r="F46" s="17"/>
      <c r="G46" s="17"/>
    </row>
    <row r="47" spans="2:30" x14ac:dyDescent="0.25">
      <c r="B47" s="24"/>
      <c r="C47" s="19"/>
      <c r="D47" s="17"/>
      <c r="E47" s="17"/>
      <c r="F47" s="17"/>
      <c r="G47" s="17"/>
    </row>
    <row r="48" spans="2:30" x14ac:dyDescent="0.25">
      <c r="B48" s="24"/>
      <c r="C48" s="19"/>
      <c r="D48" s="17"/>
      <c r="E48" s="17"/>
      <c r="F48" s="17"/>
      <c r="G48" s="17"/>
    </row>
    <row r="49" spans="2:10" x14ac:dyDescent="0.25">
      <c r="B49" s="24"/>
      <c r="C49" s="19"/>
      <c r="D49" s="17"/>
      <c r="E49" s="17"/>
      <c r="F49" s="17"/>
      <c r="G49" s="17"/>
    </row>
    <row r="50" spans="2:10" x14ac:dyDescent="0.25">
      <c r="B50" s="24"/>
      <c r="C50" s="19"/>
      <c r="D50" s="17"/>
      <c r="E50" s="17"/>
      <c r="F50" s="17"/>
      <c r="G50" s="17"/>
    </row>
    <row r="51" spans="2:10" x14ac:dyDescent="0.25">
      <c r="B51" s="24"/>
      <c r="C51" s="19"/>
      <c r="D51" s="17"/>
      <c r="E51" s="17"/>
      <c r="F51" s="17"/>
      <c r="G51" s="17"/>
    </row>
    <row r="52" spans="2:10" x14ac:dyDescent="0.25">
      <c r="B52" s="24"/>
      <c r="C52" s="19"/>
      <c r="D52" s="17"/>
      <c r="E52" s="17"/>
      <c r="F52" s="17"/>
      <c r="G52" s="17"/>
    </row>
    <row r="53" spans="2:10" x14ac:dyDescent="0.25">
      <c r="B53" s="24"/>
      <c r="C53" s="19"/>
      <c r="D53" s="17"/>
      <c r="E53" s="17"/>
      <c r="F53" s="17"/>
      <c r="G53" s="17"/>
    </row>
    <row r="54" spans="2:10" x14ac:dyDescent="0.25">
      <c r="B54" s="19"/>
      <c r="C54" s="19"/>
      <c r="D54" s="17"/>
      <c r="E54" s="17"/>
      <c r="F54" s="17"/>
      <c r="G54" s="17"/>
      <c r="J54" s="19"/>
    </row>
    <row r="55" spans="2:10" x14ac:dyDescent="0.25">
      <c r="B55" s="19"/>
      <c r="C55" s="19"/>
      <c r="D55" s="17"/>
      <c r="E55" s="17"/>
      <c r="F55" s="17"/>
      <c r="G55" s="17"/>
      <c r="J55" s="18"/>
    </row>
  </sheetData>
  <mergeCells count="12">
    <mergeCell ref="D4:E4"/>
    <mergeCell ref="B6:B9"/>
    <mergeCell ref="F4:G4"/>
    <mergeCell ref="N4:O4"/>
    <mergeCell ref="L4:M4"/>
    <mergeCell ref="H4:I4"/>
    <mergeCell ref="J4:K4"/>
    <mergeCell ref="B14:B17"/>
    <mergeCell ref="B18:B21"/>
    <mergeCell ref="B10:B13"/>
    <mergeCell ref="C4:C5"/>
    <mergeCell ref="B4:B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Athena_BV</vt:lpstr>
      <vt:lpstr>Athena_MA</vt:lpstr>
      <vt:lpstr>Athena_MI</vt:lpstr>
      <vt:lpstr>Athena</vt:lpstr>
      <vt:lpstr>PROTON</vt:lpstr>
      <vt:lpstr>UAutomizer</vt:lpstr>
      <vt:lpstr>AProVE</vt:lpstr>
      <vt:lpstr>CPAchecker</vt:lpstr>
      <vt:lpstr>2LS</vt:lpstr>
      <vt:lpstr>RQ1</vt:lpstr>
      <vt:lpstr>RQ2</vt:lpstr>
      <vt:lpstr>RQ3</vt:lpstr>
      <vt:lpstr>RQ4</vt:lpstr>
      <vt:lpstr>RQ6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 Fathi</dc:creator>
  <cp:lastModifiedBy>Negar Fathi</cp:lastModifiedBy>
  <dcterms:created xsi:type="dcterms:W3CDTF">2023-10-15T23:46:42Z</dcterms:created>
  <dcterms:modified xsi:type="dcterms:W3CDTF">2026-10-26T14:32:58Z</dcterms:modified>
</cp:coreProperties>
</file>